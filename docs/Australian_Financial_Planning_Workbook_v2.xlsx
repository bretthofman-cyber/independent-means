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bretthofman/Downloads/"/>
    </mc:Choice>
  </mc:AlternateContent>
  <xr:revisionPtr revIDLastSave="0" documentId="13_ncr:1_{87C94E11-B5EC-9847-B10D-623EA1F0E46A}" xr6:coauthVersionLast="47" xr6:coauthVersionMax="47" xr10:uidLastSave="{00000000-0000-0000-0000-000000000000}"/>
  <bookViews>
    <workbookView xWindow="12580" yWindow="660" windowWidth="16820" windowHeight="16860" activeTab="1" xr2:uid="{00000000-000D-0000-FFFF-FFFF00000000}"/>
  </bookViews>
  <sheets>
    <sheet name="Start Here" sheetId="1" r:id="rId1"/>
    <sheet name="Control Centre" sheetId="25" r:id="rId2"/>
    <sheet name="Profile" sheetId="5" r:id="rId3"/>
    <sheet name="AU Rules" sheetId="4" r:id="rId4"/>
    <sheet name="Scenarios" sheetId="2" r:id="rId5"/>
    <sheet name="Projections" sheetId="3" r:id="rId6"/>
    <sheet name="Budget" sheetId="6" r:id="rId7"/>
    <sheet name="Assets &amp; Liabilities" sheetId="7" r:id="rId8"/>
    <sheet name="Income Schedule" sheetId="8" r:id="rId9"/>
    <sheet name="Income Tax (AU)" sheetId="9" r:id="rId10"/>
    <sheet name="Superannuation (Inputs)" sheetId="10" r:id="rId11"/>
    <sheet name="Properties" sheetId="11" r:id="rId12"/>
    <sheet name="WC Levy Table" sheetId="12" r:id="rId13"/>
    <sheet name="Property_CF" sheetId="13" r:id="rId14"/>
    <sheet name="GSB_Bank_Cash_50455259" sheetId="14" r:id="rId15"/>
    <sheet name="GSB_Bank_Statement" sheetId="15" r:id="rId16"/>
    <sheet name="Sheet1" sheetId="26" r:id="rId17"/>
    <sheet name="Bank_Statement" sheetId="16" r:id="rId18"/>
    <sheet name="Loan_IO_to_PI" sheetId="17" r:id="rId19"/>
    <sheet name="Property Expenses (Detail)" sheetId="18" r:id="rId20"/>
    <sheet name="Rental Tax &amp; Gearing" sheetId="19" r:id="rId21"/>
    <sheet name="Assumptions" sheetId="20" r:id="rId22"/>
    <sheet name="Rental Cashflow" sheetId="21" r:id="rId23"/>
    <sheet name="Monte Carlo" sheetId="22" r:id="rId24"/>
    <sheet name="Dashboard" sheetId="23" r:id="rId25"/>
    <sheet name="Loan Amortisation retired" sheetId="24"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c r="E30" i="6"/>
  <c r="Q14" i="25"/>
  <c r="Q13" i="25"/>
  <c r="Q12" i="25"/>
  <c r="Q11" i="25"/>
  <c r="Q10" i="25"/>
  <c r="K10" i="2" s="1"/>
  <c r="D21" i="13" s="1"/>
  <c r="E21" i="13" s="1"/>
  <c r="F21" i="13" s="1"/>
  <c r="G21" i="13" s="1"/>
  <c r="H21" i="13" s="1"/>
  <c r="I21" i="13" s="1"/>
  <c r="J21" i="13" s="1"/>
  <c r="K21" i="13" s="1"/>
  <c r="L21" i="13" s="1"/>
  <c r="M21" i="13" s="1"/>
  <c r="N21" i="13" s="1"/>
  <c r="O21" i="13" s="1"/>
  <c r="P21" i="13" s="1"/>
  <c r="Q21" i="13" s="1"/>
  <c r="R21" i="13" s="1"/>
  <c r="S21" i="13" s="1"/>
  <c r="T21" i="13" s="1"/>
  <c r="U21" i="13" s="1"/>
  <c r="V21" i="13" s="1"/>
  <c r="W21" i="13" s="1"/>
  <c r="X21" i="13" s="1"/>
  <c r="Y21" i="13" s="1"/>
  <c r="Z21" i="13" s="1"/>
  <c r="AA21" i="13" s="1"/>
  <c r="AB21" i="13" s="1"/>
  <c r="AC21" i="13" s="1"/>
  <c r="AD21" i="13" s="1"/>
  <c r="AE21" i="13" s="1"/>
  <c r="AF21" i="13" s="1"/>
  <c r="AG21" i="13" s="1"/>
  <c r="AH21" i="13" s="1"/>
  <c r="AI21" i="13" s="1"/>
  <c r="AJ21" i="13" s="1"/>
  <c r="AK21" i="13" s="1"/>
  <c r="AL21" i="13" s="1"/>
  <c r="AM21" i="13" s="1"/>
  <c r="AN21" i="13" s="1"/>
  <c r="AO21" i="13" s="1"/>
  <c r="AP21" i="13" s="1"/>
  <c r="AQ21" i="13" s="1"/>
  <c r="AR21" i="13" s="1"/>
  <c r="AS21" i="13" s="1"/>
  <c r="AT21" i="13" s="1"/>
  <c r="AU21" i="13" s="1"/>
  <c r="AV21" i="13" s="1"/>
  <c r="AW21" i="13" s="1"/>
  <c r="AX21" i="13" s="1"/>
  <c r="AY21" i="13" s="1"/>
  <c r="AZ21" i="13" s="1"/>
  <c r="Q9" i="25"/>
  <c r="Q8" i="25"/>
  <c r="K8" i="2" s="1"/>
  <c r="B7" i="20" s="1"/>
  <c r="Q7" i="25"/>
  <c r="K7" i="2" s="1"/>
  <c r="J5" i="23" s="1"/>
  <c r="D8" i="24"/>
  <c r="C8" i="24"/>
  <c r="B8" i="24"/>
  <c r="F8" i="24" s="1"/>
  <c r="A8" i="24"/>
  <c r="F7" i="24"/>
  <c r="D7" i="24"/>
  <c r="C7" i="24"/>
  <c r="B7" i="24"/>
  <c r="A7" i="24"/>
  <c r="D6" i="24"/>
  <c r="C6" i="24"/>
  <c r="B6" i="24"/>
  <c r="F6" i="24" s="1"/>
  <c r="A6" i="24"/>
  <c r="J11" i="23"/>
  <c r="D8" i="21"/>
  <c r="A8" i="21"/>
  <c r="D7" i="21"/>
  <c r="A7" i="21"/>
  <c r="D6" i="21"/>
  <c r="D8" i="19"/>
  <c r="A8" i="19"/>
  <c r="D7" i="19"/>
  <c r="A7" i="19"/>
  <c r="D7" i="18"/>
  <c r="M134" i="17"/>
  <c r="L134" i="17"/>
  <c r="K134" i="17"/>
  <c r="J134" i="17"/>
  <c r="J131" i="17" s="1"/>
  <c r="I134" i="17"/>
  <c r="H134" i="17"/>
  <c r="G134" i="17"/>
  <c r="F134" i="17"/>
  <c r="E134" i="17"/>
  <c r="D134" i="17"/>
  <c r="C134" i="17"/>
  <c r="O132" i="17"/>
  <c r="P132" i="17" s="1"/>
  <c r="Q132" i="17" s="1"/>
  <c r="R132" i="17" s="1"/>
  <c r="N132" i="17"/>
  <c r="M131" i="17"/>
  <c r="L128" i="17"/>
  <c r="G128" i="17"/>
  <c r="AH127" i="17"/>
  <c r="M127" i="17"/>
  <c r="L127" i="17"/>
  <c r="K127" i="17"/>
  <c r="J127" i="17"/>
  <c r="J128" i="17" s="1"/>
  <c r="I127" i="17"/>
  <c r="I128" i="17" s="1"/>
  <c r="H127" i="17"/>
  <c r="H128" i="17" s="1"/>
  <c r="G127" i="17"/>
  <c r="F127" i="17"/>
  <c r="E127" i="17"/>
  <c r="D127" i="17"/>
  <c r="C127" i="17"/>
  <c r="M126" i="17"/>
  <c r="M128" i="17" s="1"/>
  <c r="L126" i="17"/>
  <c r="K126" i="17"/>
  <c r="K128" i="17" s="1"/>
  <c r="J126" i="17"/>
  <c r="I126" i="17"/>
  <c r="H126" i="17"/>
  <c r="C126" i="17"/>
  <c r="C128" i="17" s="1"/>
  <c r="C129" i="17" s="1"/>
  <c r="D123" i="17" s="1"/>
  <c r="AK125" i="17"/>
  <c r="AK127" i="17" s="1"/>
  <c r="AJ125" i="17"/>
  <c r="AJ127" i="17" s="1"/>
  <c r="AI125" i="17"/>
  <c r="AI127" i="17" s="1"/>
  <c r="AE125" i="17"/>
  <c r="AC125" i="17"/>
  <c r="AB125" i="17"/>
  <c r="AA125" i="17"/>
  <c r="W125" i="17"/>
  <c r="U125" i="17"/>
  <c r="O125" i="17"/>
  <c r="N125" i="17"/>
  <c r="N127" i="17" s="1"/>
  <c r="M125" i="17"/>
  <c r="L125" i="17"/>
  <c r="K125" i="17"/>
  <c r="G125" i="17"/>
  <c r="AK124" i="17"/>
  <c r="AJ124" i="17"/>
  <c r="AI124" i="17"/>
  <c r="AH124" i="17"/>
  <c r="AC124" i="17"/>
  <c r="V124" i="17"/>
  <c r="U124" i="17"/>
  <c r="T124" i="17"/>
  <c r="S124" i="17"/>
  <c r="M124" i="17"/>
  <c r="L124" i="17"/>
  <c r="K124" i="17"/>
  <c r="J124" i="17"/>
  <c r="E124" i="17"/>
  <c r="D124" i="17"/>
  <c r="C124" i="17"/>
  <c r="N123" i="17"/>
  <c r="M123" i="17"/>
  <c r="M133" i="17" s="1"/>
  <c r="J123" i="17"/>
  <c r="J142" i="17" s="1"/>
  <c r="I123" i="17"/>
  <c r="I142" i="17" s="1"/>
  <c r="I143" i="17" s="1"/>
  <c r="H123" i="17"/>
  <c r="H142" i="17" s="1"/>
  <c r="H143" i="17" s="1"/>
  <c r="C123" i="17"/>
  <c r="AK121" i="17"/>
  <c r="AJ121" i="17"/>
  <c r="AI121" i="17"/>
  <c r="AH121" i="17"/>
  <c r="AH125" i="17" s="1"/>
  <c r="AG121" i="17"/>
  <c r="AF121" i="17"/>
  <c r="AE121" i="17"/>
  <c r="AE124" i="17" s="1"/>
  <c r="AD121" i="17"/>
  <c r="AD125" i="17" s="1"/>
  <c r="AC121" i="17"/>
  <c r="AB121" i="17"/>
  <c r="AB124" i="17" s="1"/>
  <c r="AA121" i="17"/>
  <c r="AA124" i="17" s="1"/>
  <c r="Z121" i="17"/>
  <c r="Z125" i="17" s="1"/>
  <c r="Y121" i="17"/>
  <c r="X121" i="17"/>
  <c r="W121" i="17"/>
  <c r="W124" i="17" s="1"/>
  <c r="V121" i="17"/>
  <c r="V125" i="17" s="1"/>
  <c r="U121" i="17"/>
  <c r="T121" i="17"/>
  <c r="T125" i="17" s="1"/>
  <c r="S121" i="17"/>
  <c r="S125" i="17" s="1"/>
  <c r="R121" i="17"/>
  <c r="R125" i="17" s="1"/>
  <c r="Q121" i="17"/>
  <c r="P121" i="17"/>
  <c r="O121" i="17"/>
  <c r="O124" i="17" s="1"/>
  <c r="N121" i="17"/>
  <c r="N124" i="17" s="1"/>
  <c r="M121" i="17"/>
  <c r="L121" i="17"/>
  <c r="K121" i="17"/>
  <c r="J121" i="17"/>
  <c r="J125" i="17" s="1"/>
  <c r="I121" i="17"/>
  <c r="H121" i="17"/>
  <c r="G121" i="17"/>
  <c r="G124" i="17" s="1"/>
  <c r="F121" i="17"/>
  <c r="F124" i="17" s="1"/>
  <c r="E121" i="17"/>
  <c r="D121" i="17"/>
  <c r="C121" i="17"/>
  <c r="B114" i="17"/>
  <c r="B108" i="17"/>
  <c r="B102" i="17"/>
  <c r="B101" i="17"/>
  <c r="AJ91" i="17"/>
  <c r="AB91" i="17"/>
  <c r="C90" i="17"/>
  <c r="AJ89" i="17"/>
  <c r="AH89" i="17"/>
  <c r="AH91" i="17" s="1"/>
  <c r="AG89" i="17"/>
  <c r="AG91" i="17" s="1"/>
  <c r="AD89" i="17"/>
  <c r="AD91" i="17" s="1"/>
  <c r="AB89" i="17"/>
  <c r="V89" i="17"/>
  <c r="T89" i="17"/>
  <c r="N89" i="17"/>
  <c r="L89" i="17"/>
  <c r="F89" i="17"/>
  <c r="D89" i="17"/>
  <c r="AK88" i="17"/>
  <c r="AJ88" i="17"/>
  <c r="AI88" i="17"/>
  <c r="AB88" i="17"/>
  <c r="U88" i="17"/>
  <c r="T88" i="17"/>
  <c r="Q88" i="17"/>
  <c r="M88" i="17"/>
  <c r="L88" i="17"/>
  <c r="E88" i="17"/>
  <c r="D88" i="17"/>
  <c r="C88" i="17"/>
  <c r="C87" i="17"/>
  <c r="AK85" i="17"/>
  <c r="AK89" i="17" s="1"/>
  <c r="AK91" i="17" s="1"/>
  <c r="AJ85" i="17"/>
  <c r="AI85" i="17"/>
  <c r="AI89" i="17" s="1"/>
  <c r="AI91" i="17" s="1"/>
  <c r="AH85" i="17"/>
  <c r="AH88" i="17" s="1"/>
  <c r="AG85" i="17"/>
  <c r="AG88" i="17" s="1"/>
  <c r="AF85" i="17"/>
  <c r="AE85" i="17"/>
  <c r="AD85" i="17"/>
  <c r="AD88" i="17" s="1"/>
  <c r="AC85" i="17"/>
  <c r="AC89" i="17" s="1"/>
  <c r="AC91" i="17" s="1"/>
  <c r="AB85" i="17"/>
  <c r="AA85" i="17"/>
  <c r="AA89" i="17" s="1"/>
  <c r="Z85" i="17"/>
  <c r="Y85" i="17"/>
  <c r="X85" i="17"/>
  <c r="W85" i="17"/>
  <c r="V85" i="17"/>
  <c r="V88" i="17" s="1"/>
  <c r="U85" i="17"/>
  <c r="U89" i="17" s="1"/>
  <c r="T85" i="17"/>
  <c r="S85" i="17"/>
  <c r="R85" i="17"/>
  <c r="R88" i="17" s="1"/>
  <c r="Q85" i="17"/>
  <c r="Q89" i="17" s="1"/>
  <c r="P85" i="17"/>
  <c r="O85" i="17"/>
  <c r="N85" i="17"/>
  <c r="N88" i="17" s="1"/>
  <c r="M85" i="17"/>
  <c r="M89" i="17" s="1"/>
  <c r="L85" i="17"/>
  <c r="K85" i="17"/>
  <c r="K89" i="17" s="1"/>
  <c r="J85" i="17"/>
  <c r="I85" i="17"/>
  <c r="H85" i="17"/>
  <c r="G85" i="17"/>
  <c r="F85" i="17"/>
  <c r="F88" i="17" s="1"/>
  <c r="E85" i="17"/>
  <c r="E89" i="17" s="1"/>
  <c r="D85" i="17"/>
  <c r="C85" i="17"/>
  <c r="C89" i="17" s="1"/>
  <c r="B75" i="17"/>
  <c r="AF59" i="17"/>
  <c r="AD59" i="17"/>
  <c r="C58" i="17"/>
  <c r="AK57" i="17"/>
  <c r="AK59" i="17" s="1"/>
  <c r="AJ57" i="17"/>
  <c r="AJ59" i="17" s="1"/>
  <c r="AD57" i="17"/>
  <c r="AC57" i="17"/>
  <c r="AC59" i="17" s="1"/>
  <c r="AB57" i="17"/>
  <c r="AB59" i="17" s="1"/>
  <c r="AA57" i="17"/>
  <c r="Y57" i="17"/>
  <c r="S57" i="17"/>
  <c r="O57" i="17"/>
  <c r="N57" i="17"/>
  <c r="M57" i="17"/>
  <c r="G57" i="17"/>
  <c r="F57" i="17"/>
  <c r="E57" i="17"/>
  <c r="D57" i="17"/>
  <c r="AE56" i="17"/>
  <c r="AD56" i="17"/>
  <c r="AB56" i="17"/>
  <c r="V56" i="17"/>
  <c r="T56" i="17"/>
  <c r="R56" i="17"/>
  <c r="Q56" i="17"/>
  <c r="J56" i="17"/>
  <c r="G56" i="17"/>
  <c r="F56" i="17"/>
  <c r="C55" i="17"/>
  <c r="AK53" i="17"/>
  <c r="AK56" i="17" s="1"/>
  <c r="AJ53" i="17"/>
  <c r="AJ56" i="17" s="1"/>
  <c r="AI53" i="17"/>
  <c r="AH53" i="17"/>
  <c r="AG53" i="17"/>
  <c r="AF53" i="17"/>
  <c r="AF57" i="17" s="1"/>
  <c r="AE53" i="17"/>
  <c r="AE57" i="17" s="1"/>
  <c r="AE59" i="17" s="1"/>
  <c r="AD53" i="17"/>
  <c r="AC53" i="17"/>
  <c r="AC56" i="17" s="1"/>
  <c r="AB53" i="17"/>
  <c r="AA53" i="17"/>
  <c r="AA56" i="17" s="1"/>
  <c r="Z53" i="17"/>
  <c r="Y53" i="17"/>
  <c r="Y56" i="17" s="1"/>
  <c r="X53" i="17"/>
  <c r="W53" i="17"/>
  <c r="W56" i="17" s="1"/>
  <c r="V53" i="17"/>
  <c r="V57" i="17" s="1"/>
  <c r="U53" i="17"/>
  <c r="U56" i="17" s="1"/>
  <c r="T53" i="17"/>
  <c r="T57" i="17" s="1"/>
  <c r="S53" i="17"/>
  <c r="S56" i="17" s="1"/>
  <c r="R53" i="17"/>
  <c r="R57" i="17" s="1"/>
  <c r="Q53" i="17"/>
  <c r="Q57" i="17" s="1"/>
  <c r="P53" i="17"/>
  <c r="O53" i="17"/>
  <c r="O56" i="17" s="1"/>
  <c r="N53" i="17"/>
  <c r="N56" i="17" s="1"/>
  <c r="M53" i="17"/>
  <c r="M56" i="17" s="1"/>
  <c r="L53" i="17"/>
  <c r="L57" i="17" s="1"/>
  <c r="K53" i="17"/>
  <c r="J53" i="17"/>
  <c r="J57" i="17" s="1"/>
  <c r="I53" i="17"/>
  <c r="I57" i="17" s="1"/>
  <c r="H53" i="17"/>
  <c r="H57" i="17" s="1"/>
  <c r="G53" i="17"/>
  <c r="F53" i="17"/>
  <c r="E53" i="17"/>
  <c r="E56" i="17" s="1"/>
  <c r="D53" i="17"/>
  <c r="D56" i="17" s="1"/>
  <c r="C53" i="17"/>
  <c r="B43" i="17"/>
  <c r="AK25" i="17"/>
  <c r="AK27" i="17" s="1"/>
  <c r="AJ25" i="17"/>
  <c r="AJ27" i="17" s="1"/>
  <c r="AE25" i="17"/>
  <c r="AE27" i="17" s="1"/>
  <c r="AD25" i="17"/>
  <c r="AD27" i="17" s="1"/>
  <c r="AC25" i="17"/>
  <c r="AC27" i="17" s="1"/>
  <c r="AB25" i="17"/>
  <c r="AB27" i="17" s="1"/>
  <c r="W25" i="17"/>
  <c r="V25" i="17"/>
  <c r="U25" i="17"/>
  <c r="T25" i="17"/>
  <c r="M25" i="17"/>
  <c r="L25" i="17"/>
  <c r="H25" i="17"/>
  <c r="B16" i="17" s="1"/>
  <c r="G25" i="17"/>
  <c r="F25" i="17"/>
  <c r="E25" i="17"/>
  <c r="D25" i="17"/>
  <c r="AJ24" i="17"/>
  <c r="AI24" i="17"/>
  <c r="AH24" i="17"/>
  <c r="AG24" i="17"/>
  <c r="AF24" i="17"/>
  <c r="AB24" i="17"/>
  <c r="AA24" i="17"/>
  <c r="Z24" i="17"/>
  <c r="T24" i="17"/>
  <c r="S24" i="17"/>
  <c r="R24" i="17"/>
  <c r="Q24" i="17"/>
  <c r="P24" i="17"/>
  <c r="L24" i="17"/>
  <c r="K24" i="17"/>
  <c r="J24" i="17"/>
  <c r="D24" i="17"/>
  <c r="C24" i="17"/>
  <c r="AK21" i="17"/>
  <c r="AJ21" i="17"/>
  <c r="AI21" i="17"/>
  <c r="AH21" i="17"/>
  <c r="AG21" i="17"/>
  <c r="AF21" i="17"/>
  <c r="AE21" i="17"/>
  <c r="AD21" i="17"/>
  <c r="AC21" i="17"/>
  <c r="AB21" i="17"/>
  <c r="AA21" i="17"/>
  <c r="Z21" i="17"/>
  <c r="Y21" i="17"/>
  <c r="X21" i="17"/>
  <c r="W21" i="17"/>
  <c r="V21" i="17"/>
  <c r="U21" i="17"/>
  <c r="T21" i="17"/>
  <c r="S21" i="17"/>
  <c r="S25" i="17" s="1"/>
  <c r="R21" i="17"/>
  <c r="Q21" i="17"/>
  <c r="P21" i="17"/>
  <c r="O21" i="17"/>
  <c r="N21" i="17"/>
  <c r="M21" i="17"/>
  <c r="L21" i="17"/>
  <c r="K21" i="17"/>
  <c r="J21" i="17"/>
  <c r="I21" i="17"/>
  <c r="H21" i="17"/>
  <c r="G21" i="17"/>
  <c r="F21" i="17"/>
  <c r="E21" i="17"/>
  <c r="D21" i="17"/>
  <c r="C21" i="17"/>
  <c r="B10" i="17"/>
  <c r="B4" i="17"/>
  <c r="B3" i="17"/>
  <c r="C23" i="17" s="1"/>
  <c r="C26" i="17" s="1"/>
  <c r="H12" i="16"/>
  <c r="H8" i="16" s="1"/>
  <c r="G12" i="16"/>
  <c r="F12" i="16"/>
  <c r="E12" i="16"/>
  <c r="B12" i="16"/>
  <c r="AZ176" i="13"/>
  <c r="AY176" i="13"/>
  <c r="AX176" i="13"/>
  <c r="AW176" i="13"/>
  <c r="AV176" i="13"/>
  <c r="AU176" i="13"/>
  <c r="AT176" i="13"/>
  <c r="AS176" i="13"/>
  <c r="AR176" i="13"/>
  <c r="AQ176" i="13"/>
  <c r="AP176" i="13"/>
  <c r="AO176" i="13"/>
  <c r="AN176" i="13"/>
  <c r="AM176" i="13"/>
  <c r="AL176" i="13"/>
  <c r="AK176"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C176" i="13"/>
  <c r="AZ175" i="13"/>
  <c r="AY175" i="13"/>
  <c r="AX175" i="13"/>
  <c r="AW175" i="13"/>
  <c r="AV175" i="13"/>
  <c r="AU175" i="13"/>
  <c r="AT175" i="13"/>
  <c r="AS175" i="13"/>
  <c r="AR175" i="13"/>
  <c r="AQ175" i="13"/>
  <c r="AP175" i="13"/>
  <c r="AO175" i="13"/>
  <c r="AN175" i="13"/>
  <c r="AM175" i="13"/>
  <c r="AL175" i="13"/>
  <c r="AK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C175" i="13"/>
  <c r="AZ174" i="13"/>
  <c r="AY174" i="13"/>
  <c r="AX174" i="13"/>
  <c r="AW174" i="13"/>
  <c r="AV174" i="13"/>
  <c r="AU174" i="13"/>
  <c r="AT174" i="13"/>
  <c r="AS174" i="13"/>
  <c r="AR174" i="13"/>
  <c r="AQ174" i="13"/>
  <c r="AP174" i="13"/>
  <c r="AO174" i="13"/>
  <c r="AN174" i="13"/>
  <c r="AM174" i="13"/>
  <c r="AL174" i="13"/>
  <c r="AK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C174" i="13"/>
  <c r="C170" i="13"/>
  <c r="C169" i="13"/>
  <c r="C168" i="13"/>
  <c r="C167" i="13"/>
  <c r="AZ166" i="13"/>
  <c r="AX166" i="13"/>
  <c r="AW166" i="13"/>
  <c r="AV166" i="13"/>
  <c r="AT166" i="13"/>
  <c r="AS166" i="13"/>
  <c r="AR166" i="13"/>
  <c r="AP166" i="13"/>
  <c r="AO166" i="13"/>
  <c r="AN166" i="13"/>
  <c r="AL166" i="13"/>
  <c r="AK166" i="13"/>
  <c r="AJ166" i="13"/>
  <c r="AH166" i="13"/>
  <c r="AG166" i="13"/>
  <c r="AF166" i="13"/>
  <c r="AD166" i="13"/>
  <c r="AC166" i="13"/>
  <c r="AB166" i="13"/>
  <c r="Z166" i="13"/>
  <c r="Y166" i="13"/>
  <c r="X166" i="13"/>
  <c r="V166" i="13"/>
  <c r="U166" i="13"/>
  <c r="T166" i="13"/>
  <c r="R166" i="13"/>
  <c r="Q166" i="13"/>
  <c r="P166" i="13"/>
  <c r="N166" i="13"/>
  <c r="M166" i="13"/>
  <c r="L166" i="13"/>
  <c r="J166" i="13"/>
  <c r="I166" i="13"/>
  <c r="H166" i="13"/>
  <c r="F166" i="13"/>
  <c r="E166" i="13"/>
  <c r="D166" i="13"/>
  <c r="C164" i="13"/>
  <c r="AZ163" i="13"/>
  <c r="AY163" i="13"/>
  <c r="AX163" i="13"/>
  <c r="AW163" i="13"/>
  <c r="AV163" i="13"/>
  <c r="AU163" i="13"/>
  <c r="AT163" i="13"/>
  <c r="AS163" i="13"/>
  <c r="AR163" i="13"/>
  <c r="AQ163" i="13"/>
  <c r="AP163" i="13"/>
  <c r="AO163" i="13"/>
  <c r="AN163" i="13"/>
  <c r="AM163" i="13"/>
  <c r="AL163" i="13"/>
  <c r="AK163" i="13"/>
  <c r="AJ163" i="13"/>
  <c r="AI163" i="13"/>
  <c r="AH163" i="13"/>
  <c r="AG163" i="13"/>
  <c r="AF163" i="13"/>
  <c r="AE163" i="13"/>
  <c r="AD163" i="13"/>
  <c r="AC163" i="13"/>
  <c r="AB163" i="13"/>
  <c r="AZ162" i="13"/>
  <c r="AY162" i="13"/>
  <c r="AX162" i="13"/>
  <c r="AW162" i="13"/>
  <c r="AV162" i="13"/>
  <c r="AU162" i="13"/>
  <c r="AT162" i="13"/>
  <c r="AS162" i="13"/>
  <c r="AR162" i="13"/>
  <c r="AQ162" i="13"/>
  <c r="AP162" i="13"/>
  <c r="AO162" i="13"/>
  <c r="AN162" i="13"/>
  <c r="AM162" i="13"/>
  <c r="AL162" i="13"/>
  <c r="AZ161" i="13"/>
  <c r="AY161" i="13"/>
  <c r="AX161" i="13"/>
  <c r="AW161" i="13"/>
  <c r="AV161" i="13"/>
  <c r="AU161" i="13"/>
  <c r="AT161" i="13"/>
  <c r="AS161" i="13"/>
  <c r="AR161" i="13"/>
  <c r="AQ161" i="13"/>
  <c r="AP161" i="13"/>
  <c r="AO161" i="13"/>
  <c r="AN161" i="13"/>
  <c r="AM161" i="13"/>
  <c r="AL161" i="13"/>
  <c r="AK161"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C161" i="13"/>
  <c r="D154" i="13"/>
  <c r="E154" i="13" s="1"/>
  <c r="F154" i="13" s="1"/>
  <c r="G154" i="13" s="1"/>
  <c r="H154" i="13" s="1"/>
  <c r="I154" i="13" s="1"/>
  <c r="J154" i="13" s="1"/>
  <c r="K154" i="13" s="1"/>
  <c r="L154" i="13" s="1"/>
  <c r="M154" i="13" s="1"/>
  <c r="N154" i="13" s="1"/>
  <c r="O154" i="13" s="1"/>
  <c r="P154" i="13" s="1"/>
  <c r="Q154" i="13" s="1"/>
  <c r="R154" i="13" s="1"/>
  <c r="S154" i="13" s="1"/>
  <c r="T154" i="13" s="1"/>
  <c r="U154" i="13" s="1"/>
  <c r="V154" i="13" s="1"/>
  <c r="W154" i="13" s="1"/>
  <c r="X154" i="13" s="1"/>
  <c r="Y154" i="13" s="1"/>
  <c r="Z154" i="13" s="1"/>
  <c r="AA154" i="13" s="1"/>
  <c r="AB154" i="13" s="1"/>
  <c r="AC154" i="13" s="1"/>
  <c r="AD154" i="13" s="1"/>
  <c r="AE154" i="13" s="1"/>
  <c r="AF154" i="13" s="1"/>
  <c r="AG154" i="13" s="1"/>
  <c r="AH154" i="13" s="1"/>
  <c r="AI154" i="13" s="1"/>
  <c r="AJ154" i="13" s="1"/>
  <c r="AK154" i="13" s="1"/>
  <c r="AL154" i="13" s="1"/>
  <c r="AM154" i="13" s="1"/>
  <c r="AN154" i="13" s="1"/>
  <c r="AO154" i="13" s="1"/>
  <c r="AP154" i="13" s="1"/>
  <c r="AQ154" i="13" s="1"/>
  <c r="AR154" i="13" s="1"/>
  <c r="AS154" i="13" s="1"/>
  <c r="AT154" i="13" s="1"/>
  <c r="AU154" i="13" s="1"/>
  <c r="AV154" i="13" s="1"/>
  <c r="AW154" i="13" s="1"/>
  <c r="AX154" i="13" s="1"/>
  <c r="AY154" i="13" s="1"/>
  <c r="AZ154" i="13" s="1"/>
  <c r="C148" i="13"/>
  <c r="C146" i="13"/>
  <c r="C144" i="13"/>
  <c r="A141" i="13"/>
  <c r="AZ131" i="13"/>
  <c r="AY131" i="13"/>
  <c r="AX131" i="13"/>
  <c r="AW131" i="13"/>
  <c r="AV131" i="13"/>
  <c r="AU131" i="13"/>
  <c r="AT131" i="13"/>
  <c r="AS131" i="13"/>
  <c r="AR131" i="13"/>
  <c r="AQ131" i="13"/>
  <c r="AP131" i="13"/>
  <c r="AO131" i="13"/>
  <c r="AN131" i="13"/>
  <c r="AM131" i="13"/>
  <c r="AL131" i="13"/>
  <c r="AK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C131" i="13"/>
  <c r="AZ130" i="13"/>
  <c r="AY130" i="13"/>
  <c r="AX130" i="13"/>
  <c r="AW130" i="13"/>
  <c r="AV130" i="13"/>
  <c r="AU130" i="13"/>
  <c r="AT130" i="13"/>
  <c r="AS130" i="13"/>
  <c r="AR130" i="13"/>
  <c r="AQ130" i="13"/>
  <c r="AP130" i="13"/>
  <c r="AO130" i="13"/>
  <c r="AN130" i="13"/>
  <c r="AM130" i="13"/>
  <c r="AL130" i="13"/>
  <c r="AK130"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C130" i="13"/>
  <c r="AZ129" i="13"/>
  <c r="AY129" i="13"/>
  <c r="AX129" i="13"/>
  <c r="AW129" i="13"/>
  <c r="AV129" i="13"/>
  <c r="AU129" i="13"/>
  <c r="AT129" i="13"/>
  <c r="AS129" i="13"/>
  <c r="AR129" i="13"/>
  <c r="AQ129" i="13"/>
  <c r="AP129" i="13"/>
  <c r="AO129" i="13"/>
  <c r="AN129" i="13"/>
  <c r="AM129" i="13"/>
  <c r="AL129" i="13"/>
  <c r="AK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C129" i="13"/>
  <c r="C125" i="13"/>
  <c r="C124" i="13"/>
  <c r="C123" i="13"/>
  <c r="C122" i="13"/>
  <c r="AZ121" i="13"/>
  <c r="AX121" i="13"/>
  <c r="AW121" i="13"/>
  <c r="AV121" i="13"/>
  <c r="AT121" i="13"/>
  <c r="AS121" i="13"/>
  <c r="AR121" i="13"/>
  <c r="AP121" i="13"/>
  <c r="AO121" i="13"/>
  <c r="AN121" i="13"/>
  <c r="AL121" i="13"/>
  <c r="AK121" i="13"/>
  <c r="AJ121" i="13"/>
  <c r="AH121" i="13"/>
  <c r="AG121" i="13"/>
  <c r="AF121" i="13"/>
  <c r="AD121" i="13"/>
  <c r="AC121" i="13"/>
  <c r="AB121" i="13"/>
  <c r="Z121" i="13"/>
  <c r="Y121" i="13"/>
  <c r="X121" i="13"/>
  <c r="V121" i="13"/>
  <c r="U121" i="13"/>
  <c r="T121" i="13"/>
  <c r="R121" i="13"/>
  <c r="Q121" i="13"/>
  <c r="P121" i="13"/>
  <c r="N121" i="13"/>
  <c r="M121" i="13"/>
  <c r="L121" i="13"/>
  <c r="J121" i="13"/>
  <c r="I121" i="13"/>
  <c r="H121" i="13"/>
  <c r="F121" i="13"/>
  <c r="E121" i="13"/>
  <c r="D121" i="13"/>
  <c r="C119" i="13"/>
  <c r="AZ118" i="13"/>
  <c r="AY118" i="13"/>
  <c r="AX118" i="13"/>
  <c r="AW118" i="13"/>
  <c r="AV118" i="13"/>
  <c r="AU118" i="13"/>
  <c r="AT118" i="13"/>
  <c r="AS118" i="13"/>
  <c r="AR118" i="13"/>
  <c r="AQ118" i="13"/>
  <c r="AP118" i="13"/>
  <c r="AO118" i="13"/>
  <c r="AN118" i="13"/>
  <c r="AM118" i="13"/>
  <c r="AL118" i="13"/>
  <c r="AK118" i="13"/>
  <c r="AJ118" i="13"/>
  <c r="AI118" i="13"/>
  <c r="AH118" i="13"/>
  <c r="AG118" i="13"/>
  <c r="AF118" i="13"/>
  <c r="AE118" i="13"/>
  <c r="AD118" i="13"/>
  <c r="AC118" i="13"/>
  <c r="AB118" i="13"/>
  <c r="AZ117" i="13"/>
  <c r="AY117" i="13"/>
  <c r="AX117" i="13"/>
  <c r="AW117" i="13"/>
  <c r="AV117" i="13"/>
  <c r="AU117" i="13"/>
  <c r="AT117" i="13"/>
  <c r="AS117" i="13"/>
  <c r="AR117" i="13"/>
  <c r="AQ117" i="13"/>
  <c r="AP117" i="13"/>
  <c r="AO117" i="13"/>
  <c r="AN117" i="13"/>
  <c r="AM117" i="13"/>
  <c r="AL117" i="13"/>
  <c r="AZ116" i="13"/>
  <c r="AY116" i="13"/>
  <c r="AX116" i="13"/>
  <c r="AW116" i="13"/>
  <c r="AV116" i="13"/>
  <c r="AU116" i="13"/>
  <c r="AT116" i="13"/>
  <c r="AS116" i="13"/>
  <c r="AR116" i="13"/>
  <c r="AQ116" i="13"/>
  <c r="AP116" i="13"/>
  <c r="AO116" i="13"/>
  <c r="AN116" i="13"/>
  <c r="AM116" i="13"/>
  <c r="AL116" i="13"/>
  <c r="AK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C116" i="13"/>
  <c r="J109" i="13"/>
  <c r="K109" i="13" s="1"/>
  <c r="L109" i="13" s="1"/>
  <c r="M109" i="13" s="1"/>
  <c r="N109" i="13" s="1"/>
  <c r="O109" i="13" s="1"/>
  <c r="P109" i="13" s="1"/>
  <c r="Q109" i="13" s="1"/>
  <c r="R109" i="13" s="1"/>
  <c r="S109" i="13" s="1"/>
  <c r="T109" i="13" s="1"/>
  <c r="U109" i="13" s="1"/>
  <c r="V109" i="13" s="1"/>
  <c r="W109" i="13" s="1"/>
  <c r="X109" i="13" s="1"/>
  <c r="Y109" i="13" s="1"/>
  <c r="Z109" i="13" s="1"/>
  <c r="AA109" i="13" s="1"/>
  <c r="AB109" i="13" s="1"/>
  <c r="AC109" i="13" s="1"/>
  <c r="AD109" i="13" s="1"/>
  <c r="AE109" i="13" s="1"/>
  <c r="AF109" i="13" s="1"/>
  <c r="AG109" i="13" s="1"/>
  <c r="AH109" i="13" s="1"/>
  <c r="AI109" i="13" s="1"/>
  <c r="AJ109" i="13" s="1"/>
  <c r="AK109" i="13" s="1"/>
  <c r="AL109" i="13" s="1"/>
  <c r="AM109" i="13" s="1"/>
  <c r="AN109" i="13" s="1"/>
  <c r="AO109" i="13" s="1"/>
  <c r="AP109" i="13" s="1"/>
  <c r="AQ109" i="13" s="1"/>
  <c r="AR109" i="13" s="1"/>
  <c r="AS109" i="13" s="1"/>
  <c r="AT109" i="13" s="1"/>
  <c r="AU109" i="13" s="1"/>
  <c r="AV109" i="13" s="1"/>
  <c r="AW109" i="13" s="1"/>
  <c r="AX109" i="13" s="1"/>
  <c r="AY109" i="13" s="1"/>
  <c r="AZ109" i="13" s="1"/>
  <c r="I109" i="13"/>
  <c r="D109" i="13"/>
  <c r="E109" i="13" s="1"/>
  <c r="F109" i="13" s="1"/>
  <c r="G109" i="13" s="1"/>
  <c r="H109" i="13" s="1"/>
  <c r="G104" i="13" a="1"/>
  <c r="G104" i="13" s="1"/>
  <c r="E104" i="13" a="1"/>
  <c r="E104" i="13" s="1"/>
  <c r="C103" i="13"/>
  <c r="C101" i="13"/>
  <c r="C99" i="13"/>
  <c r="A96" i="13"/>
  <c r="AZ86" i="13"/>
  <c r="AY86" i="13"/>
  <c r="AX86" i="13"/>
  <c r="AW86" i="13"/>
  <c r="AV86" i="13"/>
  <c r="AU86" i="13"/>
  <c r="AT86" i="13"/>
  <c r="AS86" i="13"/>
  <c r="AR86" i="13"/>
  <c r="AQ86" i="13"/>
  <c r="AP86" i="13"/>
  <c r="AO86" i="13"/>
  <c r="AN86" i="13"/>
  <c r="AM86" i="13"/>
  <c r="AL86" i="13"/>
  <c r="AK86" i="13"/>
  <c r="AJ86" i="13"/>
  <c r="AI86" i="13"/>
  <c r="AH86" i="13"/>
  <c r="AG86" i="13"/>
  <c r="AF86" i="13"/>
  <c r="AE86" i="13"/>
  <c r="AD86" i="13"/>
  <c r="AC86" i="13"/>
  <c r="AB86" i="13"/>
  <c r="AA86" i="13"/>
  <c r="AZ85" i="13"/>
  <c r="AY85" i="13"/>
  <c r="AX85" i="13"/>
  <c r="AW85" i="13"/>
  <c r="AV85" i="13"/>
  <c r="AU85" i="13"/>
  <c r="AT85" i="13"/>
  <c r="AS85" i="13"/>
  <c r="AR85" i="13"/>
  <c r="AQ85" i="13"/>
  <c r="AP85" i="13"/>
  <c r="AO85" i="13"/>
  <c r="AN85" i="13"/>
  <c r="AM85" i="13"/>
  <c r="AL85" i="13"/>
  <c r="AK85"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C85" i="13"/>
  <c r="AZ84" i="13"/>
  <c r="AY84" i="13"/>
  <c r="AX84" i="13"/>
  <c r="AW84" i="13"/>
  <c r="AV84" i="13"/>
  <c r="AU84" i="13"/>
  <c r="AT84" i="13"/>
  <c r="AS84" i="13"/>
  <c r="AR84" i="13"/>
  <c r="AQ84" i="13"/>
  <c r="AP84"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C84" i="13"/>
  <c r="C80" i="13"/>
  <c r="C79" i="13"/>
  <c r="C78" i="13"/>
  <c r="C77" i="13"/>
  <c r="AZ76" i="13"/>
  <c r="AX76" i="13"/>
  <c r="AW76" i="13"/>
  <c r="AV76" i="13"/>
  <c r="AT76" i="13"/>
  <c r="AS76" i="13"/>
  <c r="AR76" i="13"/>
  <c r="AP76" i="13"/>
  <c r="AO76" i="13"/>
  <c r="AN76" i="13"/>
  <c r="AL76" i="13"/>
  <c r="AK76" i="13"/>
  <c r="AJ76" i="13"/>
  <c r="AH76" i="13"/>
  <c r="AG76" i="13"/>
  <c r="AF76" i="13"/>
  <c r="AD76" i="13"/>
  <c r="AC76" i="13"/>
  <c r="AB76" i="13"/>
  <c r="Z76" i="13"/>
  <c r="Y76" i="13"/>
  <c r="X76" i="13"/>
  <c r="V76" i="13"/>
  <c r="U76" i="13"/>
  <c r="T76" i="13"/>
  <c r="R76" i="13"/>
  <c r="Q76" i="13"/>
  <c r="P76" i="13"/>
  <c r="N76" i="13"/>
  <c r="M76" i="13"/>
  <c r="L76" i="13"/>
  <c r="J76" i="13"/>
  <c r="I76" i="13"/>
  <c r="H76" i="13"/>
  <c r="F76" i="13"/>
  <c r="E76" i="13"/>
  <c r="D76" i="13"/>
  <c r="C74" i="13"/>
  <c r="AZ73" i="13"/>
  <c r="AY73" i="13"/>
  <c r="AX73" i="13"/>
  <c r="AW73" i="13"/>
  <c r="AV73" i="13"/>
  <c r="AU73" i="13"/>
  <c r="AT73" i="13"/>
  <c r="AS73" i="13"/>
  <c r="AR73" i="13"/>
  <c r="AQ73" i="13"/>
  <c r="AP73" i="13"/>
  <c r="AO73" i="13"/>
  <c r="AN73" i="13"/>
  <c r="AM73" i="13"/>
  <c r="AL73" i="13"/>
  <c r="AK73" i="13"/>
  <c r="AJ73" i="13"/>
  <c r="AI73" i="13"/>
  <c r="AH73" i="13"/>
  <c r="AG73" i="13"/>
  <c r="AF73" i="13"/>
  <c r="AE73" i="13"/>
  <c r="AD73" i="13"/>
  <c r="AC73" i="13"/>
  <c r="AB73" i="13"/>
  <c r="AZ72" i="13"/>
  <c r="AY72" i="13"/>
  <c r="AX72" i="13"/>
  <c r="AW72" i="13"/>
  <c r="AV72" i="13"/>
  <c r="AU72" i="13"/>
  <c r="AT72" i="13"/>
  <c r="AS72" i="13"/>
  <c r="AR72" i="13"/>
  <c r="AQ72" i="13"/>
  <c r="AP72" i="13"/>
  <c r="AO72" i="13"/>
  <c r="AN72" i="13"/>
  <c r="AM72" i="13"/>
  <c r="AL72" i="13"/>
  <c r="AZ71" i="13"/>
  <c r="AY71" i="13"/>
  <c r="AX71" i="13"/>
  <c r="AW71" i="13"/>
  <c r="AV71" i="13"/>
  <c r="AU71" i="13"/>
  <c r="AT71" i="13"/>
  <c r="AS71" i="13"/>
  <c r="AR71" i="13"/>
  <c r="AQ71" i="13"/>
  <c r="AP71" i="13"/>
  <c r="AO71" i="13"/>
  <c r="AN71" i="13"/>
  <c r="AM71" i="13"/>
  <c r="AL71" i="13"/>
  <c r="AK71" i="13"/>
  <c r="AJ71" i="13"/>
  <c r="AI71" i="13"/>
  <c r="AH71" i="13"/>
  <c r="AG71" i="13"/>
  <c r="AF71" i="13"/>
  <c r="AE71" i="13"/>
  <c r="AD71" i="13"/>
  <c r="AC71" i="13"/>
  <c r="AB71" i="13"/>
  <c r="AA71" i="13"/>
  <c r="B65" i="13"/>
  <c r="C64" i="13"/>
  <c r="D64" i="13" s="1"/>
  <c r="E64" i="13" s="1"/>
  <c r="F64" i="13" s="1"/>
  <c r="G64" i="13" s="1"/>
  <c r="H64" i="13" s="1"/>
  <c r="I64" i="13" s="1"/>
  <c r="J64" i="13" s="1"/>
  <c r="K64" i="13" s="1"/>
  <c r="L64" i="13" s="1"/>
  <c r="M64" i="13" s="1"/>
  <c r="N64" i="13" s="1"/>
  <c r="O64" i="13" s="1"/>
  <c r="P64" i="13" s="1"/>
  <c r="Q64" i="13" s="1"/>
  <c r="R64" i="13" s="1"/>
  <c r="S64" i="13" s="1"/>
  <c r="T64" i="13" s="1"/>
  <c r="U64" i="13" s="1"/>
  <c r="V64" i="13" s="1"/>
  <c r="W64" i="13" s="1"/>
  <c r="X64" i="13" s="1"/>
  <c r="Y64" i="13" s="1"/>
  <c r="Z64" i="13" s="1"/>
  <c r="AA64" i="13" s="1"/>
  <c r="AB64" i="13" s="1"/>
  <c r="AC64" i="13" s="1"/>
  <c r="AD64" i="13" s="1"/>
  <c r="AE64" i="13" s="1"/>
  <c r="AF64" i="13" s="1"/>
  <c r="AG64" i="13" s="1"/>
  <c r="AH64" i="13" s="1"/>
  <c r="AI64" i="13" s="1"/>
  <c r="AJ64" i="13" s="1"/>
  <c r="AK64" i="13" s="1"/>
  <c r="AL64" i="13" s="1"/>
  <c r="AM64" i="13" s="1"/>
  <c r="AN64" i="13" s="1"/>
  <c r="AO64" i="13" s="1"/>
  <c r="AP64" i="13" s="1"/>
  <c r="AQ64" i="13" s="1"/>
  <c r="AR64" i="13" s="1"/>
  <c r="AS64" i="13" s="1"/>
  <c r="AT64" i="13" s="1"/>
  <c r="AU64" i="13" s="1"/>
  <c r="AV64" i="13" s="1"/>
  <c r="AW64" i="13" s="1"/>
  <c r="AX64" i="13" s="1"/>
  <c r="AY64" i="13" s="1"/>
  <c r="AZ64" i="13" s="1"/>
  <c r="C62" i="13"/>
  <c r="N59" i="13" a="1"/>
  <c r="N59" i="13" s="1"/>
  <c r="H59" i="13" a="1"/>
  <c r="H59" i="13" s="1"/>
  <c r="E59" i="13" a="1"/>
  <c r="E59" i="13" s="1"/>
  <c r="C58" i="13"/>
  <c r="C57" i="13"/>
  <c r="C54" i="13"/>
  <c r="B54"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J40" i="13"/>
  <c r="I40" i="13"/>
  <c r="H40" i="13"/>
  <c r="G40" i="13"/>
  <c r="F40" i="13"/>
  <c r="E40" i="13"/>
  <c r="D40" i="13"/>
  <c r="C40" i="13"/>
  <c r="B40"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D39" i="13"/>
  <c r="C39" i="13"/>
  <c r="B39" i="13"/>
  <c r="C35" i="13"/>
  <c r="B35" i="13"/>
  <c r="C34" i="13"/>
  <c r="B34" i="13"/>
  <c r="C33" i="13"/>
  <c r="B33" i="13"/>
  <c r="C32" i="13"/>
  <c r="B32" i="13"/>
  <c r="AZ31" i="13"/>
  <c r="AX31" i="13"/>
  <c r="AW31" i="13"/>
  <c r="AV31" i="13"/>
  <c r="AT31" i="13"/>
  <c r="AS31" i="13"/>
  <c r="AR31" i="13"/>
  <c r="AP31" i="13"/>
  <c r="AO31" i="13"/>
  <c r="AN31" i="13"/>
  <c r="AL31" i="13"/>
  <c r="AK31" i="13"/>
  <c r="AJ31" i="13"/>
  <c r="AH31" i="13"/>
  <c r="AG31" i="13"/>
  <c r="AF31" i="13"/>
  <c r="AD31" i="13"/>
  <c r="AC31" i="13"/>
  <c r="AB31" i="13"/>
  <c r="Z31" i="13"/>
  <c r="Y31" i="13"/>
  <c r="X31" i="13"/>
  <c r="V31" i="13"/>
  <c r="U31" i="13"/>
  <c r="T31" i="13"/>
  <c r="R31" i="13"/>
  <c r="Q31" i="13"/>
  <c r="P31" i="13"/>
  <c r="N31" i="13"/>
  <c r="M31" i="13"/>
  <c r="L31" i="13"/>
  <c r="J31" i="13"/>
  <c r="I31" i="13"/>
  <c r="H31" i="13"/>
  <c r="F31" i="13"/>
  <c r="E31" i="13"/>
  <c r="D31" i="13"/>
  <c r="B31" i="13"/>
  <c r="C29" i="13"/>
  <c r="B29" i="13"/>
  <c r="AZ28" i="13"/>
  <c r="AY28" i="13"/>
  <c r="AX28" i="13"/>
  <c r="AW28" i="13"/>
  <c r="AV28" i="13"/>
  <c r="AU28" i="13"/>
  <c r="AT28" i="13"/>
  <c r="AS28" i="13"/>
  <c r="AR28" i="13"/>
  <c r="AQ28" i="13"/>
  <c r="AP28" i="13"/>
  <c r="AO28" i="13"/>
  <c r="AN28" i="13"/>
  <c r="AM28" i="13"/>
  <c r="AL28" i="13"/>
  <c r="AK28" i="13"/>
  <c r="AJ28" i="13"/>
  <c r="AI28" i="13"/>
  <c r="AH28" i="13"/>
  <c r="AG28" i="13"/>
  <c r="AF28" i="13"/>
  <c r="AE28" i="13"/>
  <c r="AD28" i="13"/>
  <c r="AC28" i="13"/>
  <c r="AB28" i="13"/>
  <c r="C20" i="13"/>
  <c r="B20" i="13"/>
  <c r="I19" i="13"/>
  <c r="J19" i="13" s="1"/>
  <c r="K19" i="13" s="1"/>
  <c r="L19" i="13" s="1"/>
  <c r="M19" i="13" s="1"/>
  <c r="N19" i="13" s="1"/>
  <c r="O19" i="13" s="1"/>
  <c r="P19" i="13" s="1"/>
  <c r="Q19" i="13" s="1"/>
  <c r="R19" i="13" s="1"/>
  <c r="S19" i="13" s="1"/>
  <c r="T19" i="13" s="1"/>
  <c r="U19" i="13" s="1"/>
  <c r="V19" i="13" s="1"/>
  <c r="W19" i="13" s="1"/>
  <c r="X19" i="13" s="1"/>
  <c r="Y19" i="13" s="1"/>
  <c r="Z19" i="13" s="1"/>
  <c r="AA19" i="13" s="1"/>
  <c r="AB19" i="13" s="1"/>
  <c r="AC19" i="13" s="1"/>
  <c r="AD19" i="13" s="1"/>
  <c r="AE19" i="13" s="1"/>
  <c r="AF19" i="13" s="1"/>
  <c r="AG19" i="13" s="1"/>
  <c r="AH19" i="13" s="1"/>
  <c r="AI19" i="13" s="1"/>
  <c r="AJ19" i="13" s="1"/>
  <c r="AK19" i="13" s="1"/>
  <c r="AL19" i="13" s="1"/>
  <c r="AM19" i="13" s="1"/>
  <c r="AN19" i="13" s="1"/>
  <c r="AO19" i="13" s="1"/>
  <c r="AP19" i="13" s="1"/>
  <c r="AQ19" i="13" s="1"/>
  <c r="AR19" i="13" s="1"/>
  <c r="AS19" i="13" s="1"/>
  <c r="AT19" i="13" s="1"/>
  <c r="AU19" i="13" s="1"/>
  <c r="AV19" i="13" s="1"/>
  <c r="AW19" i="13" s="1"/>
  <c r="AX19" i="13" s="1"/>
  <c r="AY19" i="13" s="1"/>
  <c r="AZ19" i="13" s="1"/>
  <c r="H19" i="13"/>
  <c r="E19" i="13"/>
  <c r="F19" i="13" s="1"/>
  <c r="G19" i="13" s="1"/>
  <c r="D19" i="13"/>
  <c r="C17" i="13"/>
  <c r="A6" i="13"/>
  <c r="K24" i="12"/>
  <c r="G24" i="12"/>
  <c r="F24" i="12"/>
  <c r="H24" i="12" s="1"/>
  <c r="I24" i="12" s="1"/>
  <c r="E24" i="12"/>
  <c r="K23" i="12"/>
  <c r="I23" i="12"/>
  <c r="H23" i="12"/>
  <c r="G23" i="12"/>
  <c r="F23" i="12"/>
  <c r="E23" i="12"/>
  <c r="K22" i="12"/>
  <c r="F22" i="12"/>
  <c r="H22" i="12" s="1"/>
  <c r="I22" i="12" s="1"/>
  <c r="E22" i="12"/>
  <c r="K21" i="12"/>
  <c r="H21" i="12"/>
  <c r="I21" i="12" s="1"/>
  <c r="G21" i="12"/>
  <c r="F21" i="12"/>
  <c r="E21" i="12"/>
  <c r="K20" i="12"/>
  <c r="F20" i="12"/>
  <c r="G20" i="12" s="1"/>
  <c r="E20" i="12"/>
  <c r="K19" i="12"/>
  <c r="H19" i="12"/>
  <c r="I19" i="12" s="1"/>
  <c r="G19" i="12"/>
  <c r="F19" i="12"/>
  <c r="E19" i="12"/>
  <c r="K18" i="12"/>
  <c r="F18" i="12"/>
  <c r="E18" i="12"/>
  <c r="K17" i="12"/>
  <c r="I17" i="12"/>
  <c r="H17" i="12"/>
  <c r="G17" i="12"/>
  <c r="F17" i="12"/>
  <c r="E17" i="12"/>
  <c r="K16" i="12"/>
  <c r="H16" i="12"/>
  <c r="I16" i="12" s="1"/>
  <c r="G16" i="12"/>
  <c r="F16" i="12"/>
  <c r="E16" i="12"/>
  <c r="K15" i="12"/>
  <c r="H15" i="12"/>
  <c r="I15" i="12" s="1"/>
  <c r="G15" i="12"/>
  <c r="F15" i="12"/>
  <c r="E15" i="12"/>
  <c r="K14" i="12"/>
  <c r="F14" i="12"/>
  <c r="E14" i="12"/>
  <c r="K13" i="12"/>
  <c r="G13" i="12"/>
  <c r="F13" i="12"/>
  <c r="H13" i="12" s="1"/>
  <c r="I13" i="12" s="1"/>
  <c r="E13" i="12"/>
  <c r="K12" i="12"/>
  <c r="I12" i="12"/>
  <c r="H12" i="12"/>
  <c r="G12" i="12"/>
  <c r="F12" i="12"/>
  <c r="E12" i="12"/>
  <c r="K11" i="12"/>
  <c r="F11" i="12"/>
  <c r="H11" i="12" s="1"/>
  <c r="I11" i="12" s="1"/>
  <c r="E11" i="12"/>
  <c r="K10" i="12"/>
  <c r="F10" i="12"/>
  <c r="E10" i="12"/>
  <c r="Q22" i="11"/>
  <c r="P22" i="11"/>
  <c r="O22" i="11"/>
  <c r="N22" i="11"/>
  <c r="M22" i="11"/>
  <c r="L22" i="11"/>
  <c r="K22" i="11"/>
  <c r="J22" i="11"/>
  <c r="I22" i="11"/>
  <c r="H22" i="11"/>
  <c r="G22" i="11"/>
  <c r="F22" i="11"/>
  <c r="E149" i="13" s="1" a="1"/>
  <c r="E149" i="13" s="1"/>
  <c r="E22" i="11"/>
  <c r="D22" i="11"/>
  <c r="C22" i="11"/>
  <c r="H9" i="11"/>
  <c r="M8" i="11"/>
  <c r="J8" i="23" s="1"/>
  <c r="H8" i="11"/>
  <c r="M7" i="11"/>
  <c r="H7" i="11"/>
  <c r="A7" i="11"/>
  <c r="M6" i="11"/>
  <c r="N7" i="10"/>
  <c r="N6" i="10"/>
  <c r="A8" i="8"/>
  <c r="A9" i="8" s="1"/>
  <c r="A10" i="8" s="1"/>
  <c r="A11" i="8" s="1"/>
  <c r="A12" i="8" s="1"/>
  <c r="A13" i="8" s="1"/>
  <c r="A14" i="8" s="1"/>
  <c r="A15" i="8" s="1"/>
  <c r="A16" i="8" s="1"/>
  <c r="A17" i="8" s="1"/>
  <c r="A18" i="8" s="1"/>
  <c r="A19" i="8" s="1"/>
  <c r="A20" i="8" s="1"/>
  <c r="A21" i="8" s="1"/>
  <c r="A22" i="8" s="1"/>
  <c r="A23" i="8" s="1"/>
  <c r="A24" i="8" s="1"/>
  <c r="A7" i="8"/>
  <c r="A6" i="8"/>
  <c r="B5" i="8"/>
  <c r="G7" i="7"/>
  <c r="G6" i="7"/>
  <c r="G8" i="7" s="1"/>
  <c r="N76" i="6"/>
  <c r="N75" i="6"/>
  <c r="N74" i="6"/>
  <c r="N73" i="6"/>
  <c r="M73" i="6"/>
  <c r="L73" i="6"/>
  <c r="K73" i="6"/>
  <c r="J73" i="6"/>
  <c r="I73" i="6"/>
  <c r="H73" i="6"/>
  <c r="G73" i="6"/>
  <c r="F73" i="6"/>
  <c r="E73" i="6"/>
  <c r="D73" i="6"/>
  <c r="C73" i="6"/>
  <c r="B73" i="6"/>
  <c r="N72" i="6"/>
  <c r="N71" i="6"/>
  <c r="N70" i="6"/>
  <c r="N69" i="6"/>
  <c r="N68" i="6"/>
  <c r="M67" i="6"/>
  <c r="L67" i="6"/>
  <c r="K67" i="6"/>
  <c r="J67" i="6"/>
  <c r="I67" i="6"/>
  <c r="H67" i="6"/>
  <c r="G67" i="6"/>
  <c r="F67" i="6"/>
  <c r="E67" i="6"/>
  <c r="D67" i="6"/>
  <c r="C67" i="6"/>
  <c r="B67" i="6"/>
  <c r="N66" i="6"/>
  <c r="N65" i="6"/>
  <c r="N64" i="6"/>
  <c r="N63" i="6"/>
  <c r="N62" i="6"/>
  <c r="N61" i="6"/>
  <c r="N60" i="6"/>
  <c r="N59" i="6"/>
  <c r="N58" i="6"/>
  <c r="N57" i="6"/>
  <c r="N56" i="6"/>
  <c r="N55" i="6"/>
  <c r="N54" i="6"/>
  <c r="N53" i="6"/>
  <c r="N52" i="6"/>
  <c r="M51" i="6"/>
  <c r="L51" i="6"/>
  <c r="K51" i="6"/>
  <c r="J51" i="6"/>
  <c r="I51" i="6"/>
  <c r="H51" i="6"/>
  <c r="G51" i="6"/>
  <c r="F51" i="6"/>
  <c r="E51" i="6"/>
  <c r="D51" i="6"/>
  <c r="C51" i="6"/>
  <c r="N51" i="6" s="1"/>
  <c r="B51" i="6"/>
  <c r="N50" i="6"/>
  <c r="N49" i="6"/>
  <c r="N48" i="6"/>
  <c r="N47" i="6"/>
  <c r="N46" i="6"/>
  <c r="N45" i="6"/>
  <c r="N44" i="6"/>
  <c r="N43" i="6"/>
  <c r="N42" i="6"/>
  <c r="N41" i="6"/>
  <c r="N40" i="6"/>
  <c r="N39" i="6"/>
  <c r="N38" i="6"/>
  <c r="N37" i="6"/>
  <c r="N36" i="6"/>
  <c r="N35" i="6"/>
  <c r="N34" i="6"/>
  <c r="N33" i="6"/>
  <c r="N32" i="6"/>
  <c r="N31" i="6"/>
  <c r="M30" i="6"/>
  <c r="L30" i="6"/>
  <c r="K30" i="6"/>
  <c r="J30" i="6"/>
  <c r="I30" i="6"/>
  <c r="H30" i="6"/>
  <c r="G30" i="6"/>
  <c r="F30" i="6"/>
  <c r="D30" i="6"/>
  <c r="C30" i="6"/>
  <c r="B30" i="6"/>
  <c r="N29" i="6" a="1"/>
  <c r="N29" i="6" s="1"/>
  <c r="N28" i="6" a="1"/>
  <c r="N28" i="6"/>
  <c r="N27" i="6" a="1"/>
  <c r="N27" i="6" s="1"/>
  <c r="N26" i="6" a="1"/>
  <c r="N26" i="6" s="1"/>
  <c r="G25" i="6"/>
  <c r="N25" i="6" s="1" a="1"/>
  <c r="N25" i="6" s="1"/>
  <c r="N24" i="6" a="1"/>
  <c r="N24" i="6"/>
  <c r="M23" i="6"/>
  <c r="L23" i="6"/>
  <c r="K23" i="6"/>
  <c r="J23" i="6"/>
  <c r="I23" i="6"/>
  <c r="H23" i="6"/>
  <c r="G23" i="6"/>
  <c r="F23" i="6"/>
  <c r="N23" i="6" s="1"/>
  <c r="E23" i="6"/>
  <c r="D23" i="6"/>
  <c r="C23" i="6"/>
  <c r="B23" i="6"/>
  <c r="E22" i="6"/>
  <c r="E18" i="6" s="1"/>
  <c r="D22" i="6"/>
  <c r="C22" i="6"/>
  <c r="N21" i="6" a="1"/>
  <c r="N21" i="6"/>
  <c r="N20" i="6" a="1"/>
  <c r="N20" i="6"/>
  <c r="N19" i="6" a="1"/>
  <c r="N19" i="6"/>
  <c r="C18" i="6"/>
  <c r="B18" i="6"/>
  <c r="N17" i="6" a="1"/>
  <c r="N17" i="6"/>
  <c r="M16" i="6"/>
  <c r="L16" i="6"/>
  <c r="K16" i="6"/>
  <c r="J16" i="6"/>
  <c r="I16" i="6"/>
  <c r="H16" i="6"/>
  <c r="G16" i="6"/>
  <c r="F16" i="6"/>
  <c r="N16" i="6" s="1"/>
  <c r="E16" i="6"/>
  <c r="D16" i="6"/>
  <c r="C16" i="6"/>
  <c r="B16" i="6"/>
  <c r="B78" i="6" s="1"/>
  <c r="N15" i="6" a="1"/>
  <c r="N15" i="6"/>
  <c r="N14" i="6" a="1"/>
  <c r="N14" i="6" s="1"/>
  <c r="N13" i="6" a="1"/>
  <c r="N13" i="6" s="1"/>
  <c r="C12" i="6"/>
  <c r="C11" i="6"/>
  <c r="D11" i="6" s="1"/>
  <c r="N10" i="6" a="1"/>
  <c r="N10" i="6"/>
  <c r="N9" i="6" a="1"/>
  <c r="N9" i="6"/>
  <c r="B8" i="6"/>
  <c r="N7" i="6" a="1"/>
  <c r="N7" i="6"/>
  <c r="M6" i="6"/>
  <c r="L6" i="6"/>
  <c r="K6" i="6"/>
  <c r="J6" i="6"/>
  <c r="I6" i="6"/>
  <c r="H6" i="6"/>
  <c r="G6" i="6"/>
  <c r="F6" i="6"/>
  <c r="N6" i="6" s="1"/>
  <c r="E6" i="6"/>
  <c r="D6" i="6"/>
  <c r="C6" i="6"/>
  <c r="B6" i="6"/>
  <c r="B21" i="5"/>
  <c r="B20" i="5"/>
  <c r="B19" i="5"/>
  <c r="B18" i="5"/>
  <c r="B17" i="5"/>
  <c r="B16" i="5"/>
  <c r="B15" i="5"/>
  <c r="B14" i="5"/>
  <c r="B13" i="5"/>
  <c r="B12" i="5"/>
  <c r="B11" i="5"/>
  <c r="B10" i="5"/>
  <c r="B9" i="5"/>
  <c r="B8" i="5"/>
  <c r="G8" i="24" s="1"/>
  <c r="B7" i="5"/>
  <c r="G7" i="24" s="1"/>
  <c r="B6" i="5"/>
  <c r="C10" i="4"/>
  <c r="B10" i="4"/>
  <c r="A10" i="4"/>
  <c r="C9" i="4"/>
  <c r="B9" i="4"/>
  <c r="A9" i="4"/>
  <c r="C8" i="4"/>
  <c r="B8" i="4"/>
  <c r="A8" i="4"/>
  <c r="C7" i="4"/>
  <c r="B7" i="4"/>
  <c r="A7" i="4"/>
  <c r="C6" i="4"/>
  <c r="B6" i="4"/>
  <c r="A6" i="4"/>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B7" i="3"/>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A7" i="3"/>
  <c r="W6" i="3"/>
  <c r="V6" i="3"/>
  <c r="U6" i="3"/>
  <c r="M6" i="3"/>
  <c r="L6" i="3"/>
  <c r="K6" i="3"/>
  <c r="A6" i="3"/>
  <c r="C36" i="2"/>
  <c r="B36" i="2"/>
  <c r="A36" i="2"/>
  <c r="C35" i="2"/>
  <c r="B35" i="2"/>
  <c r="A35" i="2"/>
  <c r="C34" i="2"/>
  <c r="B34" i="2"/>
  <c r="A34" i="2"/>
  <c r="C17" i="2"/>
  <c r="B17" i="2"/>
  <c r="A17" i="2"/>
  <c r="C16" i="2"/>
  <c r="B16" i="2"/>
  <c r="A16" i="2"/>
  <c r="K15" i="2"/>
  <c r="F9" i="5" s="1"/>
  <c r="C15" i="2"/>
  <c r="B15" i="2"/>
  <c r="A15" i="2"/>
  <c r="K13" i="2"/>
  <c r="K12" i="2"/>
  <c r="B10" i="20" s="1"/>
  <c r="K11" i="2"/>
  <c r="B9" i="20" s="1"/>
  <c r="K9" i="2"/>
  <c r="B8" i="20" s="1"/>
  <c r="I9" i="2"/>
  <c r="H9" i="2"/>
  <c r="G9" i="2"/>
  <c r="F9" i="2"/>
  <c r="E9" i="2"/>
  <c r="D9" i="2"/>
  <c r="C9" i="2"/>
  <c r="B9" i="2"/>
  <c r="A9" i="2"/>
  <c r="I8" i="2"/>
  <c r="H8" i="2"/>
  <c r="G8" i="2"/>
  <c r="F8" i="2"/>
  <c r="E8" i="2"/>
  <c r="D8" i="2"/>
  <c r="C8" i="2"/>
  <c r="B8" i="2"/>
  <c r="A8" i="2"/>
  <c r="I7" i="2"/>
  <c r="H7" i="2"/>
  <c r="G7" i="2"/>
  <c r="F7" i="2"/>
  <c r="E7" i="2"/>
  <c r="D7" i="2"/>
  <c r="C7" i="2"/>
  <c r="B7" i="2"/>
  <c r="A7" i="2"/>
  <c r="J5" i="2"/>
  <c r="D5" i="23" s="1"/>
  <c r="D77" i="13" l="1"/>
  <c r="E77" i="13" s="1"/>
  <c r="F77" i="13" s="1"/>
  <c r="G77" i="13" s="1"/>
  <c r="H77" i="13" s="1"/>
  <c r="I77" i="13" s="1"/>
  <c r="J77" i="13" s="1"/>
  <c r="K77" i="13" s="1"/>
  <c r="L77" i="13" s="1"/>
  <c r="M77" i="13" s="1"/>
  <c r="N77" i="13" s="1"/>
  <c r="O77" i="13" s="1"/>
  <c r="P77" i="13" s="1"/>
  <c r="Q77" i="13" s="1"/>
  <c r="R77" i="13" s="1"/>
  <c r="S77" i="13" s="1"/>
  <c r="T77" i="13" s="1"/>
  <c r="U77" i="13" s="1"/>
  <c r="V77" i="13" s="1"/>
  <c r="W77" i="13" s="1"/>
  <c r="X77" i="13" s="1"/>
  <c r="Y77" i="13" s="1"/>
  <c r="Z77" i="13" s="1"/>
  <c r="AA77" i="13" s="1"/>
  <c r="AB77" i="13" s="1"/>
  <c r="AC77" i="13" s="1"/>
  <c r="AD77" i="13" s="1"/>
  <c r="AE77" i="13" s="1"/>
  <c r="AF77" i="13" s="1"/>
  <c r="AG77" i="13" s="1"/>
  <c r="AH77" i="13" s="1"/>
  <c r="AI77" i="13" s="1"/>
  <c r="AJ77" i="13" s="1"/>
  <c r="AK77" i="13" s="1"/>
  <c r="AL77" i="13" s="1"/>
  <c r="AM77" i="13" s="1"/>
  <c r="AN77" i="13" s="1"/>
  <c r="AO77" i="13" s="1"/>
  <c r="AP77" i="13" s="1"/>
  <c r="AQ77" i="13" s="1"/>
  <c r="AR77" i="13" s="1"/>
  <c r="AS77" i="13" s="1"/>
  <c r="AT77" i="13" s="1"/>
  <c r="AU77" i="13" s="1"/>
  <c r="AV77" i="13" s="1"/>
  <c r="AW77" i="13" s="1"/>
  <c r="AX77" i="13" s="1"/>
  <c r="AY77" i="13" s="1"/>
  <c r="AZ77" i="13" s="1"/>
  <c r="V7" i="3"/>
  <c r="V8" i="3" s="1"/>
  <c r="V9" i="3" s="1"/>
  <c r="V10" i="3" s="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D16" i="13"/>
  <c r="E16" i="13" s="1"/>
  <c r="F16" i="13" s="1"/>
  <c r="G16" i="13" s="1"/>
  <c r="H16" i="13" s="1"/>
  <c r="I16" i="13" s="1"/>
  <c r="J16" i="13" s="1"/>
  <c r="K16" i="13" s="1"/>
  <c r="L16" i="13" s="1"/>
  <c r="M16" i="13" s="1"/>
  <c r="N16" i="13" s="1"/>
  <c r="O16" i="13" s="1"/>
  <c r="P16" i="13" s="1"/>
  <c r="Q16" i="13" s="1"/>
  <c r="R16" i="13" s="1"/>
  <c r="S16" i="13" s="1"/>
  <c r="T16" i="13" s="1"/>
  <c r="U16" i="13" s="1"/>
  <c r="V16" i="13" s="1"/>
  <c r="W16" i="13" s="1"/>
  <c r="X16" i="13" s="1"/>
  <c r="Y16" i="13" s="1"/>
  <c r="Z16" i="13" s="1"/>
  <c r="AA16" i="13" s="1"/>
  <c r="AB16" i="13" s="1"/>
  <c r="AC16" i="13" s="1"/>
  <c r="AD16" i="13" s="1"/>
  <c r="AE16" i="13" s="1"/>
  <c r="AF16" i="13" s="1"/>
  <c r="AG16" i="13" s="1"/>
  <c r="AH16" i="13" s="1"/>
  <c r="AI16" i="13" s="1"/>
  <c r="AJ16" i="13" s="1"/>
  <c r="AK16" i="13" s="1"/>
  <c r="AL16" i="13" s="1"/>
  <c r="AM16" i="13" s="1"/>
  <c r="AN16" i="13" s="1"/>
  <c r="AO16" i="13" s="1"/>
  <c r="AP16" i="13" s="1"/>
  <c r="AQ16" i="13" s="1"/>
  <c r="AR16" i="13" s="1"/>
  <c r="AS16" i="13" s="1"/>
  <c r="AT16" i="13" s="1"/>
  <c r="AU16" i="13" s="1"/>
  <c r="AV16" i="13" s="1"/>
  <c r="AW16" i="13" s="1"/>
  <c r="AX16" i="13" s="1"/>
  <c r="AY16" i="13" s="1"/>
  <c r="AZ16" i="13" s="1"/>
  <c r="N30" i="6"/>
  <c r="D99" i="13"/>
  <c r="D9" i="13"/>
  <c r="D54" i="13"/>
  <c r="G22" i="12"/>
  <c r="X6" i="3"/>
  <c r="B6" i="20"/>
  <c r="D152" i="13"/>
  <c r="E152" i="13" s="1"/>
  <c r="F152" i="13" s="1"/>
  <c r="G152" i="13" s="1"/>
  <c r="H152" i="13" s="1"/>
  <c r="I152" i="13" s="1"/>
  <c r="J152" i="13" s="1"/>
  <c r="K152" i="13" s="1"/>
  <c r="L152" i="13" s="1"/>
  <c r="M152" i="13" s="1"/>
  <c r="N152" i="13" s="1"/>
  <c r="O152" i="13" s="1"/>
  <c r="P152" i="13" s="1"/>
  <c r="Q152" i="13" s="1"/>
  <c r="R152" i="13" s="1"/>
  <c r="S152" i="13" s="1"/>
  <c r="T152" i="13" s="1"/>
  <c r="U152" i="13" s="1"/>
  <c r="V152" i="13" s="1"/>
  <c r="W152" i="13" s="1"/>
  <c r="X152" i="13" s="1"/>
  <c r="Y152" i="13" s="1"/>
  <c r="Z152" i="13" s="1"/>
  <c r="AA152" i="13" s="1"/>
  <c r="AB152" i="13" s="1"/>
  <c r="AC152" i="13" s="1"/>
  <c r="AD152" i="13" s="1"/>
  <c r="AE152" i="13" s="1"/>
  <c r="AF152" i="13" s="1"/>
  <c r="AG152" i="13" s="1"/>
  <c r="AH152" i="13" s="1"/>
  <c r="AI152" i="13" s="1"/>
  <c r="AJ152" i="13" s="1"/>
  <c r="AK152" i="13" s="1"/>
  <c r="AL152" i="13" s="1"/>
  <c r="AM152" i="13" s="1"/>
  <c r="AN152" i="13" s="1"/>
  <c r="AO152" i="13" s="1"/>
  <c r="AP152" i="13" s="1"/>
  <c r="AQ152" i="13" s="1"/>
  <c r="AR152" i="13" s="1"/>
  <c r="AS152" i="13" s="1"/>
  <c r="AT152" i="13" s="1"/>
  <c r="AU152" i="13" s="1"/>
  <c r="AV152" i="13" s="1"/>
  <c r="AW152" i="13" s="1"/>
  <c r="AX152" i="13" s="1"/>
  <c r="AY152" i="13" s="1"/>
  <c r="AZ152" i="13" s="1"/>
  <c r="D159" i="13"/>
  <c r="E159" i="13" s="1"/>
  <c r="F159" i="13" s="1"/>
  <c r="G159" i="13" s="1"/>
  <c r="H159" i="13" s="1"/>
  <c r="I159" i="13" s="1"/>
  <c r="J159" i="13" s="1"/>
  <c r="K159" i="13" s="1"/>
  <c r="L159" i="13" s="1"/>
  <c r="M159" i="13" s="1"/>
  <c r="N159" i="13" s="1"/>
  <c r="O159" i="13" s="1"/>
  <c r="P159" i="13" s="1"/>
  <c r="Q159" i="13" s="1"/>
  <c r="R159" i="13" s="1"/>
  <c r="S159" i="13" s="1"/>
  <c r="T159" i="13" s="1"/>
  <c r="U159" i="13" s="1"/>
  <c r="V159" i="13" s="1"/>
  <c r="W159" i="13" s="1"/>
  <c r="X159" i="13" s="1"/>
  <c r="Y159" i="13" s="1"/>
  <c r="Z159" i="13" s="1"/>
  <c r="AA159" i="13" s="1"/>
  <c r="AB159" i="13" s="1"/>
  <c r="AC159" i="13" s="1"/>
  <c r="AD159" i="13" s="1"/>
  <c r="AE159" i="13" s="1"/>
  <c r="AF159" i="13" s="1"/>
  <c r="AG159" i="13" s="1"/>
  <c r="AH159" i="13" s="1"/>
  <c r="AI159" i="13" s="1"/>
  <c r="AJ159" i="13" s="1"/>
  <c r="AK159" i="13" s="1"/>
  <c r="AL159" i="13" s="1"/>
  <c r="AM159" i="13" s="1"/>
  <c r="AN159" i="13" s="1"/>
  <c r="AO159" i="13" s="1"/>
  <c r="AP159" i="13" s="1"/>
  <c r="AQ159" i="13" s="1"/>
  <c r="AR159" i="13" s="1"/>
  <c r="AS159" i="13" s="1"/>
  <c r="AT159" i="13" s="1"/>
  <c r="AU159" i="13" s="1"/>
  <c r="AV159" i="13" s="1"/>
  <c r="AW159" i="13" s="1"/>
  <c r="AX159" i="13" s="1"/>
  <c r="AY159" i="13" s="1"/>
  <c r="AZ159" i="13" s="1"/>
  <c r="D158" i="13"/>
  <c r="E158" i="13" s="1"/>
  <c r="F158" i="13" s="1"/>
  <c r="G158" i="13" s="1"/>
  <c r="H158" i="13" s="1"/>
  <c r="I158" i="13" s="1"/>
  <c r="J158" i="13" s="1"/>
  <c r="K158" i="13" s="1"/>
  <c r="L158" i="13" s="1"/>
  <c r="M158" i="13" s="1"/>
  <c r="N158" i="13" s="1"/>
  <c r="O158" i="13" s="1"/>
  <c r="P158" i="13" s="1"/>
  <c r="Q158" i="13" s="1"/>
  <c r="R158" i="13" s="1"/>
  <c r="S158" i="13" s="1"/>
  <c r="T158" i="13" s="1"/>
  <c r="U158" i="13" s="1"/>
  <c r="V158" i="13" s="1"/>
  <c r="W158" i="13" s="1"/>
  <c r="X158" i="13" s="1"/>
  <c r="Y158" i="13" s="1"/>
  <c r="Z158" i="13" s="1"/>
  <c r="AA158" i="13" s="1"/>
  <c r="AB158" i="13" s="1"/>
  <c r="AC158" i="13" s="1"/>
  <c r="AD158" i="13" s="1"/>
  <c r="AE158" i="13" s="1"/>
  <c r="AF158" i="13" s="1"/>
  <c r="AG158" i="13" s="1"/>
  <c r="AH158" i="13" s="1"/>
  <c r="AI158" i="13" s="1"/>
  <c r="AJ158" i="13" s="1"/>
  <c r="AK158" i="13" s="1"/>
  <c r="AL158" i="13" s="1"/>
  <c r="AM158" i="13" s="1"/>
  <c r="AN158" i="13" s="1"/>
  <c r="AO158" i="13" s="1"/>
  <c r="AP158" i="13" s="1"/>
  <c r="AQ158" i="13" s="1"/>
  <c r="AR158" i="13" s="1"/>
  <c r="AS158" i="13" s="1"/>
  <c r="AT158" i="13" s="1"/>
  <c r="AU158" i="13" s="1"/>
  <c r="AV158" i="13" s="1"/>
  <c r="AW158" i="13" s="1"/>
  <c r="AX158" i="13" s="1"/>
  <c r="AY158" i="13" s="1"/>
  <c r="AZ158" i="13" s="1"/>
  <c r="D172" i="13"/>
  <c r="E172" i="13" s="1"/>
  <c r="F172" i="13" s="1"/>
  <c r="G172" i="13" s="1"/>
  <c r="H172" i="13" s="1"/>
  <c r="I172" i="13" s="1"/>
  <c r="J172" i="13" s="1"/>
  <c r="K172" i="13" s="1"/>
  <c r="L172" i="13" s="1"/>
  <c r="M172" i="13" s="1"/>
  <c r="N172" i="13" s="1"/>
  <c r="O172" i="13" s="1"/>
  <c r="P172" i="13" s="1"/>
  <c r="Q172" i="13" s="1"/>
  <c r="R172" i="13" s="1"/>
  <c r="S172" i="13" s="1"/>
  <c r="T172" i="13" s="1"/>
  <c r="U172" i="13" s="1"/>
  <c r="V172" i="13" s="1"/>
  <c r="W172" i="13" s="1"/>
  <c r="X172" i="13" s="1"/>
  <c r="Y172" i="13" s="1"/>
  <c r="Z172" i="13" s="1"/>
  <c r="AA172" i="13" s="1"/>
  <c r="AB172" i="13" s="1"/>
  <c r="AC172" i="13" s="1"/>
  <c r="AD172" i="13" s="1"/>
  <c r="AE172" i="13" s="1"/>
  <c r="AF172" i="13" s="1"/>
  <c r="AG172" i="13" s="1"/>
  <c r="AH172" i="13" s="1"/>
  <c r="AI172" i="13" s="1"/>
  <c r="AJ172" i="13" s="1"/>
  <c r="AK172" i="13" s="1"/>
  <c r="AL172" i="13" s="1"/>
  <c r="AM172" i="13" s="1"/>
  <c r="AN172" i="13" s="1"/>
  <c r="AO172" i="13" s="1"/>
  <c r="AP172" i="13" s="1"/>
  <c r="AQ172" i="13" s="1"/>
  <c r="AR172" i="13" s="1"/>
  <c r="AS172" i="13" s="1"/>
  <c r="AT172" i="13" s="1"/>
  <c r="AU172" i="13" s="1"/>
  <c r="AV172" i="13" s="1"/>
  <c r="AW172" i="13" s="1"/>
  <c r="AX172" i="13" s="1"/>
  <c r="AY172" i="13" s="1"/>
  <c r="AZ172" i="13" s="1"/>
  <c r="D147" i="13"/>
  <c r="E147" i="13" s="1"/>
  <c r="F147" i="13" s="1"/>
  <c r="G147" i="13" s="1"/>
  <c r="H147" i="13" s="1"/>
  <c r="I147" i="13" s="1"/>
  <c r="J147" i="13" s="1"/>
  <c r="K147" i="13" s="1"/>
  <c r="L147" i="13" s="1"/>
  <c r="M147" i="13" s="1"/>
  <c r="N147" i="13" s="1"/>
  <c r="O147" i="13" s="1"/>
  <c r="P147" i="13" s="1"/>
  <c r="Q147" i="13" s="1"/>
  <c r="R147" i="13" s="1"/>
  <c r="S147" i="13" s="1"/>
  <c r="T147" i="13" s="1"/>
  <c r="U147" i="13" s="1"/>
  <c r="V147" i="13" s="1"/>
  <c r="W147" i="13" s="1"/>
  <c r="X147" i="13" s="1"/>
  <c r="Y147" i="13" s="1"/>
  <c r="Z147" i="13" s="1"/>
  <c r="AA147" i="13" s="1"/>
  <c r="AB147" i="13" s="1"/>
  <c r="AC147" i="13" s="1"/>
  <c r="AD147" i="13" s="1"/>
  <c r="AE147" i="13" s="1"/>
  <c r="AF147" i="13" s="1"/>
  <c r="AG147" i="13" s="1"/>
  <c r="AH147" i="13" s="1"/>
  <c r="AI147" i="13" s="1"/>
  <c r="AJ147" i="13" s="1"/>
  <c r="AK147" i="13" s="1"/>
  <c r="AL147" i="13" s="1"/>
  <c r="AM147" i="13" s="1"/>
  <c r="AN147" i="13" s="1"/>
  <c r="AO147" i="13" s="1"/>
  <c r="AP147" i="13" s="1"/>
  <c r="AQ147" i="13" s="1"/>
  <c r="AR147" i="13" s="1"/>
  <c r="AS147" i="13" s="1"/>
  <c r="AT147" i="13" s="1"/>
  <c r="AU147" i="13" s="1"/>
  <c r="AV147" i="13" s="1"/>
  <c r="AW147" i="13" s="1"/>
  <c r="AX147" i="13" s="1"/>
  <c r="AY147" i="13" s="1"/>
  <c r="AZ147" i="13" s="1"/>
  <c r="D170" i="13"/>
  <c r="E170" i="13" s="1"/>
  <c r="F170" i="13" s="1"/>
  <c r="G170" i="13" s="1"/>
  <c r="H170" i="13" s="1"/>
  <c r="I170" i="13" s="1"/>
  <c r="J170" i="13" s="1"/>
  <c r="K170" i="13" s="1"/>
  <c r="L170" i="13" s="1"/>
  <c r="M170" i="13" s="1"/>
  <c r="N170" i="13" s="1"/>
  <c r="O170" i="13" s="1"/>
  <c r="P170" i="13" s="1"/>
  <c r="Q170" i="13" s="1"/>
  <c r="R170" i="13" s="1"/>
  <c r="S170" i="13" s="1"/>
  <c r="T170" i="13" s="1"/>
  <c r="U170" i="13" s="1"/>
  <c r="V170" i="13" s="1"/>
  <c r="W170" i="13" s="1"/>
  <c r="X170" i="13" s="1"/>
  <c r="Y170" i="13" s="1"/>
  <c r="Z170" i="13" s="1"/>
  <c r="AA170" i="13" s="1"/>
  <c r="AB170" i="13" s="1"/>
  <c r="AC170" i="13" s="1"/>
  <c r="AD170" i="13" s="1"/>
  <c r="AE170" i="13" s="1"/>
  <c r="AF170" i="13" s="1"/>
  <c r="AG170" i="13" s="1"/>
  <c r="AH170" i="13" s="1"/>
  <c r="AI170" i="13" s="1"/>
  <c r="AJ170" i="13" s="1"/>
  <c r="AK170" i="13" s="1"/>
  <c r="AL170" i="13" s="1"/>
  <c r="AM170" i="13" s="1"/>
  <c r="AN170" i="13" s="1"/>
  <c r="AO170" i="13" s="1"/>
  <c r="AP170" i="13" s="1"/>
  <c r="AQ170" i="13" s="1"/>
  <c r="AR170" i="13" s="1"/>
  <c r="AS170" i="13" s="1"/>
  <c r="AT170" i="13" s="1"/>
  <c r="AU170" i="13" s="1"/>
  <c r="AV170" i="13" s="1"/>
  <c r="AW170" i="13" s="1"/>
  <c r="AX170" i="13" s="1"/>
  <c r="AY170" i="13" s="1"/>
  <c r="AZ170" i="13" s="1"/>
  <c r="D177" i="13"/>
  <c r="E177" i="13" s="1"/>
  <c r="F177" i="13" s="1"/>
  <c r="G177" i="13" s="1"/>
  <c r="H177" i="13" s="1"/>
  <c r="I177" i="13" s="1"/>
  <c r="J177" i="13" s="1"/>
  <c r="K177" i="13" s="1"/>
  <c r="L177" i="13" s="1"/>
  <c r="M177" i="13" s="1"/>
  <c r="N177" i="13" s="1"/>
  <c r="O177" i="13" s="1"/>
  <c r="P177" i="13" s="1"/>
  <c r="Q177" i="13" s="1"/>
  <c r="R177" i="13" s="1"/>
  <c r="S177" i="13" s="1"/>
  <c r="T177" i="13" s="1"/>
  <c r="U177" i="13" s="1"/>
  <c r="V177" i="13" s="1"/>
  <c r="W177" i="13" s="1"/>
  <c r="X177" i="13" s="1"/>
  <c r="Y177" i="13" s="1"/>
  <c r="Z177" i="13" s="1"/>
  <c r="AA177" i="13" s="1"/>
  <c r="AB177" i="13" s="1"/>
  <c r="AC177" i="13" s="1"/>
  <c r="AD177" i="13" s="1"/>
  <c r="AE177" i="13" s="1"/>
  <c r="AF177" i="13" s="1"/>
  <c r="AG177" i="13" s="1"/>
  <c r="AH177" i="13" s="1"/>
  <c r="AI177" i="13" s="1"/>
  <c r="AJ177" i="13" s="1"/>
  <c r="AK177" i="13" s="1"/>
  <c r="AL177" i="13" s="1"/>
  <c r="AM177" i="13" s="1"/>
  <c r="AN177" i="13" s="1"/>
  <c r="AO177" i="13" s="1"/>
  <c r="AP177" i="13" s="1"/>
  <c r="AQ177" i="13" s="1"/>
  <c r="AR177" i="13" s="1"/>
  <c r="AS177" i="13" s="1"/>
  <c r="AT177" i="13" s="1"/>
  <c r="AU177" i="13" s="1"/>
  <c r="AV177" i="13" s="1"/>
  <c r="AW177" i="13" s="1"/>
  <c r="AX177" i="13" s="1"/>
  <c r="AY177" i="13" s="1"/>
  <c r="AZ177" i="13" s="1"/>
  <c r="D151" i="13"/>
  <c r="E151" i="13" s="1"/>
  <c r="F151" i="13" s="1"/>
  <c r="G151" i="13" s="1"/>
  <c r="H151" i="13" s="1"/>
  <c r="I151" i="13" s="1"/>
  <c r="J151" i="13" s="1"/>
  <c r="K151" i="13" s="1"/>
  <c r="L151" i="13" s="1"/>
  <c r="M151" i="13" s="1"/>
  <c r="N151" i="13" s="1"/>
  <c r="O151" i="13" s="1"/>
  <c r="P151" i="13" s="1"/>
  <c r="Q151" i="13" s="1"/>
  <c r="R151" i="13" s="1"/>
  <c r="S151" i="13" s="1"/>
  <c r="T151" i="13" s="1"/>
  <c r="U151" i="13" s="1"/>
  <c r="V151" i="13" s="1"/>
  <c r="W151" i="13" s="1"/>
  <c r="X151" i="13" s="1"/>
  <c r="Y151" i="13" s="1"/>
  <c r="Z151" i="13" s="1"/>
  <c r="AA151" i="13" s="1"/>
  <c r="AB151" i="13" s="1"/>
  <c r="AC151" i="13" s="1"/>
  <c r="AD151" i="13" s="1"/>
  <c r="AE151" i="13" s="1"/>
  <c r="AF151" i="13" s="1"/>
  <c r="AG151" i="13" s="1"/>
  <c r="AH151" i="13" s="1"/>
  <c r="AI151" i="13" s="1"/>
  <c r="AJ151" i="13" s="1"/>
  <c r="AK151" i="13" s="1"/>
  <c r="AL151" i="13" s="1"/>
  <c r="AM151" i="13" s="1"/>
  <c r="AN151" i="13" s="1"/>
  <c r="AO151" i="13" s="1"/>
  <c r="AP151" i="13" s="1"/>
  <c r="AQ151" i="13" s="1"/>
  <c r="AR151" i="13" s="1"/>
  <c r="AS151" i="13" s="1"/>
  <c r="AT151" i="13" s="1"/>
  <c r="AU151" i="13" s="1"/>
  <c r="AV151" i="13" s="1"/>
  <c r="AW151" i="13" s="1"/>
  <c r="AX151" i="13" s="1"/>
  <c r="AY151" i="13" s="1"/>
  <c r="AZ151" i="13" s="1"/>
  <c r="D127" i="13"/>
  <c r="E127" i="13" s="1"/>
  <c r="F127" i="13" s="1"/>
  <c r="G127" i="13" s="1"/>
  <c r="H127" i="13" s="1"/>
  <c r="I127" i="13" s="1"/>
  <c r="J127" i="13" s="1"/>
  <c r="K127" i="13" s="1"/>
  <c r="L127" i="13" s="1"/>
  <c r="M127" i="13" s="1"/>
  <c r="N127" i="13" s="1"/>
  <c r="O127" i="13" s="1"/>
  <c r="P127" i="13" s="1"/>
  <c r="Q127" i="13" s="1"/>
  <c r="R127" i="13" s="1"/>
  <c r="S127" i="13" s="1"/>
  <c r="T127" i="13" s="1"/>
  <c r="U127" i="13" s="1"/>
  <c r="V127" i="13" s="1"/>
  <c r="W127" i="13" s="1"/>
  <c r="X127" i="13" s="1"/>
  <c r="Y127" i="13" s="1"/>
  <c r="Z127" i="13" s="1"/>
  <c r="AA127" i="13" s="1"/>
  <c r="AB127" i="13" s="1"/>
  <c r="AC127" i="13" s="1"/>
  <c r="AD127" i="13" s="1"/>
  <c r="AE127" i="13" s="1"/>
  <c r="AF127" i="13" s="1"/>
  <c r="AG127" i="13" s="1"/>
  <c r="AH127" i="13" s="1"/>
  <c r="AI127" i="13" s="1"/>
  <c r="AJ127" i="13" s="1"/>
  <c r="AK127" i="13" s="1"/>
  <c r="AL127" i="13" s="1"/>
  <c r="AM127" i="13" s="1"/>
  <c r="AN127" i="13" s="1"/>
  <c r="AO127" i="13" s="1"/>
  <c r="AP127" i="13" s="1"/>
  <c r="AQ127" i="13" s="1"/>
  <c r="AR127" i="13" s="1"/>
  <c r="AS127" i="13" s="1"/>
  <c r="AT127" i="13" s="1"/>
  <c r="AU127" i="13" s="1"/>
  <c r="AV127" i="13" s="1"/>
  <c r="AW127" i="13" s="1"/>
  <c r="AX127" i="13" s="1"/>
  <c r="AY127" i="13" s="1"/>
  <c r="AZ127" i="13" s="1"/>
  <c r="D157" i="13"/>
  <c r="E157" i="13" s="1"/>
  <c r="F157" i="13" s="1"/>
  <c r="G157" i="13" s="1"/>
  <c r="H157" i="13" s="1"/>
  <c r="I157" i="13" s="1"/>
  <c r="J157" i="13" s="1"/>
  <c r="K157" i="13" s="1"/>
  <c r="L157" i="13" s="1"/>
  <c r="M157" i="13" s="1"/>
  <c r="N157" i="13" s="1"/>
  <c r="O157" i="13" s="1"/>
  <c r="P157" i="13" s="1"/>
  <c r="Q157" i="13" s="1"/>
  <c r="R157" i="13" s="1"/>
  <c r="S157" i="13" s="1"/>
  <c r="T157" i="13" s="1"/>
  <c r="U157" i="13" s="1"/>
  <c r="V157" i="13" s="1"/>
  <c r="W157" i="13" s="1"/>
  <c r="X157" i="13" s="1"/>
  <c r="Y157" i="13" s="1"/>
  <c r="Z157" i="13" s="1"/>
  <c r="AA157" i="13" s="1"/>
  <c r="AB157" i="13" s="1"/>
  <c r="AC157" i="13" s="1"/>
  <c r="AD157" i="13" s="1"/>
  <c r="AE157" i="13" s="1"/>
  <c r="AF157" i="13" s="1"/>
  <c r="AG157" i="13" s="1"/>
  <c r="AH157" i="13" s="1"/>
  <c r="AI157" i="13" s="1"/>
  <c r="AJ157" i="13" s="1"/>
  <c r="AK157" i="13" s="1"/>
  <c r="AL157" i="13" s="1"/>
  <c r="AM157" i="13" s="1"/>
  <c r="AN157" i="13" s="1"/>
  <c r="AO157" i="13" s="1"/>
  <c r="AP157" i="13" s="1"/>
  <c r="AQ157" i="13" s="1"/>
  <c r="AR157" i="13" s="1"/>
  <c r="AS157" i="13" s="1"/>
  <c r="AT157" i="13" s="1"/>
  <c r="AU157" i="13" s="1"/>
  <c r="AV157" i="13" s="1"/>
  <c r="AW157" i="13" s="1"/>
  <c r="AX157" i="13" s="1"/>
  <c r="AY157" i="13" s="1"/>
  <c r="AZ157" i="13" s="1"/>
  <c r="D132" i="13"/>
  <c r="E132" i="13" s="1"/>
  <c r="F132" i="13" s="1"/>
  <c r="G132" i="13" s="1"/>
  <c r="H132" i="13" s="1"/>
  <c r="I132" i="13" s="1"/>
  <c r="J132" i="13" s="1"/>
  <c r="K132" i="13" s="1"/>
  <c r="L132" i="13" s="1"/>
  <c r="M132" i="13" s="1"/>
  <c r="N132" i="13" s="1"/>
  <c r="O132" i="13" s="1"/>
  <c r="P132" i="13" s="1"/>
  <c r="Q132" i="13" s="1"/>
  <c r="R132" i="13" s="1"/>
  <c r="S132" i="13" s="1"/>
  <c r="T132" i="13" s="1"/>
  <c r="U132" i="13" s="1"/>
  <c r="V132" i="13" s="1"/>
  <c r="W132" i="13" s="1"/>
  <c r="X132" i="13" s="1"/>
  <c r="Y132" i="13" s="1"/>
  <c r="Z132" i="13" s="1"/>
  <c r="AA132" i="13" s="1"/>
  <c r="AB132" i="13" s="1"/>
  <c r="AC132" i="13" s="1"/>
  <c r="AD132" i="13" s="1"/>
  <c r="AE132" i="13" s="1"/>
  <c r="AF132" i="13" s="1"/>
  <c r="AG132" i="13" s="1"/>
  <c r="AH132" i="13" s="1"/>
  <c r="AI132" i="13" s="1"/>
  <c r="AJ132" i="13" s="1"/>
  <c r="AK132" i="13" s="1"/>
  <c r="AL132" i="13" s="1"/>
  <c r="AM132" i="13" s="1"/>
  <c r="AN132" i="13" s="1"/>
  <c r="AO132" i="13" s="1"/>
  <c r="AP132" i="13" s="1"/>
  <c r="AQ132" i="13" s="1"/>
  <c r="AR132" i="13" s="1"/>
  <c r="AS132" i="13" s="1"/>
  <c r="AT132" i="13" s="1"/>
  <c r="AU132" i="13" s="1"/>
  <c r="AV132" i="13" s="1"/>
  <c r="AW132" i="13" s="1"/>
  <c r="AX132" i="13" s="1"/>
  <c r="AY132" i="13" s="1"/>
  <c r="AZ132" i="13" s="1"/>
  <c r="D169" i="13"/>
  <c r="E169" i="13" s="1"/>
  <c r="F169" i="13" s="1"/>
  <c r="G169" i="13" s="1"/>
  <c r="H169" i="13" s="1"/>
  <c r="I169" i="13" s="1"/>
  <c r="J169" i="13" s="1"/>
  <c r="K169" i="13" s="1"/>
  <c r="L169" i="13" s="1"/>
  <c r="M169" i="13" s="1"/>
  <c r="N169" i="13" s="1"/>
  <c r="O169" i="13" s="1"/>
  <c r="P169" i="13" s="1"/>
  <c r="Q169" i="13" s="1"/>
  <c r="R169" i="13" s="1"/>
  <c r="S169" i="13" s="1"/>
  <c r="T169" i="13" s="1"/>
  <c r="U169" i="13" s="1"/>
  <c r="V169" i="13" s="1"/>
  <c r="W169" i="13" s="1"/>
  <c r="X169" i="13" s="1"/>
  <c r="Y169" i="13" s="1"/>
  <c r="Z169" i="13" s="1"/>
  <c r="AA169" i="13" s="1"/>
  <c r="AB169" i="13" s="1"/>
  <c r="AC169" i="13" s="1"/>
  <c r="AD169" i="13" s="1"/>
  <c r="AE169" i="13" s="1"/>
  <c r="AF169" i="13" s="1"/>
  <c r="AG169" i="13" s="1"/>
  <c r="AH169" i="13" s="1"/>
  <c r="AI169" i="13" s="1"/>
  <c r="AJ169" i="13" s="1"/>
  <c r="AK169" i="13" s="1"/>
  <c r="AL169" i="13" s="1"/>
  <c r="AM169" i="13" s="1"/>
  <c r="AN169" i="13" s="1"/>
  <c r="AO169" i="13" s="1"/>
  <c r="AP169" i="13" s="1"/>
  <c r="AQ169" i="13" s="1"/>
  <c r="AR169" i="13" s="1"/>
  <c r="AS169" i="13" s="1"/>
  <c r="AT169" i="13" s="1"/>
  <c r="AU169" i="13" s="1"/>
  <c r="AV169" i="13" s="1"/>
  <c r="AW169" i="13" s="1"/>
  <c r="AX169" i="13" s="1"/>
  <c r="AY169" i="13" s="1"/>
  <c r="AZ169" i="13" s="1"/>
  <c r="D122" i="13"/>
  <c r="E122" i="13" s="1"/>
  <c r="F122" i="13" s="1"/>
  <c r="G122" i="13" s="1"/>
  <c r="H122" i="13" s="1"/>
  <c r="I122" i="13" s="1"/>
  <c r="J122" i="13" s="1"/>
  <c r="K122" i="13" s="1"/>
  <c r="L122" i="13" s="1"/>
  <c r="M122" i="13" s="1"/>
  <c r="N122" i="13" s="1"/>
  <c r="O122" i="13" s="1"/>
  <c r="P122" i="13" s="1"/>
  <c r="Q122" i="13" s="1"/>
  <c r="R122" i="13" s="1"/>
  <c r="S122" i="13" s="1"/>
  <c r="T122" i="13" s="1"/>
  <c r="U122" i="13" s="1"/>
  <c r="V122" i="13" s="1"/>
  <c r="W122" i="13" s="1"/>
  <c r="X122" i="13" s="1"/>
  <c r="Y122" i="13" s="1"/>
  <c r="Z122" i="13" s="1"/>
  <c r="AA122" i="13" s="1"/>
  <c r="AB122" i="13" s="1"/>
  <c r="AC122" i="13" s="1"/>
  <c r="AD122" i="13" s="1"/>
  <c r="AE122" i="13" s="1"/>
  <c r="AF122" i="13" s="1"/>
  <c r="AG122" i="13" s="1"/>
  <c r="AH122" i="13" s="1"/>
  <c r="AI122" i="13" s="1"/>
  <c r="AJ122" i="13" s="1"/>
  <c r="AK122" i="13" s="1"/>
  <c r="AL122" i="13" s="1"/>
  <c r="AM122" i="13" s="1"/>
  <c r="AN122" i="13" s="1"/>
  <c r="AO122" i="13" s="1"/>
  <c r="AP122" i="13" s="1"/>
  <c r="AQ122" i="13" s="1"/>
  <c r="AR122" i="13" s="1"/>
  <c r="AS122" i="13" s="1"/>
  <c r="AT122" i="13" s="1"/>
  <c r="AU122" i="13" s="1"/>
  <c r="AV122" i="13" s="1"/>
  <c r="AW122" i="13" s="1"/>
  <c r="AX122" i="13" s="1"/>
  <c r="AY122" i="13" s="1"/>
  <c r="AZ122" i="13" s="1"/>
  <c r="D112" i="13"/>
  <c r="E112" i="13" s="1"/>
  <c r="F112" i="13" s="1"/>
  <c r="G112" i="13" s="1"/>
  <c r="H112" i="13" s="1"/>
  <c r="I112" i="13" s="1"/>
  <c r="J112" i="13" s="1"/>
  <c r="K112" i="13" s="1"/>
  <c r="L112" i="13" s="1"/>
  <c r="M112" i="13" s="1"/>
  <c r="N112" i="13" s="1"/>
  <c r="O112" i="13" s="1"/>
  <c r="P112" i="13" s="1"/>
  <c r="Q112" i="13" s="1"/>
  <c r="R112" i="13" s="1"/>
  <c r="S112" i="13" s="1"/>
  <c r="T112" i="13" s="1"/>
  <c r="U112" i="13" s="1"/>
  <c r="V112" i="13" s="1"/>
  <c r="W112" i="13" s="1"/>
  <c r="X112" i="13" s="1"/>
  <c r="Y112" i="13" s="1"/>
  <c r="Z112" i="13" s="1"/>
  <c r="AA112" i="13" s="1"/>
  <c r="AB112" i="13" s="1"/>
  <c r="AC112" i="13" s="1"/>
  <c r="AD112" i="13" s="1"/>
  <c r="AE112" i="13" s="1"/>
  <c r="AF112" i="13" s="1"/>
  <c r="AG112" i="13" s="1"/>
  <c r="AH112" i="13" s="1"/>
  <c r="AI112" i="13" s="1"/>
  <c r="AJ112" i="13" s="1"/>
  <c r="AK112" i="13" s="1"/>
  <c r="AL112" i="13" s="1"/>
  <c r="AM112" i="13" s="1"/>
  <c r="AN112" i="13" s="1"/>
  <c r="AO112" i="13" s="1"/>
  <c r="AP112" i="13" s="1"/>
  <c r="AQ112" i="13" s="1"/>
  <c r="AR112" i="13" s="1"/>
  <c r="AS112" i="13" s="1"/>
  <c r="AT112" i="13" s="1"/>
  <c r="AU112" i="13" s="1"/>
  <c r="AV112" i="13" s="1"/>
  <c r="AW112" i="13" s="1"/>
  <c r="AX112" i="13" s="1"/>
  <c r="AY112" i="13" s="1"/>
  <c r="AZ112" i="13" s="1"/>
  <c r="D106" i="13"/>
  <c r="E106" i="13" s="1"/>
  <c r="F106" i="13" s="1"/>
  <c r="G106" i="13" s="1"/>
  <c r="H106" i="13" s="1"/>
  <c r="I106" i="13" s="1"/>
  <c r="J106" i="13" s="1"/>
  <c r="K106" i="13" s="1"/>
  <c r="L106" i="13" s="1"/>
  <c r="M106" i="13" s="1"/>
  <c r="N106" i="13" s="1"/>
  <c r="O106" i="13" s="1"/>
  <c r="P106" i="13" s="1"/>
  <c r="Q106" i="13" s="1"/>
  <c r="R106" i="13" s="1"/>
  <c r="S106" i="13" s="1"/>
  <c r="T106" i="13" s="1"/>
  <c r="U106" i="13" s="1"/>
  <c r="V106" i="13" s="1"/>
  <c r="W106" i="13" s="1"/>
  <c r="X106" i="13" s="1"/>
  <c r="Y106" i="13" s="1"/>
  <c r="Z106" i="13" s="1"/>
  <c r="AA106" i="13" s="1"/>
  <c r="AB106" i="13" s="1"/>
  <c r="AC106" i="13" s="1"/>
  <c r="AD106" i="13" s="1"/>
  <c r="AE106" i="13" s="1"/>
  <c r="AF106" i="13" s="1"/>
  <c r="AG106" i="13" s="1"/>
  <c r="AH106" i="13" s="1"/>
  <c r="AI106" i="13" s="1"/>
  <c r="AJ106" i="13" s="1"/>
  <c r="AK106" i="13" s="1"/>
  <c r="AL106" i="13" s="1"/>
  <c r="AM106" i="13" s="1"/>
  <c r="AN106" i="13" s="1"/>
  <c r="AO106" i="13" s="1"/>
  <c r="AP106" i="13" s="1"/>
  <c r="AQ106" i="13" s="1"/>
  <c r="AR106" i="13" s="1"/>
  <c r="AS106" i="13" s="1"/>
  <c r="AT106" i="13" s="1"/>
  <c r="AU106" i="13" s="1"/>
  <c r="AV106" i="13" s="1"/>
  <c r="AW106" i="13" s="1"/>
  <c r="AX106" i="13" s="1"/>
  <c r="AY106" i="13" s="1"/>
  <c r="AZ106" i="13" s="1"/>
  <c r="D102" i="13"/>
  <c r="E102" i="13" s="1"/>
  <c r="F102" i="13" s="1"/>
  <c r="G102" i="13" s="1"/>
  <c r="H102" i="13" s="1"/>
  <c r="I102" i="13" s="1"/>
  <c r="J102" i="13" s="1"/>
  <c r="K102" i="13" s="1"/>
  <c r="L102" i="13" s="1"/>
  <c r="M102" i="13" s="1"/>
  <c r="N102" i="13" s="1"/>
  <c r="O102" i="13" s="1"/>
  <c r="P102" i="13" s="1"/>
  <c r="Q102" i="13" s="1"/>
  <c r="R102" i="13" s="1"/>
  <c r="S102" i="13" s="1"/>
  <c r="T102" i="13" s="1"/>
  <c r="U102" i="13" s="1"/>
  <c r="V102" i="13" s="1"/>
  <c r="W102" i="13" s="1"/>
  <c r="X102" i="13" s="1"/>
  <c r="Y102" i="13" s="1"/>
  <c r="Z102" i="13" s="1"/>
  <c r="AA102" i="13" s="1"/>
  <c r="AB102" i="13" s="1"/>
  <c r="AC102" i="13" s="1"/>
  <c r="AD102" i="13" s="1"/>
  <c r="AE102" i="13" s="1"/>
  <c r="AF102" i="13" s="1"/>
  <c r="AG102" i="13" s="1"/>
  <c r="AH102" i="13" s="1"/>
  <c r="AI102" i="13" s="1"/>
  <c r="AJ102" i="13" s="1"/>
  <c r="AK102" i="13" s="1"/>
  <c r="AL102" i="13" s="1"/>
  <c r="AM102" i="13" s="1"/>
  <c r="AN102" i="13" s="1"/>
  <c r="AO102" i="13" s="1"/>
  <c r="AP102" i="13" s="1"/>
  <c r="AQ102" i="13" s="1"/>
  <c r="AR102" i="13" s="1"/>
  <c r="AS102" i="13" s="1"/>
  <c r="AT102" i="13" s="1"/>
  <c r="AU102" i="13" s="1"/>
  <c r="AV102" i="13" s="1"/>
  <c r="AW102" i="13" s="1"/>
  <c r="AX102" i="13" s="1"/>
  <c r="AY102" i="13" s="1"/>
  <c r="AZ102" i="13" s="1"/>
  <c r="D156" i="13"/>
  <c r="E156" i="13" s="1"/>
  <c r="F156" i="13" s="1"/>
  <c r="G156" i="13" s="1"/>
  <c r="H156" i="13" s="1"/>
  <c r="I156" i="13" s="1"/>
  <c r="J156" i="13" s="1"/>
  <c r="K156" i="13" s="1"/>
  <c r="L156" i="13" s="1"/>
  <c r="M156" i="13" s="1"/>
  <c r="N156" i="13" s="1"/>
  <c r="O156" i="13" s="1"/>
  <c r="P156" i="13" s="1"/>
  <c r="Q156" i="13" s="1"/>
  <c r="R156" i="13" s="1"/>
  <c r="S156" i="13" s="1"/>
  <c r="T156" i="13" s="1"/>
  <c r="U156" i="13" s="1"/>
  <c r="V156" i="13" s="1"/>
  <c r="W156" i="13" s="1"/>
  <c r="X156" i="13" s="1"/>
  <c r="Y156" i="13" s="1"/>
  <c r="Z156" i="13" s="1"/>
  <c r="AA156" i="13" s="1"/>
  <c r="AB156" i="13" s="1"/>
  <c r="AC156" i="13" s="1"/>
  <c r="AD156" i="13" s="1"/>
  <c r="AE156" i="13" s="1"/>
  <c r="AF156" i="13" s="1"/>
  <c r="AG156" i="13" s="1"/>
  <c r="AH156" i="13" s="1"/>
  <c r="AI156" i="13" s="1"/>
  <c r="AJ156" i="13" s="1"/>
  <c r="AK156" i="13" s="1"/>
  <c r="AL156" i="13" s="1"/>
  <c r="AM156" i="13" s="1"/>
  <c r="AN156" i="13" s="1"/>
  <c r="AO156" i="13" s="1"/>
  <c r="AP156" i="13" s="1"/>
  <c r="AQ156" i="13" s="1"/>
  <c r="AR156" i="13" s="1"/>
  <c r="AS156" i="13" s="1"/>
  <c r="AT156" i="13" s="1"/>
  <c r="AU156" i="13" s="1"/>
  <c r="AV156" i="13" s="1"/>
  <c r="AW156" i="13" s="1"/>
  <c r="AX156" i="13" s="1"/>
  <c r="AY156" i="13" s="1"/>
  <c r="AZ156" i="13" s="1"/>
  <c r="D123" i="13"/>
  <c r="E123" i="13" s="1"/>
  <c r="F123" i="13" s="1"/>
  <c r="G123" i="13" s="1"/>
  <c r="H123" i="13" s="1"/>
  <c r="I123" i="13" s="1"/>
  <c r="J123" i="13" s="1"/>
  <c r="K123" i="13" s="1"/>
  <c r="L123" i="13" s="1"/>
  <c r="M123" i="13" s="1"/>
  <c r="N123" i="13" s="1"/>
  <c r="O123" i="13" s="1"/>
  <c r="P123" i="13" s="1"/>
  <c r="Q123" i="13" s="1"/>
  <c r="R123" i="13" s="1"/>
  <c r="S123" i="13" s="1"/>
  <c r="T123" i="13" s="1"/>
  <c r="U123" i="13" s="1"/>
  <c r="V123" i="13" s="1"/>
  <c r="W123" i="13" s="1"/>
  <c r="X123" i="13" s="1"/>
  <c r="Y123" i="13" s="1"/>
  <c r="Z123" i="13" s="1"/>
  <c r="AA123" i="13" s="1"/>
  <c r="AB123" i="13" s="1"/>
  <c r="AC123" i="13" s="1"/>
  <c r="AD123" i="13" s="1"/>
  <c r="AE123" i="13" s="1"/>
  <c r="AF123" i="13" s="1"/>
  <c r="AG123" i="13" s="1"/>
  <c r="AH123" i="13" s="1"/>
  <c r="AI123" i="13" s="1"/>
  <c r="AJ123" i="13" s="1"/>
  <c r="AK123" i="13" s="1"/>
  <c r="AL123" i="13" s="1"/>
  <c r="AM123" i="13" s="1"/>
  <c r="AN123" i="13" s="1"/>
  <c r="AO123" i="13" s="1"/>
  <c r="AP123" i="13" s="1"/>
  <c r="AQ123" i="13" s="1"/>
  <c r="AR123" i="13" s="1"/>
  <c r="AS123" i="13" s="1"/>
  <c r="AT123" i="13" s="1"/>
  <c r="AU123" i="13" s="1"/>
  <c r="AV123" i="13" s="1"/>
  <c r="AW123" i="13" s="1"/>
  <c r="AX123" i="13" s="1"/>
  <c r="AY123" i="13" s="1"/>
  <c r="AZ123" i="13" s="1"/>
  <c r="D113" i="13"/>
  <c r="E113" i="13" s="1"/>
  <c r="F113" i="13" s="1"/>
  <c r="G113" i="13" s="1"/>
  <c r="H113" i="13" s="1"/>
  <c r="I113" i="13" s="1"/>
  <c r="J113" i="13" s="1"/>
  <c r="K113" i="13" s="1"/>
  <c r="L113" i="13" s="1"/>
  <c r="M113" i="13" s="1"/>
  <c r="N113" i="13" s="1"/>
  <c r="O113" i="13" s="1"/>
  <c r="P113" i="13" s="1"/>
  <c r="Q113" i="13" s="1"/>
  <c r="R113" i="13" s="1"/>
  <c r="S113" i="13" s="1"/>
  <c r="T113" i="13" s="1"/>
  <c r="U113" i="13" s="1"/>
  <c r="V113" i="13" s="1"/>
  <c r="W113" i="13" s="1"/>
  <c r="X113" i="13" s="1"/>
  <c r="Y113" i="13" s="1"/>
  <c r="Z113" i="13" s="1"/>
  <c r="AA113" i="13" s="1"/>
  <c r="AB113" i="13" s="1"/>
  <c r="AC113" i="13" s="1"/>
  <c r="AD113" i="13" s="1"/>
  <c r="AE113" i="13" s="1"/>
  <c r="AF113" i="13" s="1"/>
  <c r="AG113" i="13" s="1"/>
  <c r="AH113" i="13" s="1"/>
  <c r="AI113" i="13" s="1"/>
  <c r="AJ113" i="13" s="1"/>
  <c r="AK113" i="13" s="1"/>
  <c r="AL113" i="13" s="1"/>
  <c r="AM113" i="13" s="1"/>
  <c r="AN113" i="13" s="1"/>
  <c r="AO113" i="13" s="1"/>
  <c r="AP113" i="13" s="1"/>
  <c r="AQ113" i="13" s="1"/>
  <c r="AR113" i="13" s="1"/>
  <c r="AS113" i="13" s="1"/>
  <c r="AT113" i="13" s="1"/>
  <c r="AU113" i="13" s="1"/>
  <c r="AV113" i="13" s="1"/>
  <c r="AW113" i="13" s="1"/>
  <c r="AX113" i="13" s="1"/>
  <c r="AY113" i="13" s="1"/>
  <c r="AZ113" i="13" s="1"/>
  <c r="C56" i="13"/>
  <c r="D42" i="13"/>
  <c r="E42" i="13" s="1"/>
  <c r="F42" i="13" s="1"/>
  <c r="G42" i="13" s="1"/>
  <c r="H42" i="13" s="1"/>
  <c r="I42" i="13" s="1"/>
  <c r="J42" i="13" s="1"/>
  <c r="K42" i="13" s="1"/>
  <c r="L42" i="13" s="1"/>
  <c r="M42" i="13" s="1"/>
  <c r="N42" i="13" s="1"/>
  <c r="O42" i="13" s="1"/>
  <c r="P42" i="13" s="1"/>
  <c r="Q42" i="13" s="1"/>
  <c r="R42" i="13" s="1"/>
  <c r="S42" i="13" s="1"/>
  <c r="T42" i="13" s="1"/>
  <c r="U42" i="13" s="1"/>
  <c r="V42" i="13" s="1"/>
  <c r="W42" i="13" s="1"/>
  <c r="X42" i="13" s="1"/>
  <c r="Y42" i="13" s="1"/>
  <c r="Z42" i="13" s="1"/>
  <c r="AA42" i="13" s="1"/>
  <c r="AB42" i="13" s="1"/>
  <c r="AC42" i="13" s="1"/>
  <c r="AD42" i="13" s="1"/>
  <c r="AE42" i="13" s="1"/>
  <c r="AF42" i="13" s="1"/>
  <c r="AG42" i="13" s="1"/>
  <c r="AH42" i="13" s="1"/>
  <c r="AI42" i="13" s="1"/>
  <c r="AJ42" i="13" s="1"/>
  <c r="AK42" i="13" s="1"/>
  <c r="AL42" i="13" s="1"/>
  <c r="AM42" i="13" s="1"/>
  <c r="AN42" i="13" s="1"/>
  <c r="AO42" i="13" s="1"/>
  <c r="AP42" i="13" s="1"/>
  <c r="AQ42" i="13" s="1"/>
  <c r="AR42" i="13" s="1"/>
  <c r="AS42" i="13" s="1"/>
  <c r="AT42" i="13" s="1"/>
  <c r="AU42" i="13" s="1"/>
  <c r="AV42" i="13" s="1"/>
  <c r="AW42" i="13" s="1"/>
  <c r="AX42" i="13" s="1"/>
  <c r="AY42" i="13" s="1"/>
  <c r="AZ42" i="13" s="1"/>
  <c r="D37" i="13"/>
  <c r="E37" i="13" s="1"/>
  <c r="F37" i="13" s="1"/>
  <c r="G37" i="13" s="1"/>
  <c r="H37" i="13" s="1"/>
  <c r="I37" i="13" s="1"/>
  <c r="J37" i="13" s="1"/>
  <c r="K37" i="13" s="1"/>
  <c r="L37" i="13" s="1"/>
  <c r="M37" i="13" s="1"/>
  <c r="N37" i="13" s="1"/>
  <c r="O37" i="13" s="1"/>
  <c r="P37" i="13" s="1"/>
  <c r="Q37" i="13" s="1"/>
  <c r="R37" i="13" s="1"/>
  <c r="S37" i="13" s="1"/>
  <c r="T37" i="13" s="1"/>
  <c r="U37" i="13" s="1"/>
  <c r="V37" i="13" s="1"/>
  <c r="W37" i="13" s="1"/>
  <c r="X37" i="13" s="1"/>
  <c r="Y37" i="13" s="1"/>
  <c r="Z37" i="13" s="1"/>
  <c r="AA37" i="13" s="1"/>
  <c r="AB37" i="13" s="1"/>
  <c r="AC37" i="13" s="1"/>
  <c r="AD37" i="13" s="1"/>
  <c r="AE37" i="13" s="1"/>
  <c r="AF37" i="13" s="1"/>
  <c r="AG37" i="13" s="1"/>
  <c r="AH37" i="13" s="1"/>
  <c r="AI37" i="13" s="1"/>
  <c r="AJ37" i="13" s="1"/>
  <c r="AK37" i="13" s="1"/>
  <c r="AL37" i="13" s="1"/>
  <c r="AM37" i="13" s="1"/>
  <c r="AN37" i="13" s="1"/>
  <c r="AO37" i="13" s="1"/>
  <c r="AP37" i="13" s="1"/>
  <c r="AQ37" i="13" s="1"/>
  <c r="AR37" i="13" s="1"/>
  <c r="AS37" i="13" s="1"/>
  <c r="AT37" i="13" s="1"/>
  <c r="AU37" i="13" s="1"/>
  <c r="AV37" i="13" s="1"/>
  <c r="AW37" i="13" s="1"/>
  <c r="AX37" i="13" s="1"/>
  <c r="AY37" i="13" s="1"/>
  <c r="AZ37" i="13" s="1"/>
  <c r="D68" i="13"/>
  <c r="E68" i="13" s="1"/>
  <c r="F68" i="13" s="1"/>
  <c r="G68" i="13" s="1"/>
  <c r="H68" i="13" s="1"/>
  <c r="I68" i="13" s="1"/>
  <c r="J68" i="13" s="1"/>
  <c r="K68" i="13" s="1"/>
  <c r="L68" i="13" s="1"/>
  <c r="M68" i="13" s="1"/>
  <c r="N68" i="13" s="1"/>
  <c r="O68" i="13" s="1"/>
  <c r="P68" i="13" s="1"/>
  <c r="Q68" i="13" s="1"/>
  <c r="R68" i="13" s="1"/>
  <c r="S68" i="13" s="1"/>
  <c r="T68" i="13" s="1"/>
  <c r="U68" i="13" s="1"/>
  <c r="V68" i="13" s="1"/>
  <c r="W68" i="13" s="1"/>
  <c r="X68" i="13" s="1"/>
  <c r="Y68" i="13" s="1"/>
  <c r="Z68" i="13" s="1"/>
  <c r="AA68" i="13" s="1"/>
  <c r="AB68" i="13" s="1"/>
  <c r="AC68" i="13" s="1"/>
  <c r="AD68" i="13" s="1"/>
  <c r="AE68" i="13" s="1"/>
  <c r="AF68" i="13" s="1"/>
  <c r="AG68" i="13" s="1"/>
  <c r="AH68" i="13" s="1"/>
  <c r="AI68" i="13" s="1"/>
  <c r="AJ68" i="13" s="1"/>
  <c r="AK68" i="13" s="1"/>
  <c r="AL68" i="13" s="1"/>
  <c r="AM68" i="13" s="1"/>
  <c r="AN68" i="13" s="1"/>
  <c r="AO68" i="13" s="1"/>
  <c r="AP68" i="13" s="1"/>
  <c r="AQ68" i="13" s="1"/>
  <c r="AR68" i="13" s="1"/>
  <c r="AS68" i="13" s="1"/>
  <c r="AT68" i="13" s="1"/>
  <c r="AU68" i="13" s="1"/>
  <c r="AV68" i="13" s="1"/>
  <c r="AW68" i="13" s="1"/>
  <c r="AX68" i="13" s="1"/>
  <c r="AY68" i="13" s="1"/>
  <c r="AZ68" i="13" s="1"/>
  <c r="D67" i="13"/>
  <c r="E67" i="13" s="1"/>
  <c r="F67" i="13" s="1"/>
  <c r="G67" i="13" s="1"/>
  <c r="H67" i="13" s="1"/>
  <c r="I67" i="13" s="1"/>
  <c r="J67" i="13" s="1"/>
  <c r="K67" i="13" s="1"/>
  <c r="L67" i="13" s="1"/>
  <c r="M67" i="13" s="1"/>
  <c r="N67" i="13" s="1"/>
  <c r="O67" i="13" s="1"/>
  <c r="P67" i="13" s="1"/>
  <c r="Q67" i="13" s="1"/>
  <c r="R67" i="13" s="1"/>
  <c r="S67" i="13" s="1"/>
  <c r="T67" i="13" s="1"/>
  <c r="U67" i="13" s="1"/>
  <c r="V67" i="13" s="1"/>
  <c r="W67" i="13" s="1"/>
  <c r="X67" i="13" s="1"/>
  <c r="Y67" i="13" s="1"/>
  <c r="Z67" i="13" s="1"/>
  <c r="AA67" i="13" s="1"/>
  <c r="AB67" i="13" s="1"/>
  <c r="AC67" i="13" s="1"/>
  <c r="AD67" i="13" s="1"/>
  <c r="AE67" i="13" s="1"/>
  <c r="AF67" i="13" s="1"/>
  <c r="AG67" i="13" s="1"/>
  <c r="AH67" i="13" s="1"/>
  <c r="AI67" i="13" s="1"/>
  <c r="AJ67" i="13" s="1"/>
  <c r="AK67" i="13" s="1"/>
  <c r="AL67" i="13" s="1"/>
  <c r="AM67" i="13" s="1"/>
  <c r="AN67" i="13" s="1"/>
  <c r="AO67" i="13" s="1"/>
  <c r="AP67" i="13" s="1"/>
  <c r="AQ67" i="13" s="1"/>
  <c r="AR67" i="13" s="1"/>
  <c r="AS67" i="13" s="1"/>
  <c r="AT67" i="13" s="1"/>
  <c r="AU67" i="13" s="1"/>
  <c r="AV67" i="13" s="1"/>
  <c r="AW67" i="13" s="1"/>
  <c r="AX67" i="13" s="1"/>
  <c r="AY67" i="13" s="1"/>
  <c r="AZ67" i="13" s="1"/>
  <c r="D114" i="13"/>
  <c r="E114" i="13" s="1"/>
  <c r="F114" i="13" s="1"/>
  <c r="G114" i="13" s="1"/>
  <c r="H114" i="13" s="1"/>
  <c r="I114" i="13" s="1"/>
  <c r="J114" i="13" s="1"/>
  <c r="K114" i="13" s="1"/>
  <c r="L114" i="13" s="1"/>
  <c r="M114" i="13" s="1"/>
  <c r="N114" i="13" s="1"/>
  <c r="O114" i="13" s="1"/>
  <c r="P114" i="13" s="1"/>
  <c r="Q114" i="13" s="1"/>
  <c r="R114" i="13" s="1"/>
  <c r="S114" i="13" s="1"/>
  <c r="T114" i="13" s="1"/>
  <c r="U114" i="13" s="1"/>
  <c r="V114" i="13" s="1"/>
  <c r="W114" i="13" s="1"/>
  <c r="X114" i="13" s="1"/>
  <c r="Y114" i="13" s="1"/>
  <c r="Z114" i="13" s="1"/>
  <c r="AA114" i="13" s="1"/>
  <c r="AB114" i="13" s="1"/>
  <c r="AC114" i="13" s="1"/>
  <c r="AD114" i="13" s="1"/>
  <c r="AE114" i="13" s="1"/>
  <c r="AF114" i="13" s="1"/>
  <c r="AG114" i="13" s="1"/>
  <c r="AH114" i="13" s="1"/>
  <c r="AI114" i="13" s="1"/>
  <c r="AJ114" i="13" s="1"/>
  <c r="AK114" i="13" s="1"/>
  <c r="AL114" i="13" s="1"/>
  <c r="AM114" i="13" s="1"/>
  <c r="AN114" i="13" s="1"/>
  <c r="AO114" i="13" s="1"/>
  <c r="AP114" i="13" s="1"/>
  <c r="AQ114" i="13" s="1"/>
  <c r="AR114" i="13" s="1"/>
  <c r="AS114" i="13" s="1"/>
  <c r="AT114" i="13" s="1"/>
  <c r="AU114" i="13" s="1"/>
  <c r="AV114" i="13" s="1"/>
  <c r="AW114" i="13" s="1"/>
  <c r="AX114" i="13" s="1"/>
  <c r="AY114" i="13" s="1"/>
  <c r="AZ114" i="13" s="1"/>
  <c r="D107" i="13"/>
  <c r="E107" i="13" s="1"/>
  <c r="F107" i="13" s="1"/>
  <c r="G107" i="13" s="1"/>
  <c r="H107" i="13" s="1"/>
  <c r="I107" i="13" s="1"/>
  <c r="J107" i="13" s="1"/>
  <c r="K107" i="13" s="1"/>
  <c r="L107" i="13" s="1"/>
  <c r="M107" i="13" s="1"/>
  <c r="N107" i="13" s="1"/>
  <c r="O107" i="13" s="1"/>
  <c r="P107" i="13" s="1"/>
  <c r="Q107" i="13" s="1"/>
  <c r="R107" i="13" s="1"/>
  <c r="S107" i="13" s="1"/>
  <c r="T107" i="13" s="1"/>
  <c r="U107" i="13" s="1"/>
  <c r="V107" i="13" s="1"/>
  <c r="W107" i="13" s="1"/>
  <c r="X107" i="13" s="1"/>
  <c r="Y107" i="13" s="1"/>
  <c r="Z107" i="13" s="1"/>
  <c r="AA107" i="13" s="1"/>
  <c r="AB107" i="13" s="1"/>
  <c r="AC107" i="13" s="1"/>
  <c r="AD107" i="13" s="1"/>
  <c r="AE107" i="13" s="1"/>
  <c r="AF107" i="13" s="1"/>
  <c r="AG107" i="13" s="1"/>
  <c r="AH107" i="13" s="1"/>
  <c r="AI107" i="13" s="1"/>
  <c r="AJ107" i="13" s="1"/>
  <c r="AK107" i="13" s="1"/>
  <c r="AL107" i="13" s="1"/>
  <c r="AM107" i="13" s="1"/>
  <c r="AN107" i="13" s="1"/>
  <c r="AO107" i="13" s="1"/>
  <c r="AP107" i="13" s="1"/>
  <c r="AQ107" i="13" s="1"/>
  <c r="AR107" i="13" s="1"/>
  <c r="AS107" i="13" s="1"/>
  <c r="AT107" i="13" s="1"/>
  <c r="AU107" i="13" s="1"/>
  <c r="AV107" i="13" s="1"/>
  <c r="AW107" i="13" s="1"/>
  <c r="AX107" i="13" s="1"/>
  <c r="AY107" i="13" s="1"/>
  <c r="AZ107" i="13" s="1"/>
  <c r="D82" i="13"/>
  <c r="E82" i="13" s="1"/>
  <c r="F82" i="13" s="1"/>
  <c r="G82" i="13" s="1"/>
  <c r="H82" i="13" s="1"/>
  <c r="I82" i="13" s="1"/>
  <c r="J82" i="13" s="1"/>
  <c r="K82" i="13" s="1"/>
  <c r="L82" i="13" s="1"/>
  <c r="M82" i="13" s="1"/>
  <c r="N82" i="13" s="1"/>
  <c r="O82" i="13" s="1"/>
  <c r="P82" i="13" s="1"/>
  <c r="Q82" i="13" s="1"/>
  <c r="R82" i="13" s="1"/>
  <c r="S82" i="13" s="1"/>
  <c r="T82" i="13" s="1"/>
  <c r="U82" i="13" s="1"/>
  <c r="V82" i="13" s="1"/>
  <c r="W82" i="13" s="1"/>
  <c r="X82" i="13" s="1"/>
  <c r="Y82" i="13" s="1"/>
  <c r="Z82" i="13" s="1"/>
  <c r="AA82" i="13" s="1"/>
  <c r="AB82" i="13" s="1"/>
  <c r="AC82" i="13" s="1"/>
  <c r="AD82" i="13" s="1"/>
  <c r="AE82" i="13" s="1"/>
  <c r="AF82" i="13" s="1"/>
  <c r="AG82" i="13" s="1"/>
  <c r="AH82" i="13" s="1"/>
  <c r="AI82" i="13" s="1"/>
  <c r="AJ82" i="13" s="1"/>
  <c r="AK82" i="13" s="1"/>
  <c r="AL82" i="13" s="1"/>
  <c r="AM82" i="13" s="1"/>
  <c r="AN82" i="13" s="1"/>
  <c r="AO82" i="13" s="1"/>
  <c r="AP82" i="13" s="1"/>
  <c r="AQ82" i="13" s="1"/>
  <c r="AR82" i="13" s="1"/>
  <c r="AS82" i="13" s="1"/>
  <c r="AT82" i="13" s="1"/>
  <c r="AU82" i="13" s="1"/>
  <c r="AV82" i="13" s="1"/>
  <c r="AW82" i="13" s="1"/>
  <c r="AX82" i="13" s="1"/>
  <c r="AY82" i="13" s="1"/>
  <c r="AZ82" i="13" s="1"/>
  <c r="D80" i="13"/>
  <c r="E80" i="13" s="1"/>
  <c r="F80" i="13" s="1"/>
  <c r="G80" i="13" s="1"/>
  <c r="H80" i="13" s="1"/>
  <c r="I80" i="13" s="1"/>
  <c r="J80" i="13" s="1"/>
  <c r="K80" i="13" s="1"/>
  <c r="L80" i="13" s="1"/>
  <c r="M80" i="13" s="1"/>
  <c r="N80" i="13" s="1"/>
  <c r="O80" i="13" s="1"/>
  <c r="P80" i="13" s="1"/>
  <c r="Q80" i="13" s="1"/>
  <c r="R80" i="13" s="1"/>
  <c r="S80" i="13" s="1"/>
  <c r="T80" i="13" s="1"/>
  <c r="U80" i="13" s="1"/>
  <c r="V80" i="13" s="1"/>
  <c r="W80" i="13" s="1"/>
  <c r="X80" i="13" s="1"/>
  <c r="Y80" i="13" s="1"/>
  <c r="Z80" i="13" s="1"/>
  <c r="AA80" i="13" s="1"/>
  <c r="AB80" i="13" s="1"/>
  <c r="AC80" i="13" s="1"/>
  <c r="AD80" i="13" s="1"/>
  <c r="AE80" i="13" s="1"/>
  <c r="AF80" i="13" s="1"/>
  <c r="AG80" i="13" s="1"/>
  <c r="AH80" i="13" s="1"/>
  <c r="AI80" i="13" s="1"/>
  <c r="AJ80" i="13" s="1"/>
  <c r="AK80" i="13" s="1"/>
  <c r="AL80" i="13" s="1"/>
  <c r="AM80" i="13" s="1"/>
  <c r="AN80" i="13" s="1"/>
  <c r="AO80" i="13" s="1"/>
  <c r="AP80" i="13" s="1"/>
  <c r="AQ80" i="13" s="1"/>
  <c r="AR80" i="13" s="1"/>
  <c r="AS80" i="13" s="1"/>
  <c r="AT80" i="13" s="1"/>
  <c r="AU80" i="13" s="1"/>
  <c r="AV80" i="13" s="1"/>
  <c r="AW80" i="13" s="1"/>
  <c r="AX80" i="13" s="1"/>
  <c r="AY80" i="13" s="1"/>
  <c r="AZ80" i="13" s="1"/>
  <c r="D111" i="13"/>
  <c r="E111" i="13" s="1"/>
  <c r="F111" i="13" s="1"/>
  <c r="G111" i="13" s="1"/>
  <c r="H111" i="13" s="1"/>
  <c r="I111" i="13" s="1"/>
  <c r="J111" i="13" s="1"/>
  <c r="K111" i="13" s="1"/>
  <c r="L111" i="13" s="1"/>
  <c r="M111" i="13" s="1"/>
  <c r="N111" i="13" s="1"/>
  <c r="O111" i="13" s="1"/>
  <c r="P111" i="13" s="1"/>
  <c r="Q111" i="13" s="1"/>
  <c r="R111" i="13" s="1"/>
  <c r="S111" i="13" s="1"/>
  <c r="T111" i="13" s="1"/>
  <c r="U111" i="13" s="1"/>
  <c r="V111" i="13" s="1"/>
  <c r="W111" i="13" s="1"/>
  <c r="X111" i="13" s="1"/>
  <c r="Y111" i="13" s="1"/>
  <c r="Z111" i="13" s="1"/>
  <c r="AA111" i="13" s="1"/>
  <c r="AB111" i="13" s="1"/>
  <c r="AC111" i="13" s="1"/>
  <c r="AD111" i="13" s="1"/>
  <c r="AE111" i="13" s="1"/>
  <c r="AF111" i="13" s="1"/>
  <c r="AG111" i="13" s="1"/>
  <c r="AH111" i="13" s="1"/>
  <c r="AI111" i="13" s="1"/>
  <c r="AJ111" i="13" s="1"/>
  <c r="AK111" i="13" s="1"/>
  <c r="AL111" i="13" s="1"/>
  <c r="AM111" i="13" s="1"/>
  <c r="AN111" i="13" s="1"/>
  <c r="AO111" i="13" s="1"/>
  <c r="AP111" i="13" s="1"/>
  <c r="AQ111" i="13" s="1"/>
  <c r="AR111" i="13" s="1"/>
  <c r="AS111" i="13" s="1"/>
  <c r="AT111" i="13" s="1"/>
  <c r="AU111" i="13" s="1"/>
  <c r="AV111" i="13" s="1"/>
  <c r="AW111" i="13" s="1"/>
  <c r="AX111" i="13" s="1"/>
  <c r="AY111" i="13" s="1"/>
  <c r="AZ111" i="13" s="1"/>
  <c r="D103" i="13"/>
  <c r="E103" i="13" s="1"/>
  <c r="F103" i="13" s="1"/>
  <c r="G103" i="13" s="1"/>
  <c r="H103" i="13" s="1"/>
  <c r="I103" i="13" s="1"/>
  <c r="J103" i="13" s="1"/>
  <c r="K103" i="13" s="1"/>
  <c r="L103" i="13" s="1"/>
  <c r="M103" i="13" s="1"/>
  <c r="N103" i="13" s="1"/>
  <c r="O103" i="13" s="1"/>
  <c r="P103" i="13" s="1"/>
  <c r="Q103" i="13" s="1"/>
  <c r="R103" i="13" s="1"/>
  <c r="S103" i="13" s="1"/>
  <c r="T103" i="13" s="1"/>
  <c r="U103" i="13" s="1"/>
  <c r="V103" i="13" s="1"/>
  <c r="W103" i="13" s="1"/>
  <c r="X103" i="13" s="1"/>
  <c r="Y103" i="13" s="1"/>
  <c r="Z103" i="13" s="1"/>
  <c r="AA103" i="13" s="1"/>
  <c r="AB103" i="13" s="1"/>
  <c r="AC103" i="13" s="1"/>
  <c r="AD103" i="13" s="1"/>
  <c r="AE103" i="13" s="1"/>
  <c r="AF103" i="13" s="1"/>
  <c r="AG103" i="13" s="1"/>
  <c r="AH103" i="13" s="1"/>
  <c r="AI103" i="13" s="1"/>
  <c r="AJ103" i="13" s="1"/>
  <c r="AK103" i="13" s="1"/>
  <c r="AL103" i="13" s="1"/>
  <c r="AM103" i="13" s="1"/>
  <c r="AN103" i="13" s="1"/>
  <c r="AO103" i="13" s="1"/>
  <c r="AP103" i="13" s="1"/>
  <c r="AQ103" i="13" s="1"/>
  <c r="AR103" i="13" s="1"/>
  <c r="AS103" i="13" s="1"/>
  <c r="AT103" i="13" s="1"/>
  <c r="AU103" i="13" s="1"/>
  <c r="AV103" i="13" s="1"/>
  <c r="AW103" i="13" s="1"/>
  <c r="AX103" i="13" s="1"/>
  <c r="AY103" i="13" s="1"/>
  <c r="AZ103" i="13" s="1"/>
  <c r="D87" i="13"/>
  <c r="E87" i="13" s="1"/>
  <c r="F87" i="13" s="1"/>
  <c r="G87" i="13" s="1"/>
  <c r="H87" i="13" s="1"/>
  <c r="I87" i="13" s="1"/>
  <c r="J87" i="13" s="1"/>
  <c r="K87" i="13" s="1"/>
  <c r="L87" i="13" s="1"/>
  <c r="M87" i="13" s="1"/>
  <c r="N87" i="13" s="1"/>
  <c r="O87" i="13" s="1"/>
  <c r="P87" i="13" s="1"/>
  <c r="Q87" i="13" s="1"/>
  <c r="R87" i="13" s="1"/>
  <c r="S87" i="13" s="1"/>
  <c r="T87" i="13" s="1"/>
  <c r="U87" i="13" s="1"/>
  <c r="V87" i="13" s="1"/>
  <c r="W87" i="13" s="1"/>
  <c r="X87" i="13" s="1"/>
  <c r="Y87" i="13" s="1"/>
  <c r="Z87" i="13" s="1"/>
  <c r="AA87" i="13" s="1"/>
  <c r="AB87" i="13" s="1"/>
  <c r="AC87" i="13" s="1"/>
  <c r="AD87" i="13" s="1"/>
  <c r="AE87" i="13" s="1"/>
  <c r="AF87" i="13" s="1"/>
  <c r="AG87" i="13" s="1"/>
  <c r="AH87" i="13" s="1"/>
  <c r="AI87" i="13" s="1"/>
  <c r="AJ87" i="13" s="1"/>
  <c r="AK87" i="13" s="1"/>
  <c r="AL87" i="13" s="1"/>
  <c r="AM87" i="13" s="1"/>
  <c r="AN87" i="13" s="1"/>
  <c r="AO87" i="13" s="1"/>
  <c r="AP87" i="13" s="1"/>
  <c r="AQ87" i="13" s="1"/>
  <c r="AR87" i="13" s="1"/>
  <c r="AS87" i="13" s="1"/>
  <c r="AT87" i="13" s="1"/>
  <c r="AU87" i="13" s="1"/>
  <c r="AV87" i="13" s="1"/>
  <c r="AW87" i="13" s="1"/>
  <c r="AX87" i="13" s="1"/>
  <c r="AY87" i="13" s="1"/>
  <c r="AZ87" i="13" s="1"/>
  <c r="D60" i="13"/>
  <c r="E60" i="13" s="1"/>
  <c r="F60" i="13" s="1"/>
  <c r="G60" i="13" s="1"/>
  <c r="H60" i="13" s="1"/>
  <c r="I60" i="13" s="1"/>
  <c r="J60" i="13" s="1"/>
  <c r="K60" i="13" s="1"/>
  <c r="L60" i="13" s="1"/>
  <c r="M60" i="13" s="1"/>
  <c r="N60" i="13" s="1"/>
  <c r="O60" i="13" s="1"/>
  <c r="P60" i="13" s="1"/>
  <c r="Q60" i="13" s="1"/>
  <c r="R60" i="13" s="1"/>
  <c r="S60" i="13" s="1"/>
  <c r="T60" i="13" s="1"/>
  <c r="U60" i="13" s="1"/>
  <c r="V60" i="13" s="1"/>
  <c r="W60" i="13" s="1"/>
  <c r="X60" i="13" s="1"/>
  <c r="Y60" i="13" s="1"/>
  <c r="Z60" i="13" s="1"/>
  <c r="AA60" i="13" s="1"/>
  <c r="AB60" i="13" s="1"/>
  <c r="AC60" i="13" s="1"/>
  <c r="AD60" i="13" s="1"/>
  <c r="AE60" i="13" s="1"/>
  <c r="AF60" i="13" s="1"/>
  <c r="AG60" i="13" s="1"/>
  <c r="AH60" i="13" s="1"/>
  <c r="AI60" i="13" s="1"/>
  <c r="AJ60" i="13" s="1"/>
  <c r="AK60" i="13" s="1"/>
  <c r="AL60" i="13" s="1"/>
  <c r="AM60" i="13" s="1"/>
  <c r="AN60" i="13" s="1"/>
  <c r="AO60" i="13" s="1"/>
  <c r="AP60" i="13" s="1"/>
  <c r="AQ60" i="13" s="1"/>
  <c r="AR60" i="13" s="1"/>
  <c r="AS60" i="13" s="1"/>
  <c r="AT60" i="13" s="1"/>
  <c r="AU60" i="13" s="1"/>
  <c r="AV60" i="13" s="1"/>
  <c r="AW60" i="13" s="1"/>
  <c r="AX60" i="13" s="1"/>
  <c r="AY60" i="13" s="1"/>
  <c r="AZ60" i="13" s="1"/>
  <c r="D23" i="13"/>
  <c r="E23" i="13" s="1"/>
  <c r="F23" i="13" s="1"/>
  <c r="G23" i="13" s="1"/>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D167" i="13"/>
  <c r="E167" i="13" s="1"/>
  <c r="F167" i="13" s="1"/>
  <c r="G167" i="13" s="1"/>
  <c r="H167" i="13" s="1"/>
  <c r="I167" i="13" s="1"/>
  <c r="J167" i="13" s="1"/>
  <c r="K167" i="13" s="1"/>
  <c r="L167" i="13" s="1"/>
  <c r="M167" i="13" s="1"/>
  <c r="N167" i="13" s="1"/>
  <c r="O167" i="13" s="1"/>
  <c r="P167" i="13" s="1"/>
  <c r="Q167" i="13" s="1"/>
  <c r="R167" i="13" s="1"/>
  <c r="S167" i="13" s="1"/>
  <c r="T167" i="13" s="1"/>
  <c r="U167" i="13" s="1"/>
  <c r="V167" i="13" s="1"/>
  <c r="W167" i="13" s="1"/>
  <c r="X167" i="13" s="1"/>
  <c r="Y167" i="13" s="1"/>
  <c r="Z167" i="13" s="1"/>
  <c r="AA167" i="13" s="1"/>
  <c r="AB167" i="13" s="1"/>
  <c r="AC167" i="13" s="1"/>
  <c r="AD167" i="13" s="1"/>
  <c r="AE167" i="13" s="1"/>
  <c r="AF167" i="13" s="1"/>
  <c r="AG167" i="13" s="1"/>
  <c r="AH167" i="13" s="1"/>
  <c r="AI167" i="13" s="1"/>
  <c r="AJ167" i="13" s="1"/>
  <c r="AK167" i="13" s="1"/>
  <c r="AL167" i="13" s="1"/>
  <c r="AM167" i="13" s="1"/>
  <c r="AN167" i="13" s="1"/>
  <c r="AO167" i="13" s="1"/>
  <c r="AP167" i="13" s="1"/>
  <c r="AQ167" i="13" s="1"/>
  <c r="AR167" i="13" s="1"/>
  <c r="AS167" i="13" s="1"/>
  <c r="AT167" i="13" s="1"/>
  <c r="AU167" i="13" s="1"/>
  <c r="AV167" i="13" s="1"/>
  <c r="AW167" i="13" s="1"/>
  <c r="AX167" i="13" s="1"/>
  <c r="AY167" i="13" s="1"/>
  <c r="AZ167" i="13" s="1"/>
  <c r="D119" i="13"/>
  <c r="E119" i="13" s="1"/>
  <c r="F119" i="13" s="1"/>
  <c r="G119" i="13" s="1"/>
  <c r="H119" i="13" s="1"/>
  <c r="I119" i="13" s="1"/>
  <c r="J119" i="13" s="1"/>
  <c r="K119" i="13" s="1"/>
  <c r="L119" i="13" s="1"/>
  <c r="M119" i="13" s="1"/>
  <c r="N119" i="13" s="1"/>
  <c r="O119" i="13" s="1"/>
  <c r="P119" i="13" s="1"/>
  <c r="Q119" i="13" s="1"/>
  <c r="R119" i="13" s="1"/>
  <c r="S119" i="13" s="1"/>
  <c r="T119" i="13" s="1"/>
  <c r="U119" i="13" s="1"/>
  <c r="V119" i="13" s="1"/>
  <c r="W119" i="13" s="1"/>
  <c r="X119" i="13" s="1"/>
  <c r="Y119" i="13" s="1"/>
  <c r="Z119" i="13" s="1"/>
  <c r="AA119" i="13" s="1"/>
  <c r="AB119" i="13" s="1"/>
  <c r="AC119" i="13" s="1"/>
  <c r="AD119" i="13" s="1"/>
  <c r="AE119" i="13" s="1"/>
  <c r="AF119" i="13" s="1"/>
  <c r="AG119" i="13" s="1"/>
  <c r="AH119" i="13" s="1"/>
  <c r="AI119" i="13" s="1"/>
  <c r="AJ119" i="13" s="1"/>
  <c r="AK119" i="13" s="1"/>
  <c r="AL119" i="13" s="1"/>
  <c r="AM119" i="13" s="1"/>
  <c r="AN119" i="13" s="1"/>
  <c r="AO119" i="13" s="1"/>
  <c r="AP119" i="13" s="1"/>
  <c r="AQ119" i="13" s="1"/>
  <c r="AR119" i="13" s="1"/>
  <c r="AS119" i="13" s="1"/>
  <c r="AT119" i="13" s="1"/>
  <c r="AU119" i="13" s="1"/>
  <c r="AV119" i="13" s="1"/>
  <c r="AW119" i="13" s="1"/>
  <c r="AX119" i="13" s="1"/>
  <c r="AY119" i="13" s="1"/>
  <c r="AZ119" i="13" s="1"/>
  <c r="D79" i="13"/>
  <c r="E79" i="13" s="1"/>
  <c r="F79" i="13" s="1"/>
  <c r="G79" i="13" s="1"/>
  <c r="H79" i="13" s="1"/>
  <c r="I79" i="13" s="1"/>
  <c r="J79" i="13" s="1"/>
  <c r="K79" i="13" s="1"/>
  <c r="L79" i="13" s="1"/>
  <c r="M79" i="13" s="1"/>
  <c r="N79" i="13" s="1"/>
  <c r="O79" i="13" s="1"/>
  <c r="P79" i="13" s="1"/>
  <c r="Q79" i="13" s="1"/>
  <c r="R79" i="13" s="1"/>
  <c r="S79" i="13" s="1"/>
  <c r="T79" i="13" s="1"/>
  <c r="U79" i="13" s="1"/>
  <c r="V79" i="13" s="1"/>
  <c r="W79" i="13" s="1"/>
  <c r="X79" i="13" s="1"/>
  <c r="Y79" i="13" s="1"/>
  <c r="Z79" i="13" s="1"/>
  <c r="AA79" i="13" s="1"/>
  <c r="AB79" i="13" s="1"/>
  <c r="AC79" i="13" s="1"/>
  <c r="AD79" i="13" s="1"/>
  <c r="AE79" i="13" s="1"/>
  <c r="AF79" i="13" s="1"/>
  <c r="AG79" i="13" s="1"/>
  <c r="AH79" i="13" s="1"/>
  <c r="AI79" i="13" s="1"/>
  <c r="AJ79" i="13" s="1"/>
  <c r="AK79" i="13" s="1"/>
  <c r="AL79" i="13" s="1"/>
  <c r="AM79" i="13" s="1"/>
  <c r="AN79" i="13" s="1"/>
  <c r="AO79" i="13" s="1"/>
  <c r="AP79" i="13" s="1"/>
  <c r="AQ79" i="13" s="1"/>
  <c r="AR79" i="13" s="1"/>
  <c r="AS79" i="13" s="1"/>
  <c r="AT79" i="13" s="1"/>
  <c r="AU79" i="13" s="1"/>
  <c r="AV79" i="13" s="1"/>
  <c r="AW79" i="13" s="1"/>
  <c r="AX79" i="13" s="1"/>
  <c r="AY79" i="13" s="1"/>
  <c r="AZ79" i="13" s="1"/>
  <c r="D74" i="13"/>
  <c r="E74" i="13" s="1"/>
  <c r="F74" i="13" s="1"/>
  <c r="G74" i="13" s="1"/>
  <c r="H74" i="13" s="1"/>
  <c r="I74" i="13" s="1"/>
  <c r="J74" i="13" s="1"/>
  <c r="K74" i="13" s="1"/>
  <c r="L74" i="13" s="1"/>
  <c r="M74" i="13" s="1"/>
  <c r="N74" i="13" s="1"/>
  <c r="O74" i="13" s="1"/>
  <c r="P74" i="13" s="1"/>
  <c r="Q74" i="13" s="1"/>
  <c r="R74" i="13" s="1"/>
  <c r="S74" i="13" s="1"/>
  <c r="T74" i="13" s="1"/>
  <c r="U74" i="13" s="1"/>
  <c r="V74" i="13" s="1"/>
  <c r="W74" i="13" s="1"/>
  <c r="X74" i="13" s="1"/>
  <c r="Y74" i="13" s="1"/>
  <c r="Z74" i="13" s="1"/>
  <c r="AA74" i="13" s="1"/>
  <c r="AB74" i="13" s="1"/>
  <c r="AC74" i="13" s="1"/>
  <c r="AD74" i="13" s="1"/>
  <c r="AE74" i="13" s="1"/>
  <c r="AF74" i="13" s="1"/>
  <c r="AG74" i="13" s="1"/>
  <c r="AH74" i="13" s="1"/>
  <c r="AI74" i="13" s="1"/>
  <c r="AJ74" i="13" s="1"/>
  <c r="AK74" i="13" s="1"/>
  <c r="AL74" i="13" s="1"/>
  <c r="AM74" i="13" s="1"/>
  <c r="AN74" i="13" s="1"/>
  <c r="AO74" i="13" s="1"/>
  <c r="AP74" i="13" s="1"/>
  <c r="AQ74" i="13" s="1"/>
  <c r="AR74" i="13" s="1"/>
  <c r="AS74" i="13" s="1"/>
  <c r="AT74" i="13" s="1"/>
  <c r="AU74" i="13" s="1"/>
  <c r="AV74" i="13" s="1"/>
  <c r="AW74" i="13" s="1"/>
  <c r="AX74" i="13" s="1"/>
  <c r="AY74" i="13" s="1"/>
  <c r="AZ74" i="13" s="1"/>
  <c r="D69" i="13"/>
  <c r="E69" i="13" s="1"/>
  <c r="F69" i="13" s="1"/>
  <c r="G69" i="13" s="1"/>
  <c r="H69" i="13" s="1"/>
  <c r="I69" i="13" s="1"/>
  <c r="J69" i="13" s="1"/>
  <c r="K69" i="13" s="1"/>
  <c r="L69" i="13" s="1"/>
  <c r="M69" i="13" s="1"/>
  <c r="N69" i="13" s="1"/>
  <c r="O69" i="13" s="1"/>
  <c r="P69" i="13" s="1"/>
  <c r="Q69" i="13" s="1"/>
  <c r="R69" i="13" s="1"/>
  <c r="S69" i="13" s="1"/>
  <c r="T69" i="13" s="1"/>
  <c r="U69" i="13" s="1"/>
  <c r="V69" i="13" s="1"/>
  <c r="W69" i="13" s="1"/>
  <c r="X69" i="13" s="1"/>
  <c r="Y69" i="13" s="1"/>
  <c r="Z69" i="13" s="1"/>
  <c r="AA69" i="13" s="1"/>
  <c r="AB69" i="13" s="1"/>
  <c r="AC69" i="13" s="1"/>
  <c r="AD69" i="13" s="1"/>
  <c r="AE69" i="13" s="1"/>
  <c r="AF69" i="13" s="1"/>
  <c r="AG69" i="13" s="1"/>
  <c r="AH69" i="13" s="1"/>
  <c r="AI69" i="13" s="1"/>
  <c r="AJ69" i="13" s="1"/>
  <c r="AK69" i="13" s="1"/>
  <c r="AL69" i="13" s="1"/>
  <c r="AM69" i="13" s="1"/>
  <c r="AN69" i="13" s="1"/>
  <c r="AO69" i="13" s="1"/>
  <c r="AP69" i="13" s="1"/>
  <c r="AQ69" i="13" s="1"/>
  <c r="AR69" i="13" s="1"/>
  <c r="AS69" i="13" s="1"/>
  <c r="AT69" i="13" s="1"/>
  <c r="AU69" i="13" s="1"/>
  <c r="AV69" i="13" s="1"/>
  <c r="AW69" i="13" s="1"/>
  <c r="AX69" i="13" s="1"/>
  <c r="AY69" i="13" s="1"/>
  <c r="AZ69" i="13" s="1"/>
  <c r="D62" i="13"/>
  <c r="E62" i="13" s="1"/>
  <c r="F62" i="13" s="1"/>
  <c r="G62" i="13" s="1"/>
  <c r="H62" i="13" s="1"/>
  <c r="I62" i="13" s="1"/>
  <c r="J62" i="13" s="1"/>
  <c r="K62" i="13" s="1"/>
  <c r="L62" i="13" s="1"/>
  <c r="M62" i="13" s="1"/>
  <c r="N62" i="13" s="1"/>
  <c r="O62" i="13" s="1"/>
  <c r="P62" i="13" s="1"/>
  <c r="Q62" i="13" s="1"/>
  <c r="R62" i="13" s="1"/>
  <c r="S62" i="13" s="1"/>
  <c r="T62" i="13" s="1"/>
  <c r="U62" i="13" s="1"/>
  <c r="V62" i="13" s="1"/>
  <c r="W62" i="13" s="1"/>
  <c r="X62" i="13" s="1"/>
  <c r="Y62" i="13" s="1"/>
  <c r="Z62" i="13" s="1"/>
  <c r="AA62" i="13" s="1"/>
  <c r="AB62" i="13" s="1"/>
  <c r="AC62" i="13" s="1"/>
  <c r="AD62" i="13" s="1"/>
  <c r="AE62" i="13" s="1"/>
  <c r="AF62" i="13" s="1"/>
  <c r="AG62" i="13" s="1"/>
  <c r="AH62" i="13" s="1"/>
  <c r="AI62" i="13" s="1"/>
  <c r="AJ62" i="13" s="1"/>
  <c r="AK62" i="13" s="1"/>
  <c r="AL62" i="13" s="1"/>
  <c r="AM62" i="13" s="1"/>
  <c r="AN62" i="13" s="1"/>
  <c r="AO62" i="13" s="1"/>
  <c r="AP62" i="13" s="1"/>
  <c r="AQ62" i="13" s="1"/>
  <c r="AR62" i="13" s="1"/>
  <c r="AS62" i="13" s="1"/>
  <c r="AT62" i="13" s="1"/>
  <c r="AU62" i="13" s="1"/>
  <c r="AV62" i="13" s="1"/>
  <c r="AW62" i="13" s="1"/>
  <c r="AX62" i="13" s="1"/>
  <c r="AY62" i="13" s="1"/>
  <c r="AZ62" i="13" s="1"/>
  <c r="D33" i="13"/>
  <c r="E33" i="13" s="1"/>
  <c r="F33" i="13" s="1"/>
  <c r="G33" i="13" s="1"/>
  <c r="H33" i="13" s="1"/>
  <c r="I33" i="13" s="1"/>
  <c r="J33" i="13" s="1"/>
  <c r="K33" i="13" s="1"/>
  <c r="L33" i="13" s="1"/>
  <c r="M33" i="13" s="1"/>
  <c r="N33" i="13" s="1"/>
  <c r="O33" i="13" s="1"/>
  <c r="P33" i="13" s="1"/>
  <c r="Q33" i="13" s="1"/>
  <c r="R33" i="13" s="1"/>
  <c r="S33" i="13" s="1"/>
  <c r="T33" i="13" s="1"/>
  <c r="U33" i="13" s="1"/>
  <c r="V33" i="13" s="1"/>
  <c r="W33" i="13" s="1"/>
  <c r="X33" i="13" s="1"/>
  <c r="Y33" i="13" s="1"/>
  <c r="Z33" i="13" s="1"/>
  <c r="AA33" i="13" s="1"/>
  <c r="AB33" i="13" s="1"/>
  <c r="AC33" i="13" s="1"/>
  <c r="AD33" i="13" s="1"/>
  <c r="AE33" i="13" s="1"/>
  <c r="AF33" i="13" s="1"/>
  <c r="AG33" i="13" s="1"/>
  <c r="AH33" i="13" s="1"/>
  <c r="AI33" i="13" s="1"/>
  <c r="AJ33" i="13" s="1"/>
  <c r="AK33" i="13" s="1"/>
  <c r="AL33" i="13" s="1"/>
  <c r="AM33" i="13" s="1"/>
  <c r="AN33" i="13" s="1"/>
  <c r="AO33" i="13" s="1"/>
  <c r="AP33" i="13" s="1"/>
  <c r="AQ33" i="13" s="1"/>
  <c r="AR33" i="13" s="1"/>
  <c r="AS33" i="13" s="1"/>
  <c r="AT33" i="13" s="1"/>
  <c r="AU33" i="13" s="1"/>
  <c r="AV33" i="13" s="1"/>
  <c r="AW33" i="13" s="1"/>
  <c r="AX33" i="13" s="1"/>
  <c r="AY33" i="13" s="1"/>
  <c r="AZ33" i="13" s="1"/>
  <c r="D66" i="13"/>
  <c r="E66" i="13" s="1"/>
  <c r="F66" i="13" s="1"/>
  <c r="G66" i="13" s="1"/>
  <c r="H66" i="13" s="1"/>
  <c r="I66" i="13" s="1"/>
  <c r="J66" i="13" s="1"/>
  <c r="K66" i="13" s="1"/>
  <c r="L66" i="13" s="1"/>
  <c r="M66" i="13" s="1"/>
  <c r="N66" i="13" s="1"/>
  <c r="O66" i="13" s="1"/>
  <c r="P66" i="13" s="1"/>
  <c r="Q66" i="13" s="1"/>
  <c r="R66" i="13" s="1"/>
  <c r="S66" i="13" s="1"/>
  <c r="T66" i="13" s="1"/>
  <c r="U66" i="13" s="1"/>
  <c r="V66" i="13" s="1"/>
  <c r="W66" i="13" s="1"/>
  <c r="X66" i="13" s="1"/>
  <c r="Y66" i="13" s="1"/>
  <c r="Z66" i="13" s="1"/>
  <c r="AA66" i="13" s="1"/>
  <c r="AB66" i="13" s="1"/>
  <c r="AC66" i="13" s="1"/>
  <c r="AD66" i="13" s="1"/>
  <c r="AE66" i="13" s="1"/>
  <c r="AF66" i="13" s="1"/>
  <c r="AG66" i="13" s="1"/>
  <c r="AH66" i="13" s="1"/>
  <c r="AI66" i="13" s="1"/>
  <c r="AJ66" i="13" s="1"/>
  <c r="AK66" i="13" s="1"/>
  <c r="AL66" i="13" s="1"/>
  <c r="AM66" i="13" s="1"/>
  <c r="AN66" i="13" s="1"/>
  <c r="AO66" i="13" s="1"/>
  <c r="AP66" i="13" s="1"/>
  <c r="AQ66" i="13" s="1"/>
  <c r="AR66" i="13" s="1"/>
  <c r="AS66" i="13" s="1"/>
  <c r="AT66" i="13" s="1"/>
  <c r="AU66" i="13" s="1"/>
  <c r="AV66" i="13" s="1"/>
  <c r="AW66" i="13" s="1"/>
  <c r="AX66" i="13" s="1"/>
  <c r="AY66" i="13" s="1"/>
  <c r="AZ66" i="13" s="1"/>
  <c r="D150" i="13"/>
  <c r="E150" i="13" s="1"/>
  <c r="F150" i="13" s="1"/>
  <c r="G150" i="13" s="1"/>
  <c r="H150" i="13" s="1"/>
  <c r="I150" i="13" s="1"/>
  <c r="J150" i="13" s="1"/>
  <c r="K150" i="13" s="1"/>
  <c r="L150" i="13" s="1"/>
  <c r="M150" i="13" s="1"/>
  <c r="N150" i="13" s="1"/>
  <c r="O150" i="13" s="1"/>
  <c r="P150" i="13" s="1"/>
  <c r="Q150" i="13" s="1"/>
  <c r="R150" i="13" s="1"/>
  <c r="S150" i="13" s="1"/>
  <c r="T150" i="13" s="1"/>
  <c r="U150" i="13" s="1"/>
  <c r="V150" i="13" s="1"/>
  <c r="W150" i="13" s="1"/>
  <c r="X150" i="13" s="1"/>
  <c r="Y150" i="13" s="1"/>
  <c r="Z150" i="13" s="1"/>
  <c r="AA150" i="13" s="1"/>
  <c r="AB150" i="13" s="1"/>
  <c r="AC150" i="13" s="1"/>
  <c r="AD150" i="13" s="1"/>
  <c r="AE150" i="13" s="1"/>
  <c r="AF150" i="13" s="1"/>
  <c r="AG150" i="13" s="1"/>
  <c r="AH150" i="13" s="1"/>
  <c r="AI150" i="13" s="1"/>
  <c r="AJ150" i="13" s="1"/>
  <c r="AK150" i="13" s="1"/>
  <c r="AL150" i="13" s="1"/>
  <c r="AM150" i="13" s="1"/>
  <c r="AN150" i="13" s="1"/>
  <c r="AO150" i="13" s="1"/>
  <c r="AP150" i="13" s="1"/>
  <c r="AQ150" i="13" s="1"/>
  <c r="AR150" i="13" s="1"/>
  <c r="AS150" i="13" s="1"/>
  <c r="AT150" i="13" s="1"/>
  <c r="AU150" i="13" s="1"/>
  <c r="AV150" i="13" s="1"/>
  <c r="AW150" i="13" s="1"/>
  <c r="AX150" i="13" s="1"/>
  <c r="AY150" i="13" s="1"/>
  <c r="AZ150" i="13" s="1"/>
  <c r="D105" i="13"/>
  <c r="E105" i="13" s="1"/>
  <c r="F105" i="13" s="1"/>
  <c r="G105" i="13" s="1"/>
  <c r="H105" i="13" s="1"/>
  <c r="I105" i="13" s="1"/>
  <c r="J105" i="13" s="1"/>
  <c r="K105" i="13" s="1"/>
  <c r="L105" i="13" s="1"/>
  <c r="M105" i="13" s="1"/>
  <c r="N105" i="13" s="1"/>
  <c r="O105" i="13" s="1"/>
  <c r="P105" i="13" s="1"/>
  <c r="Q105" i="13" s="1"/>
  <c r="R105" i="13" s="1"/>
  <c r="S105" i="13" s="1"/>
  <c r="T105" i="13" s="1"/>
  <c r="U105" i="13" s="1"/>
  <c r="V105" i="13" s="1"/>
  <c r="W105" i="13" s="1"/>
  <c r="X105" i="13" s="1"/>
  <c r="Y105" i="13" s="1"/>
  <c r="Z105" i="13" s="1"/>
  <c r="AA105" i="13" s="1"/>
  <c r="AB105" i="13" s="1"/>
  <c r="AC105" i="13" s="1"/>
  <c r="AD105" i="13" s="1"/>
  <c r="AE105" i="13" s="1"/>
  <c r="AF105" i="13" s="1"/>
  <c r="AG105" i="13" s="1"/>
  <c r="AH105" i="13" s="1"/>
  <c r="AI105" i="13" s="1"/>
  <c r="AJ105" i="13" s="1"/>
  <c r="AK105" i="13" s="1"/>
  <c r="AL105" i="13" s="1"/>
  <c r="AM105" i="13" s="1"/>
  <c r="AN105" i="13" s="1"/>
  <c r="AO105" i="13" s="1"/>
  <c r="AP105" i="13" s="1"/>
  <c r="AQ105" i="13" s="1"/>
  <c r="AR105" i="13" s="1"/>
  <c r="AS105" i="13" s="1"/>
  <c r="AT105" i="13" s="1"/>
  <c r="AU105" i="13" s="1"/>
  <c r="AV105" i="13" s="1"/>
  <c r="AW105" i="13" s="1"/>
  <c r="AX105" i="13" s="1"/>
  <c r="AY105" i="13" s="1"/>
  <c r="AZ105" i="13" s="1"/>
  <c r="D57" i="13"/>
  <c r="E57" i="13" s="1"/>
  <c r="F57" i="13" s="1"/>
  <c r="G57" i="13" s="1"/>
  <c r="H57" i="13" s="1"/>
  <c r="I57" i="13" s="1"/>
  <c r="J57" i="13" s="1"/>
  <c r="K57" i="13" s="1"/>
  <c r="L57" i="13" s="1"/>
  <c r="M57" i="13" s="1"/>
  <c r="N57" i="13" s="1"/>
  <c r="O57" i="13" s="1"/>
  <c r="P57" i="13" s="1"/>
  <c r="Q57" i="13" s="1"/>
  <c r="R57" i="13" s="1"/>
  <c r="S57" i="13" s="1"/>
  <c r="T57" i="13" s="1"/>
  <c r="U57" i="13" s="1"/>
  <c r="V57" i="13" s="1"/>
  <c r="W57" i="13" s="1"/>
  <c r="X57" i="13" s="1"/>
  <c r="Y57" i="13" s="1"/>
  <c r="Z57" i="13" s="1"/>
  <c r="AA57" i="13" s="1"/>
  <c r="AB57" i="13" s="1"/>
  <c r="AC57" i="13" s="1"/>
  <c r="AD57" i="13" s="1"/>
  <c r="AE57" i="13" s="1"/>
  <c r="AF57" i="13" s="1"/>
  <c r="AG57" i="13" s="1"/>
  <c r="AH57" i="13" s="1"/>
  <c r="AI57" i="13" s="1"/>
  <c r="AJ57" i="13" s="1"/>
  <c r="AK57" i="13" s="1"/>
  <c r="AL57" i="13" s="1"/>
  <c r="AM57" i="13" s="1"/>
  <c r="AN57" i="13" s="1"/>
  <c r="AO57" i="13" s="1"/>
  <c r="AP57" i="13" s="1"/>
  <c r="AQ57" i="13" s="1"/>
  <c r="AR57" i="13" s="1"/>
  <c r="AS57" i="13" s="1"/>
  <c r="AT57" i="13" s="1"/>
  <c r="AU57" i="13" s="1"/>
  <c r="AV57" i="13" s="1"/>
  <c r="AW57" i="13" s="1"/>
  <c r="AX57" i="13" s="1"/>
  <c r="AY57" i="13" s="1"/>
  <c r="AZ57" i="13" s="1"/>
  <c r="D35" i="13"/>
  <c r="E35" i="13" s="1"/>
  <c r="F35" i="13" s="1"/>
  <c r="G35" i="13" s="1"/>
  <c r="H35" i="13" s="1"/>
  <c r="I35" i="13" s="1"/>
  <c r="J35" i="13" s="1"/>
  <c r="K35" i="13" s="1"/>
  <c r="L35" i="13" s="1"/>
  <c r="M35" i="13" s="1"/>
  <c r="N35" i="13" s="1"/>
  <c r="O35" i="13" s="1"/>
  <c r="P35" i="13" s="1"/>
  <c r="Q35" i="13" s="1"/>
  <c r="R35" i="13" s="1"/>
  <c r="S35" i="13" s="1"/>
  <c r="T35" i="13" s="1"/>
  <c r="U35" i="13" s="1"/>
  <c r="V35" i="13" s="1"/>
  <c r="W35" i="13" s="1"/>
  <c r="X35" i="13" s="1"/>
  <c r="Y35" i="13" s="1"/>
  <c r="Z35" i="13" s="1"/>
  <c r="AA35" i="13" s="1"/>
  <c r="AB35" i="13" s="1"/>
  <c r="AC35" i="13" s="1"/>
  <c r="AD35" i="13" s="1"/>
  <c r="AE35" i="13" s="1"/>
  <c r="AF35" i="13" s="1"/>
  <c r="AG35" i="13" s="1"/>
  <c r="AH35" i="13" s="1"/>
  <c r="AI35" i="13" s="1"/>
  <c r="AJ35" i="13" s="1"/>
  <c r="AK35" i="13" s="1"/>
  <c r="AL35" i="13" s="1"/>
  <c r="AM35" i="13" s="1"/>
  <c r="AN35" i="13" s="1"/>
  <c r="AO35" i="13" s="1"/>
  <c r="AP35" i="13" s="1"/>
  <c r="AQ35" i="13" s="1"/>
  <c r="AR35" i="13" s="1"/>
  <c r="AS35" i="13" s="1"/>
  <c r="AT35" i="13" s="1"/>
  <c r="AU35" i="13" s="1"/>
  <c r="AV35" i="13" s="1"/>
  <c r="AW35" i="13" s="1"/>
  <c r="AX35" i="13" s="1"/>
  <c r="AY35" i="13" s="1"/>
  <c r="AZ35" i="13" s="1"/>
  <c r="D29" i="13"/>
  <c r="E29" i="13" s="1"/>
  <c r="F29" i="13" s="1"/>
  <c r="G29" i="13" s="1"/>
  <c r="H29" i="13" s="1"/>
  <c r="I29" i="13" s="1"/>
  <c r="J29" i="13" s="1"/>
  <c r="K29" i="13" s="1"/>
  <c r="L29" i="13" s="1"/>
  <c r="M29" i="13" s="1"/>
  <c r="N29" i="13" s="1"/>
  <c r="O29" i="13" s="1"/>
  <c r="P29" i="13" s="1"/>
  <c r="Q29" i="13" s="1"/>
  <c r="R29" i="13" s="1"/>
  <c r="S29" i="13" s="1"/>
  <c r="T29" i="13" s="1"/>
  <c r="U29" i="13" s="1"/>
  <c r="V29" i="13" s="1"/>
  <c r="W29" i="13" s="1"/>
  <c r="X29" i="13" s="1"/>
  <c r="Y29" i="13" s="1"/>
  <c r="Z29" i="13" s="1"/>
  <c r="AA29" i="13" s="1"/>
  <c r="AB29" i="13" s="1"/>
  <c r="AC29" i="13" s="1"/>
  <c r="AD29" i="13" s="1"/>
  <c r="AE29" i="13" s="1"/>
  <c r="AF29" i="13" s="1"/>
  <c r="AG29" i="13" s="1"/>
  <c r="AH29" i="13" s="1"/>
  <c r="AI29" i="13" s="1"/>
  <c r="AJ29" i="13" s="1"/>
  <c r="AK29" i="13" s="1"/>
  <c r="AL29" i="13" s="1"/>
  <c r="AM29" i="13" s="1"/>
  <c r="AN29" i="13" s="1"/>
  <c r="AO29" i="13" s="1"/>
  <c r="AP29" i="13" s="1"/>
  <c r="AQ29" i="13" s="1"/>
  <c r="AR29" i="13" s="1"/>
  <c r="AS29" i="13" s="1"/>
  <c r="AT29" i="13" s="1"/>
  <c r="AU29" i="13" s="1"/>
  <c r="AV29" i="13" s="1"/>
  <c r="AW29" i="13" s="1"/>
  <c r="AX29" i="13" s="1"/>
  <c r="AY29" i="13" s="1"/>
  <c r="AZ29" i="13" s="1"/>
  <c r="D24" i="13"/>
  <c r="E24" i="13" s="1"/>
  <c r="F24" i="13" s="1"/>
  <c r="G24" i="13" s="1"/>
  <c r="H24" i="13" s="1"/>
  <c r="I24" i="13" s="1"/>
  <c r="J24" i="13" s="1"/>
  <c r="K24" i="13" s="1"/>
  <c r="L24" i="13" s="1"/>
  <c r="M24" i="13" s="1"/>
  <c r="N24" i="13" s="1"/>
  <c r="O24" i="13" s="1"/>
  <c r="P24" i="13" s="1"/>
  <c r="Q24" i="13" s="1"/>
  <c r="R24" i="13" s="1"/>
  <c r="S24" i="13" s="1"/>
  <c r="T24" i="13" s="1"/>
  <c r="U24" i="13" s="1"/>
  <c r="V24" i="13" s="1"/>
  <c r="W24" i="13" s="1"/>
  <c r="X24" i="13" s="1"/>
  <c r="Y24" i="13" s="1"/>
  <c r="Z24" i="13" s="1"/>
  <c r="AA24" i="13" s="1"/>
  <c r="AB24" i="13" s="1"/>
  <c r="AC24" i="13" s="1"/>
  <c r="AD24" i="13" s="1"/>
  <c r="AE24" i="13" s="1"/>
  <c r="AF24" i="13" s="1"/>
  <c r="AG24" i="13" s="1"/>
  <c r="AH24" i="13" s="1"/>
  <c r="AI24" i="13" s="1"/>
  <c r="AJ24" i="13" s="1"/>
  <c r="AK24" i="13" s="1"/>
  <c r="AL24" i="13" s="1"/>
  <c r="AM24" i="13" s="1"/>
  <c r="AN24" i="13" s="1"/>
  <c r="AO24" i="13" s="1"/>
  <c r="AP24" i="13" s="1"/>
  <c r="AQ24" i="13" s="1"/>
  <c r="AR24" i="13" s="1"/>
  <c r="AS24" i="13" s="1"/>
  <c r="AT24" i="13" s="1"/>
  <c r="AU24" i="13" s="1"/>
  <c r="AV24" i="13" s="1"/>
  <c r="AW24" i="13" s="1"/>
  <c r="AX24" i="13" s="1"/>
  <c r="AY24" i="13" s="1"/>
  <c r="AZ24" i="13" s="1"/>
  <c r="D17" i="13"/>
  <c r="E17" i="13" s="1"/>
  <c r="F17" i="13" s="1"/>
  <c r="G17" i="13" s="1"/>
  <c r="H17" i="13" s="1"/>
  <c r="I17" i="13" s="1"/>
  <c r="J17" i="13" s="1"/>
  <c r="K17" i="13" s="1"/>
  <c r="L17" i="13" s="1"/>
  <c r="M17" i="13" s="1"/>
  <c r="N17" i="13" s="1"/>
  <c r="O17" i="13" s="1"/>
  <c r="P17" i="13" s="1"/>
  <c r="Q17" i="13" s="1"/>
  <c r="R17" i="13" s="1"/>
  <c r="S17" i="13" s="1"/>
  <c r="T17" i="13" s="1"/>
  <c r="U17" i="13" s="1"/>
  <c r="V17" i="13" s="1"/>
  <c r="W17" i="13" s="1"/>
  <c r="X17" i="13" s="1"/>
  <c r="Y17" i="13" s="1"/>
  <c r="Z17" i="13" s="1"/>
  <c r="AA17" i="13" s="1"/>
  <c r="AB17" i="13" s="1"/>
  <c r="AC17" i="13" s="1"/>
  <c r="AD17" i="13" s="1"/>
  <c r="AE17" i="13" s="1"/>
  <c r="AF17" i="13" s="1"/>
  <c r="AG17" i="13" s="1"/>
  <c r="AH17" i="13" s="1"/>
  <c r="AI17" i="13" s="1"/>
  <c r="AJ17" i="13" s="1"/>
  <c r="AK17" i="13" s="1"/>
  <c r="AL17" i="13" s="1"/>
  <c r="AM17" i="13" s="1"/>
  <c r="AN17" i="13" s="1"/>
  <c r="AO17" i="13" s="1"/>
  <c r="AP17" i="13" s="1"/>
  <c r="AQ17" i="13" s="1"/>
  <c r="AR17" i="13" s="1"/>
  <c r="AS17" i="13" s="1"/>
  <c r="AT17" i="13" s="1"/>
  <c r="AU17" i="13" s="1"/>
  <c r="AV17" i="13" s="1"/>
  <c r="AW17" i="13" s="1"/>
  <c r="AX17" i="13" s="1"/>
  <c r="AY17" i="13" s="1"/>
  <c r="AZ17" i="13" s="1"/>
  <c r="D61" i="13"/>
  <c r="E61" i="13" s="1"/>
  <c r="F61" i="13" s="1"/>
  <c r="G61" i="13" s="1"/>
  <c r="H61" i="13" s="1"/>
  <c r="I61" i="13" s="1"/>
  <c r="J61" i="13" s="1"/>
  <c r="K61" i="13" s="1"/>
  <c r="L61" i="13" s="1"/>
  <c r="M61" i="13" s="1"/>
  <c r="N61" i="13" s="1"/>
  <c r="O61" i="13" s="1"/>
  <c r="P61" i="13" s="1"/>
  <c r="Q61" i="13" s="1"/>
  <c r="R61" i="13" s="1"/>
  <c r="S61" i="13" s="1"/>
  <c r="T61" i="13" s="1"/>
  <c r="U61" i="13" s="1"/>
  <c r="V61" i="13" s="1"/>
  <c r="W61" i="13" s="1"/>
  <c r="X61" i="13" s="1"/>
  <c r="Y61" i="13" s="1"/>
  <c r="Z61" i="13" s="1"/>
  <c r="AA61" i="13" s="1"/>
  <c r="AB61" i="13" s="1"/>
  <c r="AC61" i="13" s="1"/>
  <c r="AD61" i="13" s="1"/>
  <c r="AE61" i="13" s="1"/>
  <c r="AF61" i="13" s="1"/>
  <c r="AG61" i="13" s="1"/>
  <c r="AH61" i="13" s="1"/>
  <c r="AI61" i="13" s="1"/>
  <c r="AJ61" i="13" s="1"/>
  <c r="AK61" i="13" s="1"/>
  <c r="AL61" i="13" s="1"/>
  <c r="AM61" i="13" s="1"/>
  <c r="AN61" i="13" s="1"/>
  <c r="AO61" i="13" s="1"/>
  <c r="AP61" i="13" s="1"/>
  <c r="AQ61" i="13" s="1"/>
  <c r="AR61" i="13" s="1"/>
  <c r="AS61" i="13" s="1"/>
  <c r="AT61" i="13" s="1"/>
  <c r="AU61" i="13" s="1"/>
  <c r="AV61" i="13" s="1"/>
  <c r="AW61" i="13" s="1"/>
  <c r="AX61" i="13" s="1"/>
  <c r="AY61" i="13" s="1"/>
  <c r="AZ61" i="13" s="1"/>
  <c r="D22" i="13"/>
  <c r="E22" i="13" s="1"/>
  <c r="F22" i="13" s="1"/>
  <c r="G22" i="13" s="1"/>
  <c r="H22" i="13" s="1"/>
  <c r="I22" i="13" s="1"/>
  <c r="J22" i="13" s="1"/>
  <c r="K22" i="13" s="1"/>
  <c r="L22" i="13" s="1"/>
  <c r="M22" i="13" s="1"/>
  <c r="N22" i="13" s="1"/>
  <c r="O22" i="13" s="1"/>
  <c r="P22" i="13" s="1"/>
  <c r="Q22" i="13" s="1"/>
  <c r="R22" i="13" s="1"/>
  <c r="S22" i="13" s="1"/>
  <c r="T22" i="13" s="1"/>
  <c r="U22" i="13" s="1"/>
  <c r="V22" i="13" s="1"/>
  <c r="W22" i="13" s="1"/>
  <c r="X22" i="13" s="1"/>
  <c r="Y22" i="13" s="1"/>
  <c r="Z22" i="13" s="1"/>
  <c r="AA22" i="13" s="1"/>
  <c r="AB22" i="13" s="1"/>
  <c r="AC22" i="13" s="1"/>
  <c r="AD22" i="13" s="1"/>
  <c r="AE22" i="13" s="1"/>
  <c r="AF22" i="13" s="1"/>
  <c r="AG22" i="13" s="1"/>
  <c r="AH22" i="13" s="1"/>
  <c r="AI22" i="13" s="1"/>
  <c r="AJ22" i="13" s="1"/>
  <c r="AK22" i="13" s="1"/>
  <c r="AL22" i="13" s="1"/>
  <c r="AM22" i="13" s="1"/>
  <c r="AN22" i="13" s="1"/>
  <c r="AO22" i="13" s="1"/>
  <c r="AP22" i="13" s="1"/>
  <c r="AQ22" i="13" s="1"/>
  <c r="AR22" i="13" s="1"/>
  <c r="AS22" i="13" s="1"/>
  <c r="AT22" i="13" s="1"/>
  <c r="AU22" i="13" s="1"/>
  <c r="AV22" i="13" s="1"/>
  <c r="AW22" i="13" s="1"/>
  <c r="AX22" i="13" s="1"/>
  <c r="AY22" i="13" s="1"/>
  <c r="AZ22" i="13" s="1"/>
  <c r="C11" i="13"/>
  <c r="D13" i="13"/>
  <c r="E13" i="13" s="1"/>
  <c r="F13" i="13" s="1"/>
  <c r="G13" i="13" s="1"/>
  <c r="H13" i="13" s="1"/>
  <c r="I13" i="13" s="1"/>
  <c r="J13" i="13" s="1"/>
  <c r="K13" i="13" s="1"/>
  <c r="L13" i="13" s="1"/>
  <c r="M13" i="13" s="1"/>
  <c r="N13" i="13" s="1"/>
  <c r="O13" i="13" s="1"/>
  <c r="P13" i="13" s="1"/>
  <c r="Q13" i="13" s="1"/>
  <c r="R13" i="13" s="1"/>
  <c r="S13" i="13" s="1"/>
  <c r="T13" i="13" s="1"/>
  <c r="U13" i="13" s="1"/>
  <c r="V13" i="13" s="1"/>
  <c r="W13" i="13" s="1"/>
  <c r="X13" i="13" s="1"/>
  <c r="Y13" i="13" s="1"/>
  <c r="Z13" i="13" s="1"/>
  <c r="AA13" i="13" s="1"/>
  <c r="AB13" i="13" s="1"/>
  <c r="AC13" i="13" s="1"/>
  <c r="AD13" i="13" s="1"/>
  <c r="AE13" i="13" s="1"/>
  <c r="AF13" i="13" s="1"/>
  <c r="AG13" i="13" s="1"/>
  <c r="AH13" i="13" s="1"/>
  <c r="AI13" i="13" s="1"/>
  <c r="AJ13" i="13" s="1"/>
  <c r="AK13" i="13" s="1"/>
  <c r="AL13" i="13" s="1"/>
  <c r="AM13" i="13" s="1"/>
  <c r="AN13" i="13" s="1"/>
  <c r="AO13" i="13" s="1"/>
  <c r="AP13" i="13" s="1"/>
  <c r="AQ13" i="13" s="1"/>
  <c r="AR13" i="13" s="1"/>
  <c r="AS13" i="13" s="1"/>
  <c r="AT13" i="13" s="1"/>
  <c r="AU13" i="13" s="1"/>
  <c r="AV13" i="13" s="1"/>
  <c r="AW13" i="13" s="1"/>
  <c r="AX13" i="13" s="1"/>
  <c r="AY13" i="13" s="1"/>
  <c r="AZ13" i="13" s="1"/>
  <c r="B11" i="13"/>
  <c r="D15" i="13"/>
  <c r="E15" i="13" s="1"/>
  <c r="F15" i="13" s="1"/>
  <c r="G15" i="13" s="1"/>
  <c r="H15" i="13" s="1"/>
  <c r="I15" i="13" s="1"/>
  <c r="J15" i="13" s="1"/>
  <c r="K15" i="13" s="1"/>
  <c r="L15" i="13" s="1"/>
  <c r="M15" i="13" s="1"/>
  <c r="N15" i="13" s="1"/>
  <c r="O15" i="13" s="1"/>
  <c r="P15" i="13" s="1"/>
  <c r="Q15" i="13" s="1"/>
  <c r="R15" i="13" s="1"/>
  <c r="S15" i="13" s="1"/>
  <c r="T15" i="13" s="1"/>
  <c r="U15" i="13" s="1"/>
  <c r="V15" i="13" s="1"/>
  <c r="W15" i="13" s="1"/>
  <c r="X15" i="13" s="1"/>
  <c r="Y15" i="13" s="1"/>
  <c r="Z15" i="13" s="1"/>
  <c r="AA15" i="13" s="1"/>
  <c r="AB15" i="13" s="1"/>
  <c r="AC15" i="13" s="1"/>
  <c r="AD15" i="13" s="1"/>
  <c r="AE15" i="13" s="1"/>
  <c r="AF15" i="13" s="1"/>
  <c r="AG15" i="13" s="1"/>
  <c r="AH15" i="13" s="1"/>
  <c r="AI15" i="13" s="1"/>
  <c r="AJ15" i="13" s="1"/>
  <c r="AK15" i="13" s="1"/>
  <c r="AL15" i="13" s="1"/>
  <c r="AM15" i="13" s="1"/>
  <c r="AN15" i="13" s="1"/>
  <c r="AO15" i="13" s="1"/>
  <c r="AP15" i="13" s="1"/>
  <c r="AQ15" i="13" s="1"/>
  <c r="AR15" i="13" s="1"/>
  <c r="AS15" i="13" s="1"/>
  <c r="AT15" i="13" s="1"/>
  <c r="AU15" i="13" s="1"/>
  <c r="AV15" i="13" s="1"/>
  <c r="AW15" i="13" s="1"/>
  <c r="AX15" i="13" s="1"/>
  <c r="AY15" i="13" s="1"/>
  <c r="AZ15" i="13" s="1"/>
  <c r="D18" i="6"/>
  <c r="N67" i="6"/>
  <c r="H149" i="13" a="1"/>
  <c r="H149" i="13" s="1"/>
  <c r="H104" i="13" a="1"/>
  <c r="H104" i="13" s="1"/>
  <c r="P149" i="13" a="1"/>
  <c r="P149" i="13" s="1"/>
  <c r="Q149" i="13" s="1" a="1"/>
  <c r="Q149" i="13" s="1"/>
  <c r="R149" i="13" s="1" a="1"/>
  <c r="R149" i="13" s="1"/>
  <c r="S149" i="13" s="1" a="1"/>
  <c r="S149" i="13" s="1"/>
  <c r="T149" i="13" s="1" a="1"/>
  <c r="T149" i="13" s="1"/>
  <c r="U149" i="13" s="1" a="1"/>
  <c r="U149" i="13" s="1"/>
  <c r="V149" i="13" s="1" a="1"/>
  <c r="V149" i="13" s="1"/>
  <c r="W149" i="13" s="1" a="1"/>
  <c r="W149" i="13" s="1"/>
  <c r="X149" i="13" s="1" a="1"/>
  <c r="X149" i="13" s="1"/>
  <c r="Y149" i="13" s="1" a="1"/>
  <c r="Y149" i="13" s="1"/>
  <c r="Z149" i="13" s="1" a="1"/>
  <c r="Z149" i="13" s="1"/>
  <c r="AA149" i="13" s="1" a="1"/>
  <c r="AA149" i="13" s="1"/>
  <c r="AB149" i="13" s="1" a="1"/>
  <c r="AB149" i="13" s="1"/>
  <c r="AC149" i="13" s="1" a="1"/>
  <c r="AC149" i="13" s="1"/>
  <c r="AD149" i="13" s="1" a="1"/>
  <c r="AD149" i="13" s="1"/>
  <c r="AE149" i="13" s="1" a="1"/>
  <c r="AE149" i="13" s="1"/>
  <c r="AF149" i="13" s="1" a="1"/>
  <c r="AF149" i="13" s="1"/>
  <c r="AG149" i="13" s="1" a="1"/>
  <c r="AG149" i="13" s="1"/>
  <c r="AH149" i="13" s="1" a="1"/>
  <c r="AH149" i="13" s="1"/>
  <c r="AI149" i="13" s="1" a="1"/>
  <c r="AI149" i="13" s="1"/>
  <c r="AJ149" i="13" s="1" a="1"/>
  <c r="AJ149" i="13" s="1"/>
  <c r="AK149" i="13" s="1" a="1"/>
  <c r="AK149" i="13" s="1"/>
  <c r="AL149" i="13" s="1" a="1"/>
  <c r="AL149" i="13" s="1"/>
  <c r="AM149" i="13" s="1" a="1"/>
  <c r="AM149" i="13" s="1"/>
  <c r="AN149" i="13" s="1" a="1"/>
  <c r="AN149" i="13" s="1"/>
  <c r="AO149" i="13" s="1" a="1"/>
  <c r="AO149" i="13" s="1"/>
  <c r="AP149" i="13" s="1" a="1"/>
  <c r="AP149" i="13" s="1"/>
  <c r="AQ149" i="13" s="1" a="1"/>
  <c r="AQ149" i="13" s="1"/>
  <c r="AR149" i="13" s="1" a="1"/>
  <c r="AR149" i="13" s="1"/>
  <c r="AS149" i="13" s="1" a="1"/>
  <c r="AS149" i="13" s="1"/>
  <c r="AT149" i="13" s="1" a="1"/>
  <c r="AT149" i="13" s="1"/>
  <c r="AU149" i="13" s="1" a="1"/>
  <c r="AU149" i="13" s="1"/>
  <c r="AV149" i="13" s="1" a="1"/>
  <c r="AV149" i="13" s="1"/>
  <c r="AW149" i="13" s="1" a="1"/>
  <c r="AW149" i="13" s="1"/>
  <c r="AX149" i="13" s="1" a="1"/>
  <c r="AX149" i="13" s="1"/>
  <c r="AY149" i="13" s="1" a="1"/>
  <c r="AY149" i="13" s="1"/>
  <c r="AZ149" i="13" s="1" a="1"/>
  <c r="AZ149" i="13" s="1"/>
  <c r="P59" i="13" a="1"/>
  <c r="P59" i="13" s="1"/>
  <c r="Q59" i="13" s="1" a="1"/>
  <c r="Q59" i="13" s="1"/>
  <c r="R59" i="13" s="1" a="1"/>
  <c r="R59" i="13" s="1"/>
  <c r="S59" i="13" s="1" a="1"/>
  <c r="S59" i="13" s="1"/>
  <c r="T59" i="13" s="1" a="1"/>
  <c r="T59" i="13" s="1"/>
  <c r="U59" i="13" s="1" a="1"/>
  <c r="U59" i="13" s="1"/>
  <c r="V59" i="13" s="1" a="1"/>
  <c r="V59" i="13" s="1"/>
  <c r="W59" i="13" s="1" a="1"/>
  <c r="W59" i="13" s="1"/>
  <c r="X59" i="13" s="1" a="1"/>
  <c r="X59" i="13" s="1"/>
  <c r="Y59" i="13" s="1" a="1"/>
  <c r="Y59" i="13" s="1"/>
  <c r="Z59" i="13" s="1" a="1"/>
  <c r="Z59" i="13" s="1"/>
  <c r="AA59" i="13" s="1" a="1"/>
  <c r="AA59" i="13" s="1"/>
  <c r="AB59" i="13" s="1" a="1"/>
  <c r="AB59" i="13" s="1"/>
  <c r="AC59" i="13" s="1" a="1"/>
  <c r="AC59" i="13" s="1"/>
  <c r="AD59" i="13" s="1" a="1"/>
  <c r="AD59" i="13" s="1"/>
  <c r="AE59" i="13" s="1" a="1"/>
  <c r="AE59" i="13" s="1"/>
  <c r="AF59" i="13" s="1" a="1"/>
  <c r="AF59" i="13" s="1"/>
  <c r="AG59" i="13" s="1" a="1"/>
  <c r="AG59" i="13" s="1"/>
  <c r="AH59" i="13" s="1" a="1"/>
  <c r="AH59" i="13" s="1"/>
  <c r="AI59" i="13" s="1" a="1"/>
  <c r="AI59" i="13" s="1"/>
  <c r="AJ59" i="13" s="1" a="1"/>
  <c r="AJ59" i="13" s="1"/>
  <c r="AK59" i="13" s="1" a="1"/>
  <c r="AK59" i="13" s="1"/>
  <c r="AL59" i="13" s="1" a="1"/>
  <c r="AL59" i="13" s="1"/>
  <c r="AM59" i="13" s="1" a="1"/>
  <c r="AM59" i="13" s="1"/>
  <c r="AN59" i="13" s="1" a="1"/>
  <c r="AN59" i="13" s="1"/>
  <c r="AO59" i="13" s="1" a="1"/>
  <c r="AO59" i="13" s="1"/>
  <c r="AP59" i="13" s="1" a="1"/>
  <c r="AP59" i="13" s="1"/>
  <c r="AQ59" i="13" s="1" a="1"/>
  <c r="AQ59" i="13" s="1"/>
  <c r="AR59" i="13" s="1" a="1"/>
  <c r="AR59" i="13" s="1"/>
  <c r="AS59" i="13" s="1" a="1"/>
  <c r="AS59" i="13" s="1"/>
  <c r="AT59" i="13" s="1" a="1"/>
  <c r="AT59" i="13" s="1"/>
  <c r="AU59" i="13" s="1" a="1"/>
  <c r="AU59" i="13" s="1"/>
  <c r="AV59" i="13" s="1" a="1"/>
  <c r="AV59" i="13" s="1"/>
  <c r="AW59" i="13" s="1" a="1"/>
  <c r="AW59" i="13" s="1"/>
  <c r="AX59" i="13" s="1" a="1"/>
  <c r="AX59" i="13" s="1"/>
  <c r="AY59" i="13" s="1" a="1"/>
  <c r="AY59" i="13" s="1"/>
  <c r="AZ59" i="13" s="1" a="1"/>
  <c r="AZ59" i="13" s="1"/>
  <c r="P104" i="13" a="1"/>
  <c r="P104" i="13" s="1"/>
  <c r="Q104" i="13" s="1" a="1"/>
  <c r="Q104" i="13" s="1"/>
  <c r="R104" i="13" s="1" a="1"/>
  <c r="R104" i="13" s="1"/>
  <c r="S104" i="13" s="1" a="1"/>
  <c r="S104" i="13" s="1"/>
  <c r="T104" i="13" s="1" a="1"/>
  <c r="T104" i="13" s="1"/>
  <c r="U104" i="13" s="1" a="1"/>
  <c r="U104" i="13" s="1"/>
  <c r="V104" i="13" s="1" a="1"/>
  <c r="V104" i="13" s="1"/>
  <c r="W104" i="13" s="1" a="1"/>
  <c r="W104" i="13" s="1"/>
  <c r="X104" i="13" s="1" a="1"/>
  <c r="X104" i="13" s="1"/>
  <c r="Y104" i="13" s="1" a="1"/>
  <c r="Y104" i="13" s="1"/>
  <c r="Z104" i="13" s="1" a="1"/>
  <c r="Z104" i="13" s="1"/>
  <c r="AA104" i="13" s="1" a="1"/>
  <c r="AA104" i="13" s="1"/>
  <c r="AB104" i="13" s="1" a="1"/>
  <c r="AB104" i="13" s="1"/>
  <c r="AC104" i="13" s="1" a="1"/>
  <c r="AC104" i="13" s="1"/>
  <c r="AD104" i="13" s="1" a="1"/>
  <c r="AD104" i="13" s="1"/>
  <c r="AE104" i="13" s="1" a="1"/>
  <c r="AE104" i="13" s="1"/>
  <c r="AF104" i="13" s="1" a="1"/>
  <c r="AF104" i="13" s="1"/>
  <c r="AG104" i="13" s="1" a="1"/>
  <c r="AG104" i="13" s="1"/>
  <c r="AH104" i="13" s="1" a="1"/>
  <c r="AH104" i="13" s="1"/>
  <c r="AI104" i="13" s="1" a="1"/>
  <c r="AI104" i="13" s="1"/>
  <c r="AJ104" i="13" s="1" a="1"/>
  <c r="AJ104" i="13" s="1"/>
  <c r="AK104" i="13" s="1" a="1"/>
  <c r="AK104" i="13" s="1"/>
  <c r="AL104" i="13" s="1" a="1"/>
  <c r="AL104" i="13" s="1"/>
  <c r="AM104" i="13" s="1" a="1"/>
  <c r="AM104" i="13" s="1"/>
  <c r="AN104" i="13" s="1" a="1"/>
  <c r="AN104" i="13" s="1"/>
  <c r="AO104" i="13" s="1" a="1"/>
  <c r="AO104" i="13" s="1"/>
  <c r="AP104" i="13" s="1" a="1"/>
  <c r="AP104" i="13" s="1"/>
  <c r="AQ104" i="13" s="1" a="1"/>
  <c r="AQ104" i="13" s="1"/>
  <c r="AR104" i="13" s="1" a="1"/>
  <c r="AR104" i="13" s="1"/>
  <c r="AS104" i="13" s="1" a="1"/>
  <c r="AS104" i="13" s="1"/>
  <c r="AT104" i="13" s="1" a="1"/>
  <c r="AT104" i="13" s="1"/>
  <c r="AU104" i="13" s="1" a="1"/>
  <c r="AU104" i="13" s="1"/>
  <c r="AV104" i="13" s="1" a="1"/>
  <c r="AV104" i="13" s="1"/>
  <c r="AW104" i="13" s="1" a="1"/>
  <c r="AW104" i="13" s="1"/>
  <c r="AX104" i="13" s="1" a="1"/>
  <c r="AX104" i="13" s="1"/>
  <c r="AY104" i="13" s="1" a="1"/>
  <c r="AY104" i="13" s="1"/>
  <c r="AZ104" i="13" s="1" a="1"/>
  <c r="AZ104" i="13" s="1"/>
  <c r="H18" i="12"/>
  <c r="I18" i="12" s="1"/>
  <c r="G18" i="12"/>
  <c r="D12" i="13"/>
  <c r="E12" i="13" s="1"/>
  <c r="F12" i="13" s="1"/>
  <c r="G12" i="13" s="1"/>
  <c r="H12" i="13" s="1"/>
  <c r="I12" i="13" s="1"/>
  <c r="J12" i="13" s="1"/>
  <c r="K12" i="13" s="1"/>
  <c r="L12" i="13" s="1"/>
  <c r="M12" i="13" s="1"/>
  <c r="N12" i="13" s="1"/>
  <c r="O12" i="13" s="1"/>
  <c r="P12" i="13" s="1"/>
  <c r="Q12" i="13" s="1"/>
  <c r="R12" i="13" s="1"/>
  <c r="S12" i="13" s="1"/>
  <c r="T12" i="13" s="1"/>
  <c r="U12" i="13" s="1"/>
  <c r="V12" i="13" s="1"/>
  <c r="W12" i="13" s="1"/>
  <c r="X12" i="13" s="1"/>
  <c r="Y12" i="13" s="1"/>
  <c r="Z12" i="13" s="1"/>
  <c r="AA12" i="13" s="1"/>
  <c r="AB12" i="13" s="1"/>
  <c r="AC12" i="13" s="1"/>
  <c r="AD12" i="13" s="1"/>
  <c r="AE12" i="13" s="1"/>
  <c r="AF12" i="13" s="1"/>
  <c r="AG12" i="13" s="1"/>
  <c r="AH12" i="13" s="1"/>
  <c r="AI12" i="13" s="1"/>
  <c r="AJ12" i="13" s="1"/>
  <c r="AK12" i="13" s="1"/>
  <c r="AL12" i="13" s="1"/>
  <c r="AM12" i="13" s="1"/>
  <c r="AN12" i="13" s="1"/>
  <c r="AO12" i="13" s="1"/>
  <c r="AP12" i="13" s="1"/>
  <c r="AQ12" i="13" s="1"/>
  <c r="AR12" i="13" s="1"/>
  <c r="AS12" i="13" s="1"/>
  <c r="AT12" i="13" s="1"/>
  <c r="AU12" i="13" s="1"/>
  <c r="AV12" i="13" s="1"/>
  <c r="AW12" i="13" s="1"/>
  <c r="AX12" i="13" s="1"/>
  <c r="AY12" i="13" s="1"/>
  <c r="AZ12" i="13" s="1"/>
  <c r="D58" i="13"/>
  <c r="E58" i="13" s="1"/>
  <c r="F58" i="13" s="1"/>
  <c r="G58" i="13" s="1"/>
  <c r="H58" i="13" s="1"/>
  <c r="I58" i="13" s="1"/>
  <c r="J58" i="13" s="1"/>
  <c r="K58" i="13" s="1"/>
  <c r="L58" i="13" s="1"/>
  <c r="M58" i="13" s="1"/>
  <c r="N58" i="13" s="1"/>
  <c r="O58" i="13" s="1"/>
  <c r="P58" i="13" s="1"/>
  <c r="Q58" i="13" s="1"/>
  <c r="R58" i="13" s="1"/>
  <c r="S58" i="13" s="1"/>
  <c r="T58" i="13" s="1"/>
  <c r="U58" i="13" s="1"/>
  <c r="V58" i="13" s="1"/>
  <c r="W58" i="13" s="1"/>
  <c r="X58" i="13" s="1"/>
  <c r="Y58" i="13" s="1"/>
  <c r="Z58" i="13" s="1"/>
  <c r="AA58" i="13" s="1"/>
  <c r="AB58" i="13" s="1"/>
  <c r="AC58" i="13" s="1"/>
  <c r="AD58" i="13" s="1"/>
  <c r="AE58" i="13" s="1"/>
  <c r="AF58" i="13" s="1"/>
  <c r="AG58" i="13" s="1"/>
  <c r="AH58" i="13" s="1"/>
  <c r="AI58" i="13" s="1"/>
  <c r="AJ58" i="13" s="1"/>
  <c r="AK58" i="13" s="1"/>
  <c r="AL58" i="13" s="1"/>
  <c r="AM58" i="13" s="1"/>
  <c r="AN58" i="13" s="1"/>
  <c r="AO58" i="13" s="1"/>
  <c r="AP58" i="13" s="1"/>
  <c r="AQ58" i="13" s="1"/>
  <c r="AR58" i="13" s="1"/>
  <c r="AS58" i="13" s="1"/>
  <c r="AT58" i="13" s="1"/>
  <c r="AU58" i="13" s="1"/>
  <c r="AV58" i="13" s="1"/>
  <c r="AW58" i="13" s="1"/>
  <c r="AX58" i="13" s="1"/>
  <c r="AY58" i="13" s="1"/>
  <c r="AZ58" i="13" s="1"/>
  <c r="B8" i="21"/>
  <c r="D11" i="18"/>
  <c r="K11" i="18" s="1"/>
  <c r="C8" i="19" s="1"/>
  <c r="B8" i="19"/>
  <c r="J149" i="13" a="1"/>
  <c r="J149" i="13" s="1"/>
  <c r="J104" i="13" a="1"/>
  <c r="J104" i="13" s="1"/>
  <c r="J59" i="13" a="1"/>
  <c r="J59" i="13" s="1"/>
  <c r="B149" i="13"/>
  <c r="B59" i="13"/>
  <c r="B104" i="13"/>
  <c r="F6" i="5"/>
  <c r="F7" i="5" s="1"/>
  <c r="H14" i="12"/>
  <c r="I14" i="12" s="1"/>
  <c r="G14" i="12"/>
  <c r="D32" i="13"/>
  <c r="E32" i="13" s="1"/>
  <c r="F32" i="13" s="1"/>
  <c r="G32" i="13" s="1"/>
  <c r="H32" i="13" s="1"/>
  <c r="I32" i="13" s="1"/>
  <c r="J32" i="13" s="1"/>
  <c r="K32" i="13" s="1"/>
  <c r="L32" i="13" s="1"/>
  <c r="M32" i="13" s="1"/>
  <c r="N32" i="13" s="1"/>
  <c r="O32" i="13" s="1"/>
  <c r="P32" i="13" s="1"/>
  <c r="Q32" i="13" s="1"/>
  <c r="R32" i="13" s="1"/>
  <c r="S32" i="13" s="1"/>
  <c r="T32" i="13" s="1"/>
  <c r="U32" i="13" s="1"/>
  <c r="V32" i="13" s="1"/>
  <c r="W32" i="13" s="1"/>
  <c r="X32" i="13" s="1"/>
  <c r="Y32" i="13" s="1"/>
  <c r="Z32" i="13" s="1"/>
  <c r="AA32" i="13" s="1"/>
  <c r="AB32" i="13" s="1"/>
  <c r="AC32" i="13" s="1"/>
  <c r="AD32" i="13" s="1"/>
  <c r="AE32" i="13" s="1"/>
  <c r="AF32" i="13" s="1"/>
  <c r="AG32" i="13" s="1"/>
  <c r="AH32" i="13" s="1"/>
  <c r="AI32" i="13" s="1"/>
  <c r="AJ32" i="13" s="1"/>
  <c r="AK32" i="13" s="1"/>
  <c r="AL32" i="13" s="1"/>
  <c r="AM32" i="13" s="1"/>
  <c r="AN32" i="13" s="1"/>
  <c r="AO32" i="13" s="1"/>
  <c r="AP32" i="13" s="1"/>
  <c r="AQ32" i="13" s="1"/>
  <c r="AR32" i="13" s="1"/>
  <c r="AS32" i="13" s="1"/>
  <c r="AT32" i="13" s="1"/>
  <c r="AU32" i="13" s="1"/>
  <c r="AV32" i="13" s="1"/>
  <c r="AW32" i="13" s="1"/>
  <c r="AX32" i="13" s="1"/>
  <c r="AY32" i="13" s="1"/>
  <c r="AZ32" i="13" s="1"/>
  <c r="D34" i="13"/>
  <c r="E34" i="13" s="1"/>
  <c r="F34" i="13" s="1"/>
  <c r="G34" i="13" s="1"/>
  <c r="H34" i="13" s="1"/>
  <c r="I34" i="13" s="1"/>
  <c r="J34" i="13" s="1"/>
  <c r="K34" i="13" s="1"/>
  <c r="L34" i="13" s="1"/>
  <c r="M34" i="13" s="1"/>
  <c r="N34" i="13" s="1"/>
  <c r="O34" i="13" s="1"/>
  <c r="P34" i="13" s="1"/>
  <c r="Q34" i="13" s="1"/>
  <c r="R34" i="13" s="1"/>
  <c r="S34" i="13" s="1"/>
  <c r="T34" i="13" s="1"/>
  <c r="U34" i="13" s="1"/>
  <c r="V34" i="13" s="1"/>
  <c r="W34" i="13" s="1"/>
  <c r="X34" i="13" s="1"/>
  <c r="Y34" i="13" s="1"/>
  <c r="Z34" i="13" s="1"/>
  <c r="AA34" i="13" s="1"/>
  <c r="AB34" i="13" s="1"/>
  <c r="AC34" i="13" s="1"/>
  <c r="AD34" i="13" s="1"/>
  <c r="AE34" i="13" s="1"/>
  <c r="AF34" i="13" s="1"/>
  <c r="AG34" i="13" s="1"/>
  <c r="AH34" i="13" s="1"/>
  <c r="AI34" i="13" s="1"/>
  <c r="AJ34" i="13" s="1"/>
  <c r="AK34" i="13" s="1"/>
  <c r="AL34" i="13" s="1"/>
  <c r="AM34" i="13" s="1"/>
  <c r="AN34" i="13" s="1"/>
  <c r="AO34" i="13" s="1"/>
  <c r="AP34" i="13" s="1"/>
  <c r="AQ34" i="13" s="1"/>
  <c r="AR34" i="13" s="1"/>
  <c r="AS34" i="13" s="1"/>
  <c r="AT34" i="13" s="1"/>
  <c r="AU34" i="13" s="1"/>
  <c r="AV34" i="13" s="1"/>
  <c r="AW34" i="13" s="1"/>
  <c r="AX34" i="13" s="1"/>
  <c r="AY34" i="13" s="1"/>
  <c r="AZ34" i="13" s="1"/>
  <c r="I149" i="13" a="1"/>
  <c r="I149" i="13" s="1"/>
  <c r="I104" i="13" a="1"/>
  <c r="I104" i="13" s="1"/>
  <c r="I59" i="13" a="1"/>
  <c r="I59" i="13" s="1"/>
  <c r="F22" i="6"/>
  <c r="H10" i="12"/>
  <c r="I10" i="12" s="1"/>
  <c r="G10" i="12"/>
  <c r="G11" i="12"/>
  <c r="D8" i="23"/>
  <c r="G6" i="24"/>
  <c r="H6" i="24" s="1"/>
  <c r="C6" i="3"/>
  <c r="N12" i="6" a="1"/>
  <c r="N12" i="6" s="1"/>
  <c r="C8" i="6"/>
  <c r="D12" i="6"/>
  <c r="E12" i="6" s="1"/>
  <c r="F12" i="6" s="1"/>
  <c r="G12" i="6" s="1"/>
  <c r="H12" i="6" s="1"/>
  <c r="I12" i="6" s="1"/>
  <c r="J12" i="6" s="1"/>
  <c r="K12" i="6" s="1"/>
  <c r="L12" i="6" s="1"/>
  <c r="M12" i="6" s="1"/>
  <c r="D8" i="6"/>
  <c r="D78" i="6" s="1"/>
  <c r="E11" i="6"/>
  <c r="D6" i="3"/>
  <c r="D7" i="3" s="1"/>
  <c r="D8" i="3" s="1"/>
  <c r="D9" i="3" s="1"/>
  <c r="D10" i="3" s="1"/>
  <c r="D11" i="3" s="1"/>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D40" i="3" s="1"/>
  <c r="D41" i="3" s="1"/>
  <c r="D42" i="3" s="1"/>
  <c r="D43" i="3" s="1"/>
  <c r="D44" i="3" s="1"/>
  <c r="D45" i="3" s="1"/>
  <c r="D46" i="3" s="1"/>
  <c r="D47" i="3" s="1"/>
  <c r="D9" i="18"/>
  <c r="K9" i="18" s="1"/>
  <c r="C7" i="19" s="1"/>
  <c r="B7" i="19"/>
  <c r="B7" i="21"/>
  <c r="G149" i="13" a="1"/>
  <c r="G149" i="13" s="1"/>
  <c r="G59" i="13" a="1"/>
  <c r="G59" i="13" s="1"/>
  <c r="O149" i="13" a="1"/>
  <c r="O149" i="13" s="1"/>
  <c r="O59" i="13" a="1"/>
  <c r="O59" i="13" s="1"/>
  <c r="O104" i="13" a="1"/>
  <c r="O104" i="13" s="1"/>
  <c r="H20" i="12"/>
  <c r="I20" i="12" s="1"/>
  <c r="D78" i="13"/>
  <c r="E78" i="13" s="1"/>
  <c r="F78" i="13" s="1"/>
  <c r="G78" i="13" s="1"/>
  <c r="H78" i="13" s="1"/>
  <c r="I78" i="13" s="1"/>
  <c r="J78" i="13" s="1"/>
  <c r="K78" i="13" s="1"/>
  <c r="L78" i="13" s="1"/>
  <c r="M78" i="13" s="1"/>
  <c r="N78" i="13" s="1"/>
  <c r="O78" i="13" s="1"/>
  <c r="P78" i="13" s="1"/>
  <c r="Q78" i="13" s="1"/>
  <c r="R78" i="13" s="1"/>
  <c r="S78" i="13" s="1"/>
  <c r="T78" i="13" s="1"/>
  <c r="U78" i="13" s="1"/>
  <c r="V78" i="13" s="1"/>
  <c r="W78" i="13" s="1"/>
  <c r="X78" i="13" s="1"/>
  <c r="Y78" i="13" s="1"/>
  <c r="Z78" i="13" s="1"/>
  <c r="AA78" i="13" s="1"/>
  <c r="AB78" i="13" s="1"/>
  <c r="AC78" i="13" s="1"/>
  <c r="AD78" i="13" s="1"/>
  <c r="AE78" i="13" s="1"/>
  <c r="AF78" i="13" s="1"/>
  <c r="AG78" i="13" s="1"/>
  <c r="AH78" i="13" s="1"/>
  <c r="AI78" i="13" s="1"/>
  <c r="AJ78" i="13" s="1"/>
  <c r="AK78" i="13" s="1"/>
  <c r="AL78" i="13" s="1"/>
  <c r="AM78" i="13" s="1"/>
  <c r="AN78" i="13" s="1"/>
  <c r="AO78" i="13" s="1"/>
  <c r="AP78" i="13" s="1"/>
  <c r="AQ78" i="13" s="1"/>
  <c r="AR78" i="13" s="1"/>
  <c r="AS78" i="13" s="1"/>
  <c r="AT78" i="13" s="1"/>
  <c r="AU78" i="13" s="1"/>
  <c r="AV78" i="13" s="1"/>
  <c r="AW78" i="13" s="1"/>
  <c r="AX78" i="13" s="1"/>
  <c r="AY78" i="13" s="1"/>
  <c r="AZ78" i="13" s="1"/>
  <c r="C149" i="13" a="1"/>
  <c r="C149" i="13" s="1"/>
  <c r="C104" i="13" a="1"/>
  <c r="C104" i="13" s="1"/>
  <c r="C59" i="13" a="1"/>
  <c r="C59" i="13" s="1"/>
  <c r="K59" i="13" a="1"/>
  <c r="K59" i="13" s="1"/>
  <c r="K104" i="13" a="1"/>
  <c r="K104" i="13" s="1"/>
  <c r="K149" i="13" a="1"/>
  <c r="K149" i="13" s="1"/>
  <c r="D124" i="13"/>
  <c r="E124" i="13" s="1"/>
  <c r="F124" i="13" s="1"/>
  <c r="G124" i="13" s="1"/>
  <c r="H124" i="13" s="1"/>
  <c r="I124" i="13" s="1"/>
  <c r="J124" i="13" s="1"/>
  <c r="K124" i="13" s="1"/>
  <c r="L124" i="13" s="1"/>
  <c r="M124" i="13" s="1"/>
  <c r="N124" i="13" s="1"/>
  <c r="O124" i="13" s="1"/>
  <c r="P124" i="13" s="1"/>
  <c r="Q124" i="13" s="1"/>
  <c r="R124" i="13" s="1"/>
  <c r="S124" i="13" s="1"/>
  <c r="T124" i="13" s="1"/>
  <c r="U124" i="13" s="1"/>
  <c r="V124" i="13" s="1"/>
  <c r="W124" i="13" s="1"/>
  <c r="X124" i="13" s="1"/>
  <c r="Y124" i="13" s="1"/>
  <c r="Z124" i="13" s="1"/>
  <c r="AA124" i="13" s="1"/>
  <c r="AB124" i="13" s="1"/>
  <c r="AC124" i="13" s="1"/>
  <c r="AD124" i="13" s="1"/>
  <c r="AE124" i="13" s="1"/>
  <c r="AF124" i="13" s="1"/>
  <c r="AG124" i="13" s="1"/>
  <c r="AH124" i="13" s="1"/>
  <c r="AI124" i="13" s="1"/>
  <c r="AJ124" i="13" s="1"/>
  <c r="AK124" i="13" s="1"/>
  <c r="AL124" i="13" s="1"/>
  <c r="AM124" i="13" s="1"/>
  <c r="AN124" i="13" s="1"/>
  <c r="AO124" i="13" s="1"/>
  <c r="AP124" i="13" s="1"/>
  <c r="AQ124" i="13" s="1"/>
  <c r="AR124" i="13" s="1"/>
  <c r="AS124" i="13" s="1"/>
  <c r="AT124" i="13" s="1"/>
  <c r="AU124" i="13" s="1"/>
  <c r="AV124" i="13" s="1"/>
  <c r="AW124" i="13" s="1"/>
  <c r="AX124" i="13" s="1"/>
  <c r="AY124" i="13" s="1"/>
  <c r="AZ124" i="13" s="1"/>
  <c r="A6" i="21"/>
  <c r="A6" i="19"/>
  <c r="A51" i="13"/>
  <c r="D104" i="13" a="1"/>
  <c r="D104" i="13" s="1"/>
  <c r="D149" i="13" a="1"/>
  <c r="D149" i="13" s="1"/>
  <c r="L149" i="13" a="1"/>
  <c r="L149" i="13" s="1"/>
  <c r="L104" i="13" a="1"/>
  <c r="L104" i="13" s="1"/>
  <c r="L59" i="13" a="1"/>
  <c r="L59" i="13" s="1"/>
  <c r="B6" i="21"/>
  <c r="B6" i="19"/>
  <c r="M149" i="13" a="1"/>
  <c r="M149" i="13" s="1"/>
  <c r="M104" i="13" a="1"/>
  <c r="M104" i="13" s="1"/>
  <c r="F149" i="13" a="1"/>
  <c r="F149" i="13" s="1"/>
  <c r="F104" i="13" a="1"/>
  <c r="F104" i="13" s="1"/>
  <c r="F59" i="13" a="1"/>
  <c r="F59" i="13" s="1"/>
  <c r="N149" i="13" a="1"/>
  <c r="N149" i="13" s="1"/>
  <c r="N104" i="13" a="1"/>
  <c r="N104" i="13" s="1"/>
  <c r="D59" i="13" a="1"/>
  <c r="D59" i="13" s="1"/>
  <c r="M59" i="13" a="1"/>
  <c r="M59" i="13" s="1"/>
  <c r="B52" i="20"/>
  <c r="B54" i="20" s="1"/>
  <c r="D101" i="13"/>
  <c r="C65" i="13"/>
  <c r="D125" i="13"/>
  <c r="E125" i="13" s="1"/>
  <c r="F125" i="13" s="1"/>
  <c r="G125" i="13" s="1"/>
  <c r="H125" i="13" s="1"/>
  <c r="I125" i="13" s="1"/>
  <c r="J125" i="13" s="1"/>
  <c r="K125" i="13" s="1"/>
  <c r="L125" i="13" s="1"/>
  <c r="M125" i="13" s="1"/>
  <c r="N125" i="13" s="1"/>
  <c r="O125" i="13" s="1"/>
  <c r="P125" i="13" s="1"/>
  <c r="Q125" i="13" s="1"/>
  <c r="R125" i="13" s="1"/>
  <c r="S125" i="13" s="1"/>
  <c r="T125" i="13" s="1"/>
  <c r="U125" i="13" s="1"/>
  <c r="V125" i="13" s="1"/>
  <c r="W125" i="13" s="1"/>
  <c r="X125" i="13" s="1"/>
  <c r="Y125" i="13" s="1"/>
  <c r="Z125" i="13" s="1"/>
  <c r="AA125" i="13" s="1"/>
  <c r="AB125" i="13" s="1"/>
  <c r="AC125" i="13" s="1"/>
  <c r="AD125" i="13" s="1"/>
  <c r="AE125" i="13" s="1"/>
  <c r="AF125" i="13" s="1"/>
  <c r="AG125" i="13" s="1"/>
  <c r="AH125" i="13" s="1"/>
  <c r="AI125" i="13" s="1"/>
  <c r="AJ125" i="13" s="1"/>
  <c r="AK125" i="13" s="1"/>
  <c r="AL125" i="13" s="1"/>
  <c r="AM125" i="13" s="1"/>
  <c r="AN125" i="13" s="1"/>
  <c r="AO125" i="13" s="1"/>
  <c r="AP125" i="13" s="1"/>
  <c r="AQ125" i="13" s="1"/>
  <c r="AR125" i="13" s="1"/>
  <c r="AS125" i="13" s="1"/>
  <c r="AT125" i="13" s="1"/>
  <c r="AU125" i="13" s="1"/>
  <c r="AV125" i="13" s="1"/>
  <c r="AW125" i="13" s="1"/>
  <c r="AX125" i="13" s="1"/>
  <c r="AY125" i="13" s="1"/>
  <c r="AZ125" i="13" s="1"/>
  <c r="C155" i="13"/>
  <c r="D144" i="13"/>
  <c r="D146" i="13"/>
  <c r="D126" i="17"/>
  <c r="D128" i="17" s="1"/>
  <c r="D129" i="17"/>
  <c r="E123" i="17" s="1"/>
  <c r="D148" i="13"/>
  <c r="E148" i="13" s="1"/>
  <c r="F148" i="13" s="1"/>
  <c r="G148" i="13" s="1"/>
  <c r="H148" i="13" s="1"/>
  <c r="I148" i="13" s="1"/>
  <c r="J148" i="13" s="1"/>
  <c r="K148" i="13" s="1"/>
  <c r="L148" i="13" s="1"/>
  <c r="M148" i="13" s="1"/>
  <c r="N148" i="13" s="1"/>
  <c r="O148" i="13" s="1"/>
  <c r="P148" i="13" s="1"/>
  <c r="Q148" i="13" s="1"/>
  <c r="R148" i="13" s="1"/>
  <c r="S148" i="13" s="1"/>
  <c r="T148" i="13" s="1"/>
  <c r="U148" i="13" s="1"/>
  <c r="V148" i="13" s="1"/>
  <c r="W148" i="13" s="1"/>
  <c r="X148" i="13" s="1"/>
  <c r="Y148" i="13" s="1"/>
  <c r="Z148" i="13" s="1"/>
  <c r="AA148" i="13" s="1"/>
  <c r="AB148" i="13" s="1"/>
  <c r="AC148" i="13" s="1"/>
  <c r="AD148" i="13" s="1"/>
  <c r="AE148" i="13" s="1"/>
  <c r="AF148" i="13" s="1"/>
  <c r="AG148" i="13" s="1"/>
  <c r="AH148" i="13" s="1"/>
  <c r="AI148" i="13" s="1"/>
  <c r="AJ148" i="13" s="1"/>
  <c r="AK148" i="13" s="1"/>
  <c r="AL148" i="13" s="1"/>
  <c r="AM148" i="13" s="1"/>
  <c r="AN148" i="13" s="1"/>
  <c r="AO148" i="13" s="1"/>
  <c r="AP148" i="13" s="1"/>
  <c r="AQ148" i="13" s="1"/>
  <c r="AR148" i="13" s="1"/>
  <c r="AS148" i="13" s="1"/>
  <c r="AT148" i="13" s="1"/>
  <c r="AU148" i="13" s="1"/>
  <c r="AV148" i="13" s="1"/>
  <c r="AW148" i="13" s="1"/>
  <c r="AX148" i="13" s="1"/>
  <c r="AY148" i="13" s="1"/>
  <c r="AZ148" i="13" s="1"/>
  <c r="H125" i="17"/>
  <c r="H124" i="17"/>
  <c r="P125" i="17"/>
  <c r="P124" i="17"/>
  <c r="X125" i="17"/>
  <c r="X124" i="17"/>
  <c r="AF125" i="17"/>
  <c r="AF127" i="17" s="1"/>
  <c r="AF124" i="17"/>
  <c r="I124" i="17"/>
  <c r="I125" i="17"/>
  <c r="Q124" i="17"/>
  <c r="Q125" i="17"/>
  <c r="Y124" i="17"/>
  <c r="Y125" i="17"/>
  <c r="AG124" i="17"/>
  <c r="AG125" i="17"/>
  <c r="AG127" i="17" s="1"/>
  <c r="C110" i="13"/>
  <c r="H88" i="17"/>
  <c r="H89" i="17"/>
  <c r="B80" i="17"/>
  <c r="P88" i="17"/>
  <c r="P89" i="17"/>
  <c r="X88" i="17"/>
  <c r="X89" i="17"/>
  <c r="AF88" i="17"/>
  <c r="AF89" i="17"/>
  <c r="AF91" i="17" s="1"/>
  <c r="D168" i="13"/>
  <c r="E168" i="13" s="1"/>
  <c r="F168" i="13" s="1"/>
  <c r="G168" i="13" s="1"/>
  <c r="H168" i="13" s="1"/>
  <c r="I168" i="13" s="1"/>
  <c r="J168" i="13" s="1"/>
  <c r="K168" i="13" s="1"/>
  <c r="L168" i="13" s="1"/>
  <c r="M168" i="13" s="1"/>
  <c r="N168" i="13" s="1"/>
  <c r="O168" i="13" s="1"/>
  <c r="P168" i="13" s="1"/>
  <c r="Q168" i="13" s="1"/>
  <c r="R168" i="13" s="1"/>
  <c r="S168" i="13" s="1"/>
  <c r="T168" i="13" s="1"/>
  <c r="U168" i="13" s="1"/>
  <c r="V168" i="13" s="1"/>
  <c r="W168" i="13" s="1"/>
  <c r="X168" i="13" s="1"/>
  <c r="Y168" i="13" s="1"/>
  <c r="Z168" i="13" s="1"/>
  <c r="AA168" i="13" s="1"/>
  <c r="AB168" i="13" s="1"/>
  <c r="AC168" i="13" s="1"/>
  <c r="AD168" i="13" s="1"/>
  <c r="AE168" i="13" s="1"/>
  <c r="AF168" i="13" s="1"/>
  <c r="AG168" i="13" s="1"/>
  <c r="AH168" i="13" s="1"/>
  <c r="AI168" i="13" s="1"/>
  <c r="AJ168" i="13" s="1"/>
  <c r="AK168" i="13" s="1"/>
  <c r="AL168" i="13" s="1"/>
  <c r="AM168" i="13" s="1"/>
  <c r="AN168" i="13" s="1"/>
  <c r="AO168" i="13" s="1"/>
  <c r="AP168" i="13" s="1"/>
  <c r="AQ168" i="13" s="1"/>
  <c r="AR168" i="13" s="1"/>
  <c r="AS168" i="13" s="1"/>
  <c r="AT168" i="13" s="1"/>
  <c r="AU168" i="13" s="1"/>
  <c r="AV168" i="13" s="1"/>
  <c r="AW168" i="13" s="1"/>
  <c r="AX168" i="13" s="1"/>
  <c r="AY168" i="13" s="1"/>
  <c r="AZ168" i="13" s="1"/>
  <c r="G89" i="17"/>
  <c r="G88" i="17"/>
  <c r="O89" i="17"/>
  <c r="O88" i="17"/>
  <c r="W89" i="17"/>
  <c r="W88" i="17"/>
  <c r="AE88" i="17"/>
  <c r="AE89" i="17"/>
  <c r="AE91" i="17" s="1"/>
  <c r="D164" i="13"/>
  <c r="E164" i="13" s="1"/>
  <c r="F164" i="13" s="1"/>
  <c r="G164" i="13" s="1"/>
  <c r="H164" i="13" s="1"/>
  <c r="I164" i="13" s="1"/>
  <c r="J164" i="13" s="1"/>
  <c r="K164" i="13" s="1"/>
  <c r="L164" i="13" s="1"/>
  <c r="M164" i="13" s="1"/>
  <c r="N164" i="13" s="1"/>
  <c r="O164" i="13" s="1"/>
  <c r="P164" i="13" s="1"/>
  <c r="Q164" i="13" s="1"/>
  <c r="R164" i="13" s="1"/>
  <c r="S164" i="13" s="1"/>
  <c r="T164" i="13" s="1"/>
  <c r="U164" i="13" s="1"/>
  <c r="V164" i="13" s="1"/>
  <c r="W164" i="13" s="1"/>
  <c r="X164" i="13" s="1"/>
  <c r="Y164" i="13" s="1"/>
  <c r="Z164" i="13" s="1"/>
  <c r="AA164" i="13" s="1"/>
  <c r="AB164" i="13" s="1"/>
  <c r="AC164" i="13" s="1"/>
  <c r="AD164" i="13" s="1"/>
  <c r="AE164" i="13" s="1"/>
  <c r="AF164" i="13" s="1"/>
  <c r="AG164" i="13" s="1"/>
  <c r="AH164" i="13" s="1"/>
  <c r="AI164" i="13" s="1"/>
  <c r="AJ164" i="13" s="1"/>
  <c r="AK164" i="13" s="1"/>
  <c r="AL164" i="13" s="1"/>
  <c r="AM164" i="13" s="1"/>
  <c r="AN164" i="13" s="1"/>
  <c r="AO164" i="13" s="1"/>
  <c r="AP164" i="13" s="1"/>
  <c r="AQ164" i="13" s="1"/>
  <c r="AR164" i="13" s="1"/>
  <c r="AS164" i="13" s="1"/>
  <c r="AT164" i="13" s="1"/>
  <c r="AU164" i="13" s="1"/>
  <c r="AV164" i="13" s="1"/>
  <c r="AW164" i="13" s="1"/>
  <c r="AX164" i="13" s="1"/>
  <c r="AY164" i="13" s="1"/>
  <c r="AZ164" i="13" s="1"/>
  <c r="AG31" i="17"/>
  <c r="B15" i="17"/>
  <c r="K136" i="17" s="1"/>
  <c r="H95" i="17"/>
  <c r="H63" i="17"/>
  <c r="X95" i="17"/>
  <c r="X63" i="17"/>
  <c r="X31" i="17"/>
  <c r="X25" i="17"/>
  <c r="X24" i="17"/>
  <c r="I63" i="17"/>
  <c r="I25" i="17"/>
  <c r="I24" i="17"/>
  <c r="Q25" i="17"/>
  <c r="Y25" i="17"/>
  <c r="Y24" i="17"/>
  <c r="Y136" i="17"/>
  <c r="AG25" i="17"/>
  <c r="AG27" i="17" s="1"/>
  <c r="H24" i="17"/>
  <c r="P25" i="17"/>
  <c r="AF25" i="17"/>
  <c r="AF27" i="17" s="1"/>
  <c r="C7" i="18"/>
  <c r="G24" i="17"/>
  <c r="O24" i="17"/>
  <c r="W136" i="17"/>
  <c r="W95" i="17"/>
  <c r="W24" i="17"/>
  <c r="AE24" i="17"/>
  <c r="O25" i="17"/>
  <c r="C56" i="17"/>
  <c r="C57" i="17"/>
  <c r="K56" i="17"/>
  <c r="K57" i="17"/>
  <c r="AI56" i="17"/>
  <c r="AI57" i="17"/>
  <c r="AI59" i="17" s="1"/>
  <c r="AF56" i="17"/>
  <c r="H7" i="24"/>
  <c r="D6" i="19"/>
  <c r="P57" i="17"/>
  <c r="P56" i="17"/>
  <c r="X57" i="17"/>
  <c r="X56" i="17"/>
  <c r="I88" i="17"/>
  <c r="I89" i="17"/>
  <c r="Y89" i="17"/>
  <c r="Y88" i="17"/>
  <c r="G95" i="17"/>
  <c r="AG57" i="17"/>
  <c r="AG59" i="17" s="1"/>
  <c r="AG56" i="17"/>
  <c r="H56" i="17"/>
  <c r="J88" i="17"/>
  <c r="J89" i="17"/>
  <c r="Z89" i="17"/>
  <c r="Z88" i="17"/>
  <c r="R89" i="17"/>
  <c r="F24" i="17"/>
  <c r="N63" i="17"/>
  <c r="N24" i="17"/>
  <c r="V95" i="17"/>
  <c r="V24" i="17"/>
  <c r="AD63" i="17"/>
  <c r="AD24" i="17"/>
  <c r="N25" i="17"/>
  <c r="Z57" i="17"/>
  <c r="Z56" i="17"/>
  <c r="AH57" i="17"/>
  <c r="AH59" i="17" s="1"/>
  <c r="AH56" i="17"/>
  <c r="I56" i="17"/>
  <c r="M95" i="17"/>
  <c r="M63" i="17"/>
  <c r="M136" i="17"/>
  <c r="U31" i="17"/>
  <c r="AC31" i="17"/>
  <c r="AK31" i="17"/>
  <c r="W57" i="17"/>
  <c r="N133" i="17"/>
  <c r="N134" i="17" s="1"/>
  <c r="N131" i="17" s="1"/>
  <c r="N126" i="17"/>
  <c r="N128" i="17" s="1"/>
  <c r="N129" i="17" s="1"/>
  <c r="O123" i="17" s="1"/>
  <c r="J63" i="17"/>
  <c r="J95" i="17"/>
  <c r="AH95" i="17"/>
  <c r="AH136" i="17"/>
  <c r="J31" i="17"/>
  <c r="L56" i="17"/>
  <c r="C91" i="17"/>
  <c r="C92" i="17" s="1"/>
  <c r="S89" i="17"/>
  <c r="S88" i="17"/>
  <c r="K88" i="17"/>
  <c r="Z136" i="17"/>
  <c r="C136" i="17"/>
  <c r="C63" i="17"/>
  <c r="E24" i="17"/>
  <c r="M24" i="17"/>
  <c r="U24" i="17"/>
  <c r="AC24" i="17"/>
  <c r="AK24" i="17"/>
  <c r="J25" i="17"/>
  <c r="R25" i="17"/>
  <c r="Z25" i="17"/>
  <c r="AH25" i="17"/>
  <c r="AH27" i="17" s="1"/>
  <c r="C31" i="17"/>
  <c r="K31" i="17"/>
  <c r="S31" i="17"/>
  <c r="U57" i="17"/>
  <c r="E136" i="17"/>
  <c r="D95" i="17"/>
  <c r="T95" i="17"/>
  <c r="T136" i="17"/>
  <c r="AB63" i="17"/>
  <c r="C25" i="17"/>
  <c r="C27" i="17" s="1"/>
  <c r="C28" i="17" s="1"/>
  <c r="K25" i="17"/>
  <c r="AA25" i="17"/>
  <c r="AI25" i="17"/>
  <c r="AI27" i="17" s="1"/>
  <c r="AA88" i="17"/>
  <c r="AI95" i="17"/>
  <c r="AD124" i="17"/>
  <c r="Z124" i="17"/>
  <c r="H131" i="17"/>
  <c r="AC88" i="17"/>
  <c r="I131" i="17"/>
  <c r="H8" i="24"/>
  <c r="J143" i="17"/>
  <c r="R124" i="17"/>
  <c r="J129" i="17"/>
  <c r="K123" i="17" s="1"/>
  <c r="O133" i="17" l="1"/>
  <c r="O134" i="17" s="1"/>
  <c r="O131" i="17" s="1"/>
  <c r="O126" i="17"/>
  <c r="O127" i="17"/>
  <c r="E126" i="17"/>
  <c r="E128" i="17" s="1"/>
  <c r="E129" i="17" s="1"/>
  <c r="F123" i="17" s="1"/>
  <c r="AJ31" i="17"/>
  <c r="AH63" i="17"/>
  <c r="M31" i="17"/>
  <c r="B41" i="13" s="1"/>
  <c r="AG136" i="17"/>
  <c r="Q63" i="17"/>
  <c r="I95" i="17"/>
  <c r="AF63" i="17"/>
  <c r="X136" i="17"/>
  <c r="H136" i="17"/>
  <c r="D11" i="13"/>
  <c r="E11" i="13" s="1"/>
  <c r="F11" i="13" s="1"/>
  <c r="G11" i="13" s="1"/>
  <c r="H11" i="13" s="1"/>
  <c r="I11" i="13" s="1"/>
  <c r="J11" i="13" s="1"/>
  <c r="K11" i="13" s="1"/>
  <c r="L11" i="13" s="1"/>
  <c r="M11" i="13" s="1"/>
  <c r="N11" i="13" s="1"/>
  <c r="O11" i="13" s="1"/>
  <c r="P11" i="13" s="1"/>
  <c r="Q11" i="13" s="1"/>
  <c r="R11" i="13" s="1"/>
  <c r="S11" i="13" s="1"/>
  <c r="T11" i="13" s="1"/>
  <c r="U11" i="13" s="1"/>
  <c r="V11" i="13" s="1"/>
  <c r="W11" i="13" s="1"/>
  <c r="X11" i="13" s="1"/>
  <c r="Y11" i="13" s="1"/>
  <c r="Z11" i="13" s="1"/>
  <c r="AA11" i="13" s="1"/>
  <c r="AB11" i="13" s="1"/>
  <c r="AC11" i="13" s="1"/>
  <c r="AD11" i="13" s="1"/>
  <c r="AE11" i="13" s="1"/>
  <c r="AF11" i="13" s="1"/>
  <c r="AG11" i="13" s="1"/>
  <c r="AH11" i="13" s="1"/>
  <c r="AI11" i="13" s="1"/>
  <c r="AJ11" i="13" s="1"/>
  <c r="AK11" i="13" s="1"/>
  <c r="AL11" i="13" s="1"/>
  <c r="AM11" i="13" s="1"/>
  <c r="AN11" i="13" s="1"/>
  <c r="AO11" i="13" s="1"/>
  <c r="AP11" i="13" s="1"/>
  <c r="AQ11" i="13" s="1"/>
  <c r="AR11" i="13" s="1"/>
  <c r="AS11" i="13" s="1"/>
  <c r="AT11" i="13" s="1"/>
  <c r="AU11" i="13" s="1"/>
  <c r="AV11" i="13" s="1"/>
  <c r="AW11" i="13" s="1"/>
  <c r="AX11" i="13" s="1"/>
  <c r="AY11" i="13" s="1"/>
  <c r="AZ11" i="13" s="1"/>
  <c r="D31" i="17"/>
  <c r="AB95" i="17"/>
  <c r="D136" i="17"/>
  <c r="AA31" i="17"/>
  <c r="AA163" i="13"/>
  <c r="AA118" i="13"/>
  <c r="AA73" i="13"/>
  <c r="AA28" i="13"/>
  <c r="K95" i="17"/>
  <c r="R31" i="17"/>
  <c r="R63" i="17"/>
  <c r="U95" i="17"/>
  <c r="V136" i="17"/>
  <c r="F95" i="17"/>
  <c r="W63" i="17"/>
  <c r="G136" i="17"/>
  <c r="Y95" i="17"/>
  <c r="I31" i="17"/>
  <c r="H31" i="17"/>
  <c r="B81" i="17"/>
  <c r="E146" i="13"/>
  <c r="C6" i="21"/>
  <c r="E6" i="21" s="1"/>
  <c r="E7" i="19"/>
  <c r="C78" i="6"/>
  <c r="E8" i="19"/>
  <c r="C8" i="21"/>
  <c r="E8" i="21" s="1"/>
  <c r="D56" i="13"/>
  <c r="H41" i="13"/>
  <c r="H86" i="13"/>
  <c r="Z41" i="13"/>
  <c r="Z86" i="13"/>
  <c r="M86" i="13"/>
  <c r="M41" i="13"/>
  <c r="V86" i="13"/>
  <c r="V41" i="13"/>
  <c r="D155" i="13"/>
  <c r="E144" i="13"/>
  <c r="E101" i="13"/>
  <c r="R86" i="13"/>
  <c r="R41" i="13"/>
  <c r="E8" i="6"/>
  <c r="E78" i="6" s="1"/>
  <c r="F11" i="6"/>
  <c r="E54" i="13"/>
  <c r="D65" i="13"/>
  <c r="C7" i="3"/>
  <c r="Y6" i="3"/>
  <c r="Z6" i="3" s="1"/>
  <c r="F6" i="3"/>
  <c r="AI136" i="17"/>
  <c r="T63" i="17"/>
  <c r="E95" i="17"/>
  <c r="AD136" i="17"/>
  <c r="W31" i="17"/>
  <c r="O63" i="17"/>
  <c r="J136" i="17"/>
  <c r="AB31" i="17"/>
  <c r="AJ95" i="17"/>
  <c r="L95" i="17"/>
  <c r="AC63" i="17"/>
  <c r="AI63" i="17"/>
  <c r="Z95" i="17"/>
  <c r="E31" i="17"/>
  <c r="AD95" i="17"/>
  <c r="N95" i="17"/>
  <c r="G31" i="17"/>
  <c r="AE95" i="17"/>
  <c r="O95" i="17"/>
  <c r="AG63" i="17"/>
  <c r="Q95" i="17"/>
  <c r="I136" i="17"/>
  <c r="AF95" i="17"/>
  <c r="P63" i="17"/>
  <c r="AY166" i="13"/>
  <c r="AQ166" i="13"/>
  <c r="AI166" i="13"/>
  <c r="AA166" i="13"/>
  <c r="S166" i="13"/>
  <c r="K166" i="13"/>
  <c r="C166" i="13"/>
  <c r="AE166" i="13"/>
  <c r="AM166" i="13"/>
  <c r="G166" i="13"/>
  <c r="AY121" i="13"/>
  <c r="AQ121" i="13"/>
  <c r="AI121" i="13"/>
  <c r="AA121" i="13"/>
  <c r="S121" i="13"/>
  <c r="K121" i="13"/>
  <c r="C121" i="13"/>
  <c r="G121" i="13"/>
  <c r="O121" i="13"/>
  <c r="AY76" i="13"/>
  <c r="AQ76" i="13"/>
  <c r="AI76" i="13"/>
  <c r="AA76" i="13"/>
  <c r="S76" i="13"/>
  <c r="K76" i="13"/>
  <c r="C76" i="13"/>
  <c r="AU166" i="13"/>
  <c r="AE121" i="13"/>
  <c r="AM121" i="13"/>
  <c r="O166" i="13"/>
  <c r="AU121" i="13"/>
  <c r="AE76" i="13"/>
  <c r="W166" i="13"/>
  <c r="AM76" i="13"/>
  <c r="AU31" i="13"/>
  <c r="AM31" i="13"/>
  <c r="AE31" i="13"/>
  <c r="W31" i="13"/>
  <c r="O31" i="13"/>
  <c r="G31" i="13"/>
  <c r="AU76" i="13"/>
  <c r="W121" i="13"/>
  <c r="W76" i="13"/>
  <c r="AQ31" i="13"/>
  <c r="G76" i="13"/>
  <c r="AY31" i="13"/>
  <c r="O76" i="13"/>
  <c r="C31" i="13"/>
  <c r="AI31" i="13"/>
  <c r="AA31" i="13"/>
  <c r="K31" i="13"/>
  <c r="S31" i="13"/>
  <c r="D20" i="13"/>
  <c r="E9" i="13"/>
  <c r="K7" i="18"/>
  <c r="C6" i="19" s="1"/>
  <c r="E6" i="19" s="1"/>
  <c r="G22" i="6"/>
  <c r="F18" i="6"/>
  <c r="J86" i="13"/>
  <c r="J41" i="13"/>
  <c r="L136" i="17"/>
  <c r="S95" i="17"/>
  <c r="R95" i="17"/>
  <c r="F63" i="17"/>
  <c r="V31" i="17"/>
  <c r="F31" i="17"/>
  <c r="AK136" i="17"/>
  <c r="U136" i="17"/>
  <c r="S136" i="17"/>
  <c r="S63" i="17"/>
  <c r="O31" i="17"/>
  <c r="N31" i="17"/>
  <c r="C95" i="17"/>
  <c r="E63" i="17"/>
  <c r="P31" i="17"/>
  <c r="AE31" i="17"/>
  <c r="AD31" i="17"/>
  <c r="Q31" i="17"/>
  <c r="U63" i="17"/>
  <c r="Y63" i="17"/>
  <c r="AK63" i="17"/>
  <c r="AA95" i="17"/>
  <c r="AF31" i="17"/>
  <c r="AA63" i="17"/>
  <c r="C29" i="17"/>
  <c r="D23" i="17" s="1"/>
  <c r="C72" i="13"/>
  <c r="C93" i="17"/>
  <c r="D87" i="17" s="1"/>
  <c r="C162" i="13"/>
  <c r="N136" i="17"/>
  <c r="AE63" i="17"/>
  <c r="AJ63" i="17"/>
  <c r="AA136" i="17"/>
  <c r="AH31" i="17"/>
  <c r="Z63" i="17"/>
  <c r="AK95" i="17"/>
  <c r="AJ136" i="17"/>
  <c r="AE136" i="17"/>
  <c r="O136" i="17"/>
  <c r="AG95" i="17"/>
  <c r="AF136" i="17"/>
  <c r="P95" i="17"/>
  <c r="E99" i="13"/>
  <c r="D110" i="13"/>
  <c r="T31" i="17"/>
  <c r="L63" i="17"/>
  <c r="AC95" i="17"/>
  <c r="K129" i="17"/>
  <c r="L123" i="17" s="1"/>
  <c r="L131" i="17" s="1"/>
  <c r="K131" i="17"/>
  <c r="L31" i="17"/>
  <c r="AB136" i="17"/>
  <c r="D63" i="17"/>
  <c r="AI31" i="17"/>
  <c r="K63" i="17"/>
  <c r="Z31" i="17"/>
  <c r="R136" i="17"/>
  <c r="AC136" i="17"/>
  <c r="V63" i="17"/>
  <c r="F136" i="17"/>
  <c r="G63" i="17"/>
  <c r="C59" i="17"/>
  <c r="C60" i="17" s="1"/>
  <c r="Y31" i="17"/>
  <c r="Q136" i="17"/>
  <c r="P136" i="17"/>
  <c r="C7" i="21"/>
  <c r="E7" i="21" s="1"/>
  <c r="G6" i="19" l="1"/>
  <c r="H6" i="19"/>
  <c r="F126" i="17"/>
  <c r="F128" i="17" s="1"/>
  <c r="F129" i="17" s="1"/>
  <c r="G123" i="17" s="1"/>
  <c r="C86" i="13"/>
  <c r="C41" i="13"/>
  <c r="D26" i="17"/>
  <c r="D27" i="17" s="1"/>
  <c r="D28" i="17" s="1"/>
  <c r="D72" i="13" s="1"/>
  <c r="D29" i="17"/>
  <c r="E23" i="17" s="1"/>
  <c r="D86" i="13"/>
  <c r="D41" i="13"/>
  <c r="E20" i="13"/>
  <c r="F9" i="13"/>
  <c r="K86" i="13"/>
  <c r="K41" i="13"/>
  <c r="I86" i="13"/>
  <c r="I41" i="13"/>
  <c r="H22" i="6"/>
  <c r="G18" i="6"/>
  <c r="O86" i="13"/>
  <c r="O41" i="13"/>
  <c r="G11" i="6"/>
  <c r="F8" i="6"/>
  <c r="F78" i="6" s="1"/>
  <c r="H8" i="19"/>
  <c r="G8" i="19"/>
  <c r="P86" i="13"/>
  <c r="P41" i="13"/>
  <c r="D90" i="17"/>
  <c r="D91" i="17" s="1"/>
  <c r="D92" i="17" s="1"/>
  <c r="D162" i="13" s="1"/>
  <c r="T86" i="13"/>
  <c r="T41" i="13"/>
  <c r="C8" i="3"/>
  <c r="F7" i="3"/>
  <c r="E7" i="3"/>
  <c r="Y7" i="3"/>
  <c r="U7" i="3"/>
  <c r="L86" i="13"/>
  <c r="L41" i="13"/>
  <c r="F99" i="13"/>
  <c r="E110" i="13"/>
  <c r="F41" i="13"/>
  <c r="F86" i="13"/>
  <c r="C61" i="17"/>
  <c r="D55" i="17" s="1"/>
  <c r="C117" i="13"/>
  <c r="F101" i="13"/>
  <c r="N86" i="13"/>
  <c r="N41" i="13"/>
  <c r="X41" i="13"/>
  <c r="X86" i="13"/>
  <c r="U86" i="13"/>
  <c r="U41" i="13"/>
  <c r="E86" i="13"/>
  <c r="E41" i="13"/>
  <c r="Q86" i="13"/>
  <c r="Q41" i="13"/>
  <c r="F144" i="13"/>
  <c r="E155" i="13"/>
  <c r="E56" i="13"/>
  <c r="H7" i="19"/>
  <c r="G7" i="19"/>
  <c r="Y41" i="13"/>
  <c r="Y86" i="13"/>
  <c r="S86" i="13"/>
  <c r="S41" i="13"/>
  <c r="W86" i="13"/>
  <c r="W41" i="13"/>
  <c r="E65" i="13"/>
  <c r="F54" i="13"/>
  <c r="I6" i="9"/>
  <c r="I7" i="9" s="1"/>
  <c r="J7" i="10"/>
  <c r="I7" i="3" s="1"/>
  <c r="J7" i="3" s="1"/>
  <c r="O6" i="3"/>
  <c r="D11" i="23"/>
  <c r="J6" i="10"/>
  <c r="F6" i="9"/>
  <c r="F7" i="9" s="1"/>
  <c r="N6" i="3"/>
  <c r="F146" i="13"/>
  <c r="G41" i="13"/>
  <c r="G86" i="13"/>
  <c r="O128" i="17"/>
  <c r="O129" i="17" s="1"/>
  <c r="P123" i="17" s="1"/>
  <c r="F65" i="13" l="1"/>
  <c r="G54" i="13"/>
  <c r="G144" i="13"/>
  <c r="F155" i="13"/>
  <c r="D58" i="17"/>
  <c r="D59" i="17" s="1"/>
  <c r="D60" i="17" s="1"/>
  <c r="D117" i="13" s="1"/>
  <c r="F20" i="13"/>
  <c r="G9" i="13"/>
  <c r="F8" i="9"/>
  <c r="F9" i="9"/>
  <c r="P133" i="17"/>
  <c r="P134" i="17" s="1"/>
  <c r="P126" i="17"/>
  <c r="P131" i="17"/>
  <c r="P127" i="17"/>
  <c r="U8" i="3"/>
  <c r="E8" i="3"/>
  <c r="C9" i="3"/>
  <c r="F8" i="3"/>
  <c r="G8" i="3"/>
  <c r="H8" i="3" s="1"/>
  <c r="Y8" i="3"/>
  <c r="I8" i="3"/>
  <c r="J8" i="3" s="1"/>
  <c r="I22" i="6"/>
  <c r="H18" i="6"/>
  <c r="K6" i="10"/>
  <c r="G6" i="3"/>
  <c r="H6" i="3" s="1"/>
  <c r="F56" i="13"/>
  <c r="E29" i="17"/>
  <c r="F23" i="17" s="1"/>
  <c r="E26" i="17"/>
  <c r="E27" i="17" s="1"/>
  <c r="E28" i="17" s="1"/>
  <c r="E72" i="13" s="1"/>
  <c r="G146" i="13"/>
  <c r="G8" i="6"/>
  <c r="H11" i="6"/>
  <c r="R46" i="3"/>
  <c r="R38" i="3"/>
  <c r="R30" i="3"/>
  <c r="R22" i="3"/>
  <c r="R14" i="3"/>
  <c r="R6" i="3"/>
  <c r="R43" i="3"/>
  <c r="R40" i="3"/>
  <c r="R32" i="3"/>
  <c r="R24" i="3"/>
  <c r="R16" i="3"/>
  <c r="R8" i="3"/>
  <c r="R45" i="3"/>
  <c r="R41" i="3"/>
  <c r="R33" i="3"/>
  <c r="R25" i="3"/>
  <c r="R17" i="3"/>
  <c r="R9" i="3"/>
  <c r="R44" i="3"/>
  <c r="R42" i="3"/>
  <c r="R35" i="3"/>
  <c r="R15" i="3"/>
  <c r="R34" i="3"/>
  <c r="R28" i="3"/>
  <c r="R39" i="3"/>
  <c r="R27" i="3"/>
  <c r="R21" i="3"/>
  <c r="R7" i="3"/>
  <c r="R37" i="3"/>
  <c r="R12" i="3"/>
  <c r="R26" i="3"/>
  <c r="R20" i="3"/>
  <c r="R13" i="3"/>
  <c r="R31" i="3"/>
  <c r="R19" i="3"/>
  <c r="R18" i="3"/>
  <c r="R23" i="3"/>
  <c r="R47" i="3"/>
  <c r="R36" i="3"/>
  <c r="R29" i="3"/>
  <c r="R10" i="3"/>
  <c r="R11" i="3"/>
  <c r="F110" i="13"/>
  <c r="G99" i="13"/>
  <c r="G101" i="13"/>
  <c r="K7" i="10"/>
  <c r="I6" i="3"/>
  <c r="J6" i="3" s="1"/>
  <c r="G7" i="3"/>
  <c r="I8" i="9"/>
  <c r="I9" i="9"/>
  <c r="D93" i="17"/>
  <c r="E87" i="17" s="1"/>
  <c r="I10" i="9" l="1"/>
  <c r="I11" i="9" s="1"/>
  <c r="H146" i="13"/>
  <c r="H7" i="3"/>
  <c r="L7" i="3" s="1"/>
  <c r="L8" i="3" s="1"/>
  <c r="K7" i="3"/>
  <c r="G78" i="6"/>
  <c r="G20" i="13"/>
  <c r="H9" i="13"/>
  <c r="H54" i="13"/>
  <c r="G65" i="13"/>
  <c r="H99" i="13"/>
  <c r="G110" i="13"/>
  <c r="Y9" i="3"/>
  <c r="F9" i="3"/>
  <c r="C10" i="3"/>
  <c r="E9" i="3"/>
  <c r="G9" i="3"/>
  <c r="H9" i="3" s="1"/>
  <c r="I9" i="3"/>
  <c r="J9" i="3" s="1"/>
  <c r="D61" i="17"/>
  <c r="E55" i="17" s="1"/>
  <c r="F26" i="17"/>
  <c r="F27" i="17" s="1"/>
  <c r="F28" i="17" s="1"/>
  <c r="F72" i="13" s="1"/>
  <c r="J22" i="6"/>
  <c r="I18" i="6"/>
  <c r="H144" i="13"/>
  <c r="G155" i="13"/>
  <c r="U9" i="3"/>
  <c r="E90" i="17"/>
  <c r="E91" i="17" s="1"/>
  <c r="E92" i="17" s="1"/>
  <c r="E162" i="13" s="1"/>
  <c r="H101" i="13"/>
  <c r="I11" i="6"/>
  <c r="H8" i="6"/>
  <c r="H78" i="6" s="1"/>
  <c r="G56" i="13"/>
  <c r="P128" i="17"/>
  <c r="P129" i="17" s="1"/>
  <c r="Q123" i="17" s="1"/>
  <c r="F10" i="9"/>
  <c r="F11" i="9" s="1"/>
  <c r="I54" i="13" l="1"/>
  <c r="H65" i="13"/>
  <c r="E93" i="17"/>
  <c r="F87" i="17" s="1"/>
  <c r="K8" i="3"/>
  <c r="M7" i="3"/>
  <c r="L9" i="3"/>
  <c r="Q133" i="17"/>
  <c r="Q134" i="17" s="1"/>
  <c r="Q131" i="17" s="1"/>
  <c r="Q126" i="17"/>
  <c r="Q127" i="17"/>
  <c r="H56" i="13"/>
  <c r="U10" i="3"/>
  <c r="J18" i="6"/>
  <c r="K22" i="6"/>
  <c r="I146" i="13"/>
  <c r="H20" i="13"/>
  <c r="I9" i="13"/>
  <c r="F29" i="17"/>
  <c r="G23" i="17" s="1"/>
  <c r="H155" i="13"/>
  <c r="I144" i="13"/>
  <c r="H110" i="13"/>
  <c r="I99" i="13"/>
  <c r="J11" i="6"/>
  <c r="I8" i="6"/>
  <c r="I78" i="6" s="1"/>
  <c r="E58" i="17"/>
  <c r="E59" i="17" s="1"/>
  <c r="E60" i="17" s="1"/>
  <c r="E117" i="13" s="1"/>
  <c r="E61" i="17"/>
  <c r="F55" i="17" s="1"/>
  <c r="I101" i="13"/>
  <c r="G10" i="3"/>
  <c r="H10" i="3" s="1"/>
  <c r="E10" i="3"/>
  <c r="C11" i="3"/>
  <c r="Y10" i="3"/>
  <c r="F10" i="3"/>
  <c r="I10" i="3"/>
  <c r="J10" i="3" s="1"/>
  <c r="L10" i="3" l="1"/>
  <c r="F90" i="17"/>
  <c r="F91" i="17" s="1"/>
  <c r="F92" i="17" s="1"/>
  <c r="F162" i="13" s="1"/>
  <c r="K18" i="6"/>
  <c r="L22" i="6"/>
  <c r="I155" i="13"/>
  <c r="J144" i="13"/>
  <c r="I110" i="13"/>
  <c r="J99" i="13"/>
  <c r="J101" i="13"/>
  <c r="I65" i="13"/>
  <c r="J54" i="13"/>
  <c r="U11" i="3"/>
  <c r="F58" i="17"/>
  <c r="F59" i="17" s="1"/>
  <c r="F60" i="17" s="1"/>
  <c r="F117" i="13" s="1"/>
  <c r="G26" i="17"/>
  <c r="G27" i="17" s="1"/>
  <c r="G28" i="17" s="1"/>
  <c r="G72" i="13" s="1"/>
  <c r="I20" i="13"/>
  <c r="J9" i="13"/>
  <c r="I56" i="13"/>
  <c r="Y11" i="3"/>
  <c r="E11" i="3"/>
  <c r="C12" i="3"/>
  <c r="F11" i="3"/>
  <c r="I11" i="3"/>
  <c r="J11" i="3" s="1"/>
  <c r="G11" i="3"/>
  <c r="H11" i="3" s="1"/>
  <c r="L11" i="3" s="1"/>
  <c r="M8" i="3"/>
  <c r="K9" i="3"/>
  <c r="K11" i="6"/>
  <c r="J8" i="6"/>
  <c r="J78" i="6" s="1"/>
  <c r="J146" i="13"/>
  <c r="Q128" i="17"/>
  <c r="Q129" i="17" s="1"/>
  <c r="R123" i="17" s="1"/>
  <c r="J20" i="13" l="1"/>
  <c r="K9" i="13"/>
  <c r="U12" i="3"/>
  <c r="K101" i="13"/>
  <c r="K99" i="13"/>
  <c r="J110" i="13"/>
  <c r="L11" i="6"/>
  <c r="K8" i="6"/>
  <c r="K78" i="6" s="1"/>
  <c r="L18" i="6"/>
  <c r="M22" i="6"/>
  <c r="K54" i="13"/>
  <c r="J65" i="13"/>
  <c r="K10" i="3"/>
  <c r="M9" i="3"/>
  <c r="G29" i="17"/>
  <c r="H23" i="17" s="1"/>
  <c r="F93" i="17"/>
  <c r="G87" i="17" s="1"/>
  <c r="J155" i="13"/>
  <c r="K144" i="13"/>
  <c r="I12" i="3"/>
  <c r="J12" i="3" s="1"/>
  <c r="G12" i="3"/>
  <c r="H12" i="3" s="1"/>
  <c r="L12" i="3" s="1"/>
  <c r="Y12" i="3"/>
  <c r="F12" i="3"/>
  <c r="C13" i="3"/>
  <c r="E12" i="3"/>
  <c r="R126" i="17"/>
  <c r="R133" i="17"/>
  <c r="R134" i="17" s="1"/>
  <c r="R131" i="17" s="1"/>
  <c r="R127" i="17"/>
  <c r="K146" i="13"/>
  <c r="J56" i="13"/>
  <c r="F61" i="17"/>
  <c r="G55" i="17" s="1"/>
  <c r="L144" i="13" l="1"/>
  <c r="K155" i="13"/>
  <c r="L8" i="6"/>
  <c r="L78" i="6" s="1"/>
  <c r="M11" i="6"/>
  <c r="L101" i="13"/>
  <c r="G58" i="17"/>
  <c r="G59" i="17" s="1"/>
  <c r="G60" i="17" s="1"/>
  <c r="G117" i="13" s="1"/>
  <c r="G61" i="17"/>
  <c r="H55" i="17" s="1"/>
  <c r="L54" i="13"/>
  <c r="K65" i="13"/>
  <c r="L9" i="13"/>
  <c r="K20" i="13"/>
  <c r="L146" i="13"/>
  <c r="C14" i="3"/>
  <c r="F13" i="3"/>
  <c r="G13" i="3"/>
  <c r="H13" i="3" s="1"/>
  <c r="L13" i="3" s="1"/>
  <c r="E13" i="3"/>
  <c r="Y13" i="3"/>
  <c r="I13" i="3"/>
  <c r="J13" i="3" s="1"/>
  <c r="H26" i="17"/>
  <c r="H27" i="17" s="1"/>
  <c r="H28" i="17" s="1"/>
  <c r="H72" i="13" s="1"/>
  <c r="H19" i="17"/>
  <c r="L99" i="13"/>
  <c r="K110" i="13"/>
  <c r="G93" i="17"/>
  <c r="H87" i="17" s="1"/>
  <c r="G90" i="17"/>
  <c r="G91" i="17" s="1"/>
  <c r="G92" i="17" s="1"/>
  <c r="G162" i="13" s="1"/>
  <c r="U13" i="3"/>
  <c r="K56" i="13"/>
  <c r="R128" i="17"/>
  <c r="R129" i="17" s="1"/>
  <c r="S123" i="17" s="1"/>
  <c r="M10" i="3"/>
  <c r="K11" i="3"/>
  <c r="M18" i="6"/>
  <c r="N18" i="6" s="1"/>
  <c r="N22" i="6" a="1"/>
  <c r="N22" i="6" s="1"/>
  <c r="M11" i="3" l="1"/>
  <c r="K12" i="3"/>
  <c r="S131" i="17"/>
  <c r="S126" i="17"/>
  <c r="S127" i="17"/>
  <c r="I14" i="3"/>
  <c r="J14" i="3" s="1"/>
  <c r="G14" i="3"/>
  <c r="H14" i="3" s="1"/>
  <c r="E14" i="3"/>
  <c r="Y14" i="3"/>
  <c r="C15" i="3"/>
  <c r="F14" i="3"/>
  <c r="H58" i="17"/>
  <c r="H59" i="17" s="1"/>
  <c r="B48" i="17"/>
  <c r="M144" i="13"/>
  <c r="L155" i="13"/>
  <c r="M54" i="13"/>
  <c r="L65" i="13"/>
  <c r="U14" i="3"/>
  <c r="H90" i="17"/>
  <c r="H91" i="17" s="1"/>
  <c r="H92" i="17" s="1"/>
  <c r="H162" i="13" s="1"/>
  <c r="H93" i="17"/>
  <c r="I87" i="17" s="1"/>
  <c r="M146" i="13"/>
  <c r="M99" i="13"/>
  <c r="L110" i="13"/>
  <c r="M101" i="13"/>
  <c r="L56" i="13"/>
  <c r="M9" i="13"/>
  <c r="L20" i="13"/>
  <c r="M8" i="6"/>
  <c r="N11" i="6" a="1"/>
  <c r="N11" i="6" s="1"/>
  <c r="H29" i="17"/>
  <c r="I23" i="17" s="1"/>
  <c r="L14" i="3" l="1"/>
  <c r="U15" i="3"/>
  <c r="N144" i="13"/>
  <c r="M155" i="13"/>
  <c r="N9" i="13"/>
  <c r="M20" i="13"/>
  <c r="I90" i="17"/>
  <c r="I91" i="17" s="1"/>
  <c r="I92" i="17" s="1"/>
  <c r="I162" i="13" s="1"/>
  <c r="B49" i="17"/>
  <c r="H60" i="17"/>
  <c r="M56" i="13"/>
  <c r="I26" i="17"/>
  <c r="I27" i="17" s="1"/>
  <c r="I28" i="17" s="1"/>
  <c r="I72" i="13" s="1"/>
  <c r="I29" i="17"/>
  <c r="J23" i="17" s="1"/>
  <c r="I19" i="17"/>
  <c r="N99" i="13"/>
  <c r="M110" i="13"/>
  <c r="N146" i="13"/>
  <c r="N101" i="13"/>
  <c r="K13" i="3"/>
  <c r="M12" i="3"/>
  <c r="N54" i="13"/>
  <c r="M65" i="13"/>
  <c r="M78" i="6"/>
  <c r="N78" i="6" s="1"/>
  <c r="P6" i="6" s="1"/>
  <c r="N8" i="6"/>
  <c r="C16" i="3"/>
  <c r="F15" i="3"/>
  <c r="I15" i="3"/>
  <c r="J15" i="3" s="1"/>
  <c r="E15" i="3"/>
  <c r="Y15" i="3"/>
  <c r="G15" i="3"/>
  <c r="H15" i="3" s="1"/>
  <c r="S128" i="17"/>
  <c r="S129" i="17" s="1"/>
  <c r="T123" i="17" s="1"/>
  <c r="L15" i="3" l="1"/>
  <c r="T131" i="17"/>
  <c r="T126" i="17"/>
  <c r="T127" i="17"/>
  <c r="T128" i="17" s="1"/>
  <c r="T129" i="17" s="1"/>
  <c r="U123" i="17" s="1"/>
  <c r="E16" i="3"/>
  <c r="C17" i="3"/>
  <c r="F16" i="3"/>
  <c r="Y16" i="3"/>
  <c r="G16" i="3"/>
  <c r="H16" i="3" s="1"/>
  <c r="I16" i="3"/>
  <c r="J16" i="3" s="1"/>
  <c r="O99" i="13"/>
  <c r="N110" i="13"/>
  <c r="K14" i="3"/>
  <c r="M13" i="3"/>
  <c r="O144" i="13"/>
  <c r="N155" i="13"/>
  <c r="O101" i="13"/>
  <c r="Q41" i="3"/>
  <c r="Q33" i="3"/>
  <c r="Q25" i="3"/>
  <c r="Q17" i="3"/>
  <c r="Q9" i="3"/>
  <c r="Q46" i="3"/>
  <c r="Q43" i="3"/>
  <c r="Q35" i="3"/>
  <c r="Q27" i="3"/>
  <c r="Q19" i="3"/>
  <c r="Q11" i="3"/>
  <c r="Q44" i="3"/>
  <c r="Q36" i="3"/>
  <c r="Q28" i="3"/>
  <c r="Q20" i="3"/>
  <c r="Q12" i="3"/>
  <c r="Q47" i="3"/>
  <c r="Q29" i="3"/>
  <c r="Q22" i="3"/>
  <c r="Q10" i="3"/>
  <c r="Q42" i="3"/>
  <c r="Q21" i="3"/>
  <c r="Q14" i="3"/>
  <c r="Q38" i="3"/>
  <c r="Q26" i="3"/>
  <c r="Q40" i="3"/>
  <c r="Q15" i="3"/>
  <c r="Q8" i="3"/>
  <c r="Q45" i="3"/>
  <c r="Q31" i="3"/>
  <c r="Q39" i="3"/>
  <c r="Q32" i="3"/>
  <c r="Q7" i="3"/>
  <c r="Q13" i="3"/>
  <c r="Q37" i="3"/>
  <c r="Q30" i="3"/>
  <c r="Q18" i="3"/>
  <c r="Q23" i="3"/>
  <c r="Q16" i="3"/>
  <c r="Q34" i="3"/>
  <c r="Q6" i="3"/>
  <c r="Q24" i="3"/>
  <c r="I93" i="17"/>
  <c r="J87" i="17" s="1"/>
  <c r="J19" i="17"/>
  <c r="J26" i="17"/>
  <c r="J27" i="17" s="1"/>
  <c r="J28" i="17" s="1"/>
  <c r="J72" i="13" s="1"/>
  <c r="H117" i="13"/>
  <c r="H61" i="17"/>
  <c r="I55" i="17" s="1"/>
  <c r="O54" i="13"/>
  <c r="N65" i="13"/>
  <c r="O146" i="13"/>
  <c r="O9" i="13"/>
  <c r="N20" i="13"/>
  <c r="U16" i="3"/>
  <c r="N56" i="13"/>
  <c r="L16" i="3" l="1"/>
  <c r="U131" i="17"/>
  <c r="U126" i="17"/>
  <c r="U127" i="17"/>
  <c r="U128" i="17" s="1"/>
  <c r="U129" i="17" s="1"/>
  <c r="V123" i="17" s="1"/>
  <c r="K15" i="3"/>
  <c r="M14" i="3"/>
  <c r="I58" i="17"/>
  <c r="I59" i="17" s="1"/>
  <c r="I60" i="17" s="1"/>
  <c r="I117" i="13" s="1"/>
  <c r="O56" i="13"/>
  <c r="P146" i="13"/>
  <c r="J90" i="17"/>
  <c r="J91" i="17" s="1"/>
  <c r="J92" i="17" s="1"/>
  <c r="J162" i="13" s="1"/>
  <c r="J93" i="17"/>
  <c r="K87" i="17" s="1"/>
  <c r="U17" i="3"/>
  <c r="P101" i="13"/>
  <c r="Y17" i="3"/>
  <c r="I17" i="3"/>
  <c r="J17" i="3" s="1"/>
  <c r="G17" i="3"/>
  <c r="H17" i="3" s="1"/>
  <c r="L17" i="3" s="1"/>
  <c r="C18" i="3"/>
  <c r="E17" i="3"/>
  <c r="F17" i="3"/>
  <c r="P9" i="13"/>
  <c r="O20" i="13"/>
  <c r="P54" i="13"/>
  <c r="O65" i="13"/>
  <c r="J29" i="17"/>
  <c r="K23" i="17" s="1"/>
  <c r="P144" i="13"/>
  <c r="O155" i="13"/>
  <c r="P99" i="13"/>
  <c r="O110" i="13"/>
  <c r="V131" i="17" l="1"/>
  <c r="V126" i="17"/>
  <c r="V127" i="17"/>
  <c r="V128" i="17" s="1"/>
  <c r="V129" i="17" s="1"/>
  <c r="W123" i="17" s="1"/>
  <c r="K93" i="17"/>
  <c r="L87" i="17" s="1"/>
  <c r="K90" i="17"/>
  <c r="K91" i="17" s="1"/>
  <c r="K92" i="17" s="1"/>
  <c r="K162" i="13" s="1"/>
  <c r="Q144" i="13"/>
  <c r="P155" i="13"/>
  <c r="K16" i="3"/>
  <c r="M15" i="3"/>
  <c r="Q101" i="13"/>
  <c r="Q146" i="13"/>
  <c r="Q9" i="13"/>
  <c r="P20" i="13"/>
  <c r="K19" i="17"/>
  <c r="K26" i="17"/>
  <c r="K27" i="17" s="1"/>
  <c r="K28" i="17" s="1"/>
  <c r="K72" i="13" s="1"/>
  <c r="Q99" i="13"/>
  <c r="P110" i="13"/>
  <c r="Q54" i="13"/>
  <c r="P65" i="13"/>
  <c r="P56" i="13"/>
  <c r="G18" i="3"/>
  <c r="H18" i="3" s="1"/>
  <c r="E18" i="3"/>
  <c r="Y18" i="3"/>
  <c r="F18" i="3"/>
  <c r="I18" i="3"/>
  <c r="J18" i="3" s="1"/>
  <c r="C19" i="3"/>
  <c r="U18" i="3"/>
  <c r="I61" i="17"/>
  <c r="J55" i="17" s="1"/>
  <c r="L18" i="3" l="1"/>
  <c r="W126" i="17"/>
  <c r="W131" i="17"/>
  <c r="W127" i="17"/>
  <c r="W128" i="17" s="1"/>
  <c r="W129" i="17" s="1"/>
  <c r="X123" i="17" s="1"/>
  <c r="R99" i="13"/>
  <c r="Q110" i="13"/>
  <c r="L90" i="17"/>
  <c r="L91" i="17" s="1"/>
  <c r="L92" i="17" s="1"/>
  <c r="L162" i="13" s="1"/>
  <c r="U19" i="3"/>
  <c r="R9" i="13"/>
  <c r="Q20" i="13"/>
  <c r="R146" i="13"/>
  <c r="R54" i="13"/>
  <c r="Q65" i="13"/>
  <c r="R144" i="13"/>
  <c r="Q155" i="13"/>
  <c r="Y19" i="3"/>
  <c r="E19" i="3"/>
  <c r="G19" i="3"/>
  <c r="H19" i="3" s="1"/>
  <c r="C20" i="3"/>
  <c r="F19" i="3"/>
  <c r="I19" i="3"/>
  <c r="J19" i="3" s="1"/>
  <c r="K29" i="17"/>
  <c r="L23" i="17" s="1"/>
  <c r="R101" i="13"/>
  <c r="Q56" i="13"/>
  <c r="M16" i="3"/>
  <c r="K17" i="3"/>
  <c r="J61" i="17"/>
  <c r="K55" i="17" s="1"/>
  <c r="J58" i="17"/>
  <c r="J59" i="17" s="1"/>
  <c r="J60" i="17" s="1"/>
  <c r="J117" i="13" s="1"/>
  <c r="L19" i="3" l="1"/>
  <c r="X126" i="17"/>
  <c r="X131" i="17"/>
  <c r="X127" i="17"/>
  <c r="X128" i="17" s="1"/>
  <c r="X129" i="17" s="1"/>
  <c r="Y123" i="17" s="1"/>
  <c r="L19" i="17"/>
  <c r="L26" i="17"/>
  <c r="L27" i="17" s="1"/>
  <c r="L28" i="17" s="1"/>
  <c r="L72" i="13" s="1"/>
  <c r="L93" i="17"/>
  <c r="M87" i="17" s="1"/>
  <c r="I20" i="3"/>
  <c r="J20" i="3" s="1"/>
  <c r="G20" i="3"/>
  <c r="H20" i="3" s="1"/>
  <c r="Y20" i="3"/>
  <c r="T20" i="3"/>
  <c r="F20" i="3"/>
  <c r="C21" i="3"/>
  <c r="E20" i="3"/>
  <c r="S20" i="3"/>
  <c r="S146" i="13"/>
  <c r="K18" i="3"/>
  <c r="M17" i="3"/>
  <c r="S144" i="13"/>
  <c r="R155" i="13"/>
  <c r="K58" i="17"/>
  <c r="K59" i="17" s="1"/>
  <c r="K60" i="17" s="1"/>
  <c r="K117" i="13" s="1"/>
  <c r="S54" i="13"/>
  <c r="R65" i="13"/>
  <c r="S9" i="13"/>
  <c r="R20" i="13"/>
  <c r="S99" i="13"/>
  <c r="R110" i="13"/>
  <c r="R56" i="13"/>
  <c r="S101" i="13"/>
  <c r="U20" i="3"/>
  <c r="L20" i="3" l="1"/>
  <c r="Y131" i="17"/>
  <c r="Y126" i="17"/>
  <c r="Y127" i="17"/>
  <c r="Y128" i="17" s="1"/>
  <c r="Y129" i="17" s="1"/>
  <c r="Z123" i="17" s="1"/>
  <c r="M90" i="17"/>
  <c r="M91" i="17" s="1"/>
  <c r="M92" i="17" s="1"/>
  <c r="M162" i="13" s="1"/>
  <c r="M93" i="17"/>
  <c r="N87" i="17" s="1"/>
  <c r="K61" i="17"/>
  <c r="L55" i="17" s="1"/>
  <c r="S56" i="13"/>
  <c r="T9" i="13"/>
  <c r="S20" i="13"/>
  <c r="T144" i="13"/>
  <c r="S155" i="13"/>
  <c r="U21" i="3"/>
  <c r="T54" i="13"/>
  <c r="S65" i="13"/>
  <c r="L29" i="17"/>
  <c r="M23" i="17" s="1"/>
  <c r="T146" i="13"/>
  <c r="T99" i="13"/>
  <c r="S110" i="13"/>
  <c r="C22" i="3"/>
  <c r="F21" i="3"/>
  <c r="S21" i="3"/>
  <c r="G21" i="3"/>
  <c r="H21" i="3" s="1"/>
  <c r="T21" i="3"/>
  <c r="I21" i="3"/>
  <c r="J21" i="3" s="1"/>
  <c r="E21" i="3"/>
  <c r="Y21" i="3"/>
  <c r="T101" i="13"/>
  <c r="M18" i="3"/>
  <c r="K19" i="3"/>
  <c r="L21" i="3" l="1"/>
  <c r="Z126" i="17"/>
  <c r="Z131" i="17"/>
  <c r="Z127" i="17"/>
  <c r="Z128" i="17" s="1"/>
  <c r="Z129" i="17" s="1"/>
  <c r="AA123" i="17" s="1"/>
  <c r="U146" i="13"/>
  <c r="U9" i="13"/>
  <c r="T20" i="13"/>
  <c r="L61" i="17"/>
  <c r="M55" i="17" s="1"/>
  <c r="L58" i="17"/>
  <c r="L59" i="17" s="1"/>
  <c r="L60" i="17" s="1"/>
  <c r="L117" i="13" s="1"/>
  <c r="I22" i="3"/>
  <c r="J22" i="3" s="1"/>
  <c r="S22" i="3"/>
  <c r="C23" i="3"/>
  <c r="F22" i="3"/>
  <c r="E22" i="3"/>
  <c r="Y22" i="3"/>
  <c r="T22" i="3"/>
  <c r="G22" i="3"/>
  <c r="H22" i="3" s="1"/>
  <c r="M26" i="17"/>
  <c r="T56" i="13"/>
  <c r="U99" i="13"/>
  <c r="T110" i="13"/>
  <c r="U54" i="13"/>
  <c r="T65" i="13"/>
  <c r="N90" i="17"/>
  <c r="N91" i="17" s="1"/>
  <c r="N92" i="17" s="1"/>
  <c r="N162" i="13" s="1"/>
  <c r="N93" i="17"/>
  <c r="O87" i="17" s="1"/>
  <c r="U101" i="13"/>
  <c r="U22" i="3"/>
  <c r="M19" i="3"/>
  <c r="K20" i="3"/>
  <c r="U144" i="13"/>
  <c r="T155" i="13"/>
  <c r="L22" i="3" l="1"/>
  <c r="AA129" i="17"/>
  <c r="AB123" i="17" s="1"/>
  <c r="AA126" i="17"/>
  <c r="AA131" i="17"/>
  <c r="AA127" i="17"/>
  <c r="AA128" i="17" s="1"/>
  <c r="U23" i="3"/>
  <c r="V101" i="13"/>
  <c r="V144" i="13"/>
  <c r="U155" i="13"/>
  <c r="M58" i="17"/>
  <c r="M59" i="17" s="1"/>
  <c r="M60" i="17" s="1"/>
  <c r="M117" i="13" s="1"/>
  <c r="M61" i="17"/>
  <c r="N55" i="17" s="1"/>
  <c r="M20" i="3"/>
  <c r="K21" i="3"/>
  <c r="U56" i="13"/>
  <c r="V54" i="13"/>
  <c r="U65" i="13"/>
  <c r="O90" i="17"/>
  <c r="O91" i="17" s="1"/>
  <c r="O92" i="17" s="1"/>
  <c r="O162" i="13" s="1"/>
  <c r="V99" i="13"/>
  <c r="U110" i="13"/>
  <c r="C24" i="3"/>
  <c r="F23" i="3"/>
  <c r="I23" i="3"/>
  <c r="J23" i="3" s="1"/>
  <c r="T23" i="3"/>
  <c r="G23" i="3"/>
  <c r="H23" i="3" s="1"/>
  <c r="L23" i="3" s="1"/>
  <c r="E23" i="3"/>
  <c r="Y23" i="3"/>
  <c r="S23" i="3"/>
  <c r="V9" i="13"/>
  <c r="U20" i="13"/>
  <c r="B26" i="13"/>
  <c r="M27" i="17"/>
  <c r="M28" i="17" s="1"/>
  <c r="V146" i="13"/>
  <c r="B27" i="13" l="1"/>
  <c r="M72" i="13"/>
  <c r="B28" i="13"/>
  <c r="M29" i="17"/>
  <c r="N23" i="17" s="1"/>
  <c r="W99" i="13"/>
  <c r="V110" i="13"/>
  <c r="V56" i="13"/>
  <c r="W144" i="13"/>
  <c r="V155" i="13"/>
  <c r="K22" i="3"/>
  <c r="M21" i="3"/>
  <c r="W9" i="13"/>
  <c r="V20" i="13"/>
  <c r="O93" i="17"/>
  <c r="P87" i="17" s="1"/>
  <c r="AB131" i="17"/>
  <c r="AB126" i="17"/>
  <c r="AB127" i="17"/>
  <c r="W146" i="13"/>
  <c r="N61" i="17"/>
  <c r="O55" i="17" s="1"/>
  <c r="N58" i="17"/>
  <c r="N59" i="17" s="1"/>
  <c r="N60" i="17" s="1"/>
  <c r="N117" i="13" s="1"/>
  <c r="T24" i="3"/>
  <c r="E24" i="3"/>
  <c r="C25" i="3"/>
  <c r="F24" i="3"/>
  <c r="Y24" i="3"/>
  <c r="G24" i="3"/>
  <c r="H24" i="3" s="1"/>
  <c r="I24" i="3"/>
  <c r="J24" i="3" s="1"/>
  <c r="S24" i="3"/>
  <c r="W101" i="13"/>
  <c r="W54" i="13"/>
  <c r="V65" i="13"/>
  <c r="U24" i="3"/>
  <c r="L24" i="3" l="1"/>
  <c r="O58" i="17"/>
  <c r="O59" i="17" s="1"/>
  <c r="O60" i="17" s="1"/>
  <c r="O117" i="13" s="1"/>
  <c r="O61" i="17"/>
  <c r="P55" i="17" s="1"/>
  <c r="X54" i="13"/>
  <c r="W65" i="13"/>
  <c r="X144" i="13"/>
  <c r="W155" i="13"/>
  <c r="P90" i="17"/>
  <c r="P91" i="17" s="1"/>
  <c r="P92" i="17" s="1"/>
  <c r="P162" i="13" s="1"/>
  <c r="P93" i="17"/>
  <c r="Q87" i="17" s="1"/>
  <c r="X9" i="13"/>
  <c r="W20" i="13"/>
  <c r="K23" i="3"/>
  <c r="M22" i="3"/>
  <c r="N26" i="17"/>
  <c r="X146" i="13"/>
  <c r="W56" i="13"/>
  <c r="U25" i="3"/>
  <c r="Y25" i="3"/>
  <c r="I25" i="3"/>
  <c r="J25" i="3" s="1"/>
  <c r="F25" i="3"/>
  <c r="S25" i="3"/>
  <c r="C26" i="3"/>
  <c r="T25" i="3"/>
  <c r="G25" i="3"/>
  <c r="H25" i="3" s="1"/>
  <c r="L25" i="3" s="1"/>
  <c r="E25" i="3"/>
  <c r="AB128" i="17"/>
  <c r="AB129" i="17" s="1"/>
  <c r="AC123" i="17" s="1"/>
  <c r="X101" i="13"/>
  <c r="X99" i="13"/>
  <c r="W110" i="13"/>
  <c r="Q90" i="17" l="1"/>
  <c r="Q91" i="17" s="1"/>
  <c r="Q92" i="17" s="1"/>
  <c r="Q162" i="13" s="1"/>
  <c r="AC131" i="17"/>
  <c r="AC126" i="17"/>
  <c r="AC127" i="17"/>
  <c r="AC128" i="17" s="1"/>
  <c r="AC129" i="17" s="1"/>
  <c r="AD123" i="17" s="1"/>
  <c r="C71" i="13"/>
  <c r="C26" i="13"/>
  <c r="N27" i="17"/>
  <c r="N28" i="17" s="1"/>
  <c r="Y99" i="13"/>
  <c r="X110" i="13"/>
  <c r="Y146" i="13"/>
  <c r="Y54" i="13"/>
  <c r="X65" i="13"/>
  <c r="K24" i="3"/>
  <c r="M23" i="3"/>
  <c r="Y9" i="13"/>
  <c r="X20" i="13"/>
  <c r="Y101" i="13"/>
  <c r="P58" i="17"/>
  <c r="P59" i="17" s="1"/>
  <c r="P60" i="17" s="1"/>
  <c r="P117" i="13" s="1"/>
  <c r="P61" i="17"/>
  <c r="Q55" i="17" s="1"/>
  <c r="U26" i="3"/>
  <c r="G26" i="3"/>
  <c r="H26" i="3" s="1"/>
  <c r="T26" i="3"/>
  <c r="E26" i="3"/>
  <c r="I26" i="3"/>
  <c r="J26" i="3" s="1"/>
  <c r="F26" i="3"/>
  <c r="C27" i="3"/>
  <c r="Y26" i="3"/>
  <c r="S26" i="3"/>
  <c r="X56" i="13"/>
  <c r="Y144" i="13"/>
  <c r="X155" i="13"/>
  <c r="L26" i="3" l="1"/>
  <c r="AD131" i="17"/>
  <c r="AD126" i="17"/>
  <c r="AD127" i="17"/>
  <c r="AD128" i="17" s="1"/>
  <c r="AD129" i="17" s="1"/>
  <c r="AE123" i="17" s="1"/>
  <c r="Y56" i="13"/>
  <c r="Z54" i="13"/>
  <c r="Y65" i="13"/>
  <c r="U27" i="3"/>
  <c r="N72" i="13"/>
  <c r="C27" i="13"/>
  <c r="C28" i="13"/>
  <c r="C163" i="13"/>
  <c r="C73" i="13"/>
  <c r="C91" i="13" s="1"/>
  <c r="C118" i="13"/>
  <c r="N29" i="17"/>
  <c r="O23" i="17" s="1"/>
  <c r="Q93" i="17"/>
  <c r="R87" i="17" s="1"/>
  <c r="Z9" i="13"/>
  <c r="Y20" i="13"/>
  <c r="Z146" i="13"/>
  <c r="C44" i="13"/>
  <c r="C45" i="13" s="1"/>
  <c r="C46" i="13" s="1"/>
  <c r="S27" i="3"/>
  <c r="Y27" i="3"/>
  <c r="T27" i="3"/>
  <c r="E27" i="3"/>
  <c r="I27" i="3"/>
  <c r="J27" i="3" s="1"/>
  <c r="C28" i="3"/>
  <c r="F27" i="3"/>
  <c r="G27" i="3"/>
  <c r="H27" i="3" s="1"/>
  <c r="Q58" i="17"/>
  <c r="Q59" i="17" s="1"/>
  <c r="Q60" i="17" s="1"/>
  <c r="Q117" i="13" s="1"/>
  <c r="Q61" i="17"/>
  <c r="R55" i="17" s="1"/>
  <c r="M24" i="3"/>
  <c r="K25" i="3"/>
  <c r="C89" i="13"/>
  <c r="C90" i="13" s="1"/>
  <c r="Z144" i="13"/>
  <c r="Y155" i="13"/>
  <c r="Z101" i="13"/>
  <c r="Z99" i="13"/>
  <c r="Y110" i="13"/>
  <c r="L27" i="3" l="1"/>
  <c r="AE126" i="17"/>
  <c r="AE131" i="17"/>
  <c r="AE127" i="17"/>
  <c r="AE128" i="17" s="1"/>
  <c r="AE129" i="17" s="1"/>
  <c r="AF123" i="17" s="1"/>
  <c r="R90" i="17"/>
  <c r="R91" i="17"/>
  <c r="R58" i="17"/>
  <c r="R59" i="17"/>
  <c r="R60" i="17" s="1"/>
  <c r="R117" i="13" s="1"/>
  <c r="AA144" i="13"/>
  <c r="Z155" i="13"/>
  <c r="AA101" i="13"/>
  <c r="C134" i="13"/>
  <c r="C135" i="13" s="1"/>
  <c r="C136" i="13"/>
  <c r="C188" i="13" s="1"/>
  <c r="C179" i="13"/>
  <c r="C180" i="13" s="1"/>
  <c r="C187" i="13" s="1"/>
  <c r="C181" i="13"/>
  <c r="AA99" i="13"/>
  <c r="Z110" i="13"/>
  <c r="K26" i="3"/>
  <c r="M25" i="3"/>
  <c r="AA9" i="13"/>
  <c r="Z20" i="13"/>
  <c r="O26" i="17"/>
  <c r="U28" i="3"/>
  <c r="AA146" i="13"/>
  <c r="I28" i="3"/>
  <c r="J28" i="3" s="1"/>
  <c r="G28" i="3"/>
  <c r="H28" i="3" s="1"/>
  <c r="Y28" i="3"/>
  <c r="S28" i="3"/>
  <c r="F28" i="3"/>
  <c r="C29" i="3"/>
  <c r="E28" i="3"/>
  <c r="T28" i="3"/>
  <c r="AA54" i="13"/>
  <c r="Z65" i="13"/>
  <c r="Z56" i="13"/>
  <c r="L28" i="3" l="1"/>
  <c r="P6" i="3" a="1"/>
  <c r="P6" i="3" s="1"/>
  <c r="N7" i="3"/>
  <c r="O7" i="3"/>
  <c r="AF126" i="17"/>
  <c r="AF128" i="17" s="1"/>
  <c r="AF129" i="17" s="1"/>
  <c r="AG123" i="17" s="1"/>
  <c r="AF131" i="17"/>
  <c r="C30" i="3"/>
  <c r="F29" i="3"/>
  <c r="S29" i="3"/>
  <c r="G29" i="3"/>
  <c r="H29" i="3" s="1"/>
  <c r="E29" i="3"/>
  <c r="Y29" i="3"/>
  <c r="T29" i="3"/>
  <c r="I29" i="3"/>
  <c r="J29" i="3" s="1"/>
  <c r="AB144" i="13"/>
  <c r="AA155" i="13"/>
  <c r="AA179" i="13" s="1"/>
  <c r="AA180" i="13" s="1"/>
  <c r="U29" i="3"/>
  <c r="AA56" i="13"/>
  <c r="D71" i="13"/>
  <c r="D26" i="13"/>
  <c r="O27" i="17"/>
  <c r="O28" i="17" s="1"/>
  <c r="R61" i="17"/>
  <c r="S55" i="17" s="1"/>
  <c r="M26" i="3"/>
  <c r="K27" i="3"/>
  <c r="AB54" i="13"/>
  <c r="AA65" i="13"/>
  <c r="AB146" i="13"/>
  <c r="AB101" i="13"/>
  <c r="R92" i="17"/>
  <c r="AB9" i="13"/>
  <c r="AA20" i="13"/>
  <c r="AB99" i="13"/>
  <c r="AA110" i="13"/>
  <c r="AA134" i="13" s="1"/>
  <c r="AA135" i="13" s="1"/>
  <c r="L29" i="3" l="1"/>
  <c r="AG131" i="17"/>
  <c r="AG126" i="17"/>
  <c r="AG128" i="17" s="1"/>
  <c r="AG129" i="17"/>
  <c r="AH123" i="17" s="1"/>
  <c r="AA89" i="13"/>
  <c r="AA90" i="13" s="1"/>
  <c r="AA187" i="13" s="1"/>
  <c r="AB56" i="13"/>
  <c r="AC146" i="13"/>
  <c r="AC9" i="13"/>
  <c r="AB20" i="13"/>
  <c r="S58" i="17"/>
  <c r="S59" i="17"/>
  <c r="S60" i="17" s="1"/>
  <c r="S117" i="13" s="1"/>
  <c r="U30" i="3"/>
  <c r="AC54" i="13"/>
  <c r="AB65" i="13"/>
  <c r="O72" i="13"/>
  <c r="D27" i="13"/>
  <c r="D28" i="13"/>
  <c r="D73" i="13"/>
  <c r="D89" i="13" s="1"/>
  <c r="D90" i="13" s="1"/>
  <c r="D163" i="13"/>
  <c r="D118" i="13"/>
  <c r="O29" i="17"/>
  <c r="P23" i="17" s="1"/>
  <c r="R162" i="13"/>
  <c r="R93" i="17"/>
  <c r="S87" i="17" s="1"/>
  <c r="AC99" i="13"/>
  <c r="AB110" i="13"/>
  <c r="AC144" i="13"/>
  <c r="AB155" i="13"/>
  <c r="S6" i="3"/>
  <c r="T6" i="3"/>
  <c r="AC101" i="13"/>
  <c r="AB134" i="13"/>
  <c r="AB135" i="13" s="1"/>
  <c r="M27" i="3"/>
  <c r="K28" i="3"/>
  <c r="I30" i="3"/>
  <c r="J30" i="3" s="1"/>
  <c r="S30" i="3"/>
  <c r="Y30" i="3"/>
  <c r="G30" i="3"/>
  <c r="H30" i="3" s="1"/>
  <c r="L30" i="3" s="1"/>
  <c r="C31" i="3"/>
  <c r="F30" i="3"/>
  <c r="E30" i="3"/>
  <c r="T30" i="3"/>
  <c r="P30" i="3" l="1" a="1"/>
  <c r="P30" i="3" s="1"/>
  <c r="AD99" i="13"/>
  <c r="AC110" i="13"/>
  <c r="AB179" i="13"/>
  <c r="AB180" i="13" s="1"/>
  <c r="AB89" i="13"/>
  <c r="AB90" i="13" s="1"/>
  <c r="AB187" i="13" s="1"/>
  <c r="AC56" i="13"/>
  <c r="C32" i="3"/>
  <c r="F31" i="3"/>
  <c r="O31" i="3" s="1"/>
  <c r="I31" i="3"/>
  <c r="J31" i="3" s="1"/>
  <c r="Y31" i="3"/>
  <c r="T31" i="3"/>
  <c r="E31" i="3"/>
  <c r="S31" i="3"/>
  <c r="G31" i="3"/>
  <c r="H31" i="3" s="1"/>
  <c r="L31" i="3" s="1"/>
  <c r="S90" i="17"/>
  <c r="S91" i="17"/>
  <c r="S92" i="17" s="1"/>
  <c r="S162" i="13" s="1"/>
  <c r="D91" i="13"/>
  <c r="P26" i="17"/>
  <c r="AD54" i="13"/>
  <c r="AC65" i="13"/>
  <c r="AH129" i="17"/>
  <c r="AI123" i="17" s="1"/>
  <c r="AH131" i="17"/>
  <c r="AH126" i="17"/>
  <c r="AH128" i="17" s="1"/>
  <c r="S61" i="17"/>
  <c r="T55" i="17" s="1"/>
  <c r="AD144" i="13"/>
  <c r="AC155" i="13"/>
  <c r="D134" i="13"/>
  <c r="D135" i="13" s="1"/>
  <c r="D136" i="13"/>
  <c r="AD9" i="13"/>
  <c r="AC20" i="13"/>
  <c r="U31" i="3"/>
  <c r="AC134" i="13"/>
  <c r="AC135" i="13" s="1"/>
  <c r="AD101" i="13"/>
  <c r="M28" i="3"/>
  <c r="K29" i="3"/>
  <c r="D179" i="13"/>
  <c r="D180" i="13" s="1"/>
  <c r="D181" i="13"/>
  <c r="AC179" i="13"/>
  <c r="AC180" i="13" s="1"/>
  <c r="AD146" i="13"/>
  <c r="D187" i="13" l="1"/>
  <c r="P7" i="3" a="1"/>
  <c r="P7" i="3" s="1"/>
  <c r="O8" i="3"/>
  <c r="N8" i="3"/>
  <c r="D188" i="13"/>
  <c r="AE146" i="13"/>
  <c r="AD179" i="13"/>
  <c r="AD180" i="13" s="1"/>
  <c r="AE101" i="13"/>
  <c r="AI129" i="17"/>
  <c r="AJ123" i="17" s="1"/>
  <c r="AI126" i="17"/>
  <c r="AI128" i="17" s="1"/>
  <c r="AI131" i="17"/>
  <c r="AE54" i="13"/>
  <c r="AD65" i="13"/>
  <c r="S93" i="17"/>
  <c r="T87" i="17" s="1"/>
  <c r="T32" i="3"/>
  <c r="E32" i="3"/>
  <c r="C33" i="3"/>
  <c r="F32" i="3"/>
  <c r="O32" i="3" s="1"/>
  <c r="I32" i="3"/>
  <c r="J32" i="3" s="1"/>
  <c r="G32" i="3"/>
  <c r="H32" i="3" s="1"/>
  <c r="L32" i="3" s="1"/>
  <c r="Y32" i="3"/>
  <c r="S32" i="3"/>
  <c r="AE99" i="13"/>
  <c r="AD110" i="13"/>
  <c r="AD134" i="13" s="1"/>
  <c r="AD135" i="13" s="1"/>
  <c r="AE144" i="13"/>
  <c r="AD155" i="13"/>
  <c r="AC89" i="13"/>
  <c r="AC90" i="13" s="1"/>
  <c r="AC187" i="13" s="1"/>
  <c r="AD56" i="13"/>
  <c r="K30" i="3"/>
  <c r="M29" i="3"/>
  <c r="T58" i="17"/>
  <c r="T59" i="17"/>
  <c r="U32" i="3"/>
  <c r="AE9" i="13"/>
  <c r="AD20" i="13"/>
  <c r="N31" i="3"/>
  <c r="P31" i="3" a="1"/>
  <c r="P31" i="3" s="1"/>
  <c r="E71" i="13"/>
  <c r="E26" i="13"/>
  <c r="P27" i="17"/>
  <c r="P28" i="17" s="1"/>
  <c r="AF146" i="13" l="1"/>
  <c r="AF9" i="13"/>
  <c r="AE20" i="13"/>
  <c r="K31" i="3"/>
  <c r="M30" i="3"/>
  <c r="Y33" i="3"/>
  <c r="I33" i="3"/>
  <c r="J33" i="3" s="1"/>
  <c r="F33" i="3"/>
  <c r="O33" i="3" s="1"/>
  <c r="T33" i="3"/>
  <c r="G33" i="3"/>
  <c r="H33" i="3" s="1"/>
  <c r="C34" i="3"/>
  <c r="E33" i="3"/>
  <c r="S33" i="3"/>
  <c r="AD89" i="13"/>
  <c r="AD90" i="13" s="1"/>
  <c r="AD187" i="13" s="1"/>
  <c r="AE56" i="13"/>
  <c r="AF99" i="13"/>
  <c r="AE110" i="13"/>
  <c r="AE134" i="13" s="1"/>
  <c r="AE135" i="13" s="1"/>
  <c r="N32" i="3"/>
  <c r="P32" i="3" a="1"/>
  <c r="P32" i="3" s="1"/>
  <c r="E27" i="13"/>
  <c r="P72" i="13"/>
  <c r="E28" i="13"/>
  <c r="E163" i="13"/>
  <c r="E118" i="13"/>
  <c r="E73" i="13"/>
  <c r="E91" i="13" s="1"/>
  <c r="P29" i="17"/>
  <c r="Q23" i="17" s="1"/>
  <c r="AJ129" i="17"/>
  <c r="AK123" i="17" s="1"/>
  <c r="AJ131" i="17"/>
  <c r="AJ126" i="17"/>
  <c r="AJ128" i="17" s="1"/>
  <c r="T90" i="17"/>
  <c r="T91" i="17"/>
  <c r="T92" i="17" s="1"/>
  <c r="T162" i="13" s="1"/>
  <c r="U33" i="3"/>
  <c r="T60" i="17"/>
  <c r="AF144" i="13"/>
  <c r="AE155" i="13"/>
  <c r="AF101" i="13"/>
  <c r="P2" i="3"/>
  <c r="T7" i="3"/>
  <c r="S7" i="3"/>
  <c r="W7" i="3" s="1"/>
  <c r="AF54" i="13"/>
  <c r="AE65" i="13"/>
  <c r="L33" i="3" l="1"/>
  <c r="Q26" i="17"/>
  <c r="N33" i="3"/>
  <c r="P33" i="3" a="1"/>
  <c r="P33" i="3" s="1"/>
  <c r="U34" i="3"/>
  <c r="G34" i="3"/>
  <c r="H34" i="3" s="1"/>
  <c r="L34" i="3" s="1"/>
  <c r="T34" i="3"/>
  <c r="E34" i="3"/>
  <c r="S34" i="3"/>
  <c r="I34" i="3"/>
  <c r="J34" i="3" s="1"/>
  <c r="F34" i="3"/>
  <c r="O34" i="3" s="1"/>
  <c r="Y34" i="3"/>
  <c r="C35" i="3"/>
  <c r="K32" i="3"/>
  <c r="M31" i="3"/>
  <c r="AG144" i="13"/>
  <c r="AF155" i="13"/>
  <c r="AF179" i="13" s="1"/>
  <c r="AF180" i="13" s="1"/>
  <c r="E134" i="13"/>
  <c r="E135" i="13" s="1"/>
  <c r="E136" i="13"/>
  <c r="T93" i="17"/>
  <c r="U87" i="17" s="1"/>
  <c r="E179" i="13"/>
  <c r="E180" i="13" s="1"/>
  <c r="E181" i="13"/>
  <c r="E188" i="13" s="1"/>
  <c r="AG99" i="13"/>
  <c r="AF110" i="13"/>
  <c r="AG9" i="13"/>
  <c r="AF20" i="13"/>
  <c r="AG146" i="13"/>
  <c r="T117" i="13"/>
  <c r="T61" i="17"/>
  <c r="U55" i="17" s="1"/>
  <c r="AE89" i="13"/>
  <c r="AE90" i="13" s="1"/>
  <c r="AF56" i="13"/>
  <c r="AE179" i="13"/>
  <c r="AE180" i="13" s="1"/>
  <c r="AG54" i="13"/>
  <c r="AF65" i="13"/>
  <c r="W8" i="3"/>
  <c r="X7" i="3"/>
  <c r="Z7" i="3" s="1"/>
  <c r="E89" i="13"/>
  <c r="E90" i="13" s="1"/>
  <c r="AG101" i="13"/>
  <c r="AF134" i="13"/>
  <c r="AF135" i="13" s="1"/>
  <c r="AK131" i="17"/>
  <c r="AK126" i="17"/>
  <c r="AK128" i="17" s="1"/>
  <c r="AK129" i="17"/>
  <c r="AH54" i="13" l="1"/>
  <c r="AG65" i="13"/>
  <c r="AH99" i="13"/>
  <c r="AG110" i="13"/>
  <c r="AG179" i="13"/>
  <c r="AG180" i="13" s="1"/>
  <c r="AH146" i="13"/>
  <c r="AH144" i="13"/>
  <c r="AG155" i="13"/>
  <c r="N34" i="3"/>
  <c r="F71" i="13"/>
  <c r="F26" i="13"/>
  <c r="Q27" i="17"/>
  <c r="Q28" i="17" s="1"/>
  <c r="AG134" i="13"/>
  <c r="AG135" i="13" s="1"/>
  <c r="AH101" i="13"/>
  <c r="E187" i="13"/>
  <c r="AH9" i="13"/>
  <c r="AG20" i="13"/>
  <c r="M32" i="3"/>
  <c r="K33" i="3"/>
  <c r="U90" i="17"/>
  <c r="U91" i="17"/>
  <c r="AE187" i="13"/>
  <c r="P34" i="3" s="1" a="1"/>
  <c r="P34" i="3" s="1"/>
  <c r="S35" i="3"/>
  <c r="Y35" i="3"/>
  <c r="T35" i="3"/>
  <c r="E35" i="3"/>
  <c r="G35" i="3"/>
  <c r="H35" i="3" s="1"/>
  <c r="C36" i="3"/>
  <c r="F35" i="3"/>
  <c r="O35" i="3" s="1"/>
  <c r="I35" i="3"/>
  <c r="J35" i="3" s="1"/>
  <c r="U35" i="3"/>
  <c r="AF89" i="13"/>
  <c r="AF90" i="13" s="1"/>
  <c r="AF187" i="13" s="1"/>
  <c r="AG56" i="13"/>
  <c r="W9" i="3"/>
  <c r="X8" i="3"/>
  <c r="Z8" i="3" s="1"/>
  <c r="U58" i="17"/>
  <c r="U59" i="17"/>
  <c r="U60" i="17" s="1"/>
  <c r="U117" i="13" s="1"/>
  <c r="L35" i="3" l="1"/>
  <c r="I36" i="3"/>
  <c r="J36" i="3" s="1"/>
  <c r="G36" i="3"/>
  <c r="H36" i="3" s="1"/>
  <c r="L36" i="3" s="1"/>
  <c r="Y36" i="3"/>
  <c r="F36" i="3"/>
  <c r="O36" i="3" s="1"/>
  <c r="T36" i="3"/>
  <c r="S36" i="3"/>
  <c r="C37" i="3"/>
  <c r="E36" i="3"/>
  <c r="AI144" i="13"/>
  <c r="AH155" i="13"/>
  <c r="M33" i="3"/>
  <c r="K34" i="3"/>
  <c r="AI146" i="13"/>
  <c r="AI54" i="13"/>
  <c r="AH65" i="13"/>
  <c r="P8" i="3" a="1"/>
  <c r="P8" i="3" s="1"/>
  <c r="O9" i="3"/>
  <c r="N9" i="3"/>
  <c r="AI99" i="13"/>
  <c r="AH110" i="13"/>
  <c r="AH134" i="13" s="1"/>
  <c r="AH135" i="13" s="1"/>
  <c r="W10" i="3"/>
  <c r="X9" i="3"/>
  <c r="Z9" i="3" s="1"/>
  <c r="F118" i="13"/>
  <c r="Q72" i="13"/>
  <c r="F28" i="13"/>
  <c r="F73" i="13"/>
  <c r="F91" i="13" s="1"/>
  <c r="F27" i="13"/>
  <c r="F163" i="13"/>
  <c r="Q29" i="17"/>
  <c r="R23" i="17" s="1"/>
  <c r="AG89" i="13"/>
  <c r="AG90" i="13" s="1"/>
  <c r="AG187" i="13" s="1"/>
  <c r="AH56" i="13"/>
  <c r="P35" i="3" a="1"/>
  <c r="P35" i="3" s="1"/>
  <c r="N35" i="3"/>
  <c r="U36" i="3"/>
  <c r="AI9" i="13"/>
  <c r="AH20" i="13"/>
  <c r="U61" i="17"/>
  <c r="V55" i="17" s="1"/>
  <c r="U92" i="17"/>
  <c r="AI101" i="13"/>
  <c r="F179" i="13" l="1"/>
  <c r="F180" i="13" s="1"/>
  <c r="F181" i="13"/>
  <c r="AJ9" i="13"/>
  <c r="AI20" i="13"/>
  <c r="R26" i="17"/>
  <c r="R27" i="17"/>
  <c r="R28" i="17" s="1"/>
  <c r="W11" i="3"/>
  <c r="X10" i="3"/>
  <c r="Z10" i="3" s="1"/>
  <c r="M34" i="3"/>
  <c r="K35" i="3"/>
  <c r="AJ144" i="13"/>
  <c r="AI155" i="13"/>
  <c r="AJ101" i="13"/>
  <c r="U162" i="13"/>
  <c r="U93" i="17"/>
  <c r="V87" i="17" s="1"/>
  <c r="AH179" i="13"/>
  <c r="AH180" i="13" s="1"/>
  <c r="U37" i="3"/>
  <c r="AJ99" i="13"/>
  <c r="AI110" i="13"/>
  <c r="AI134" i="13" s="1"/>
  <c r="AI135" i="13" s="1"/>
  <c r="AI179" i="13"/>
  <c r="AI180" i="13" s="1"/>
  <c r="AJ146" i="13"/>
  <c r="F89" i="13"/>
  <c r="F90" i="13" s="1"/>
  <c r="P36" i="3" a="1"/>
  <c r="P36" i="3" s="1"/>
  <c r="N36" i="3"/>
  <c r="AJ54" i="13"/>
  <c r="AI65" i="13"/>
  <c r="V58" i="17"/>
  <c r="V59" i="17"/>
  <c r="V60" i="17" s="1"/>
  <c r="V117" i="13" s="1"/>
  <c r="AI56" i="13"/>
  <c r="AH89" i="13"/>
  <c r="AH90" i="13" s="1"/>
  <c r="F134" i="13"/>
  <c r="F135" i="13" s="1"/>
  <c r="F136" i="13"/>
  <c r="F188" i="13" s="1"/>
  <c r="T8" i="3"/>
  <c r="S8" i="3"/>
  <c r="C38" i="3"/>
  <c r="F37" i="3"/>
  <c r="O37" i="3" s="1"/>
  <c r="S37" i="3"/>
  <c r="G37" i="3"/>
  <c r="H37" i="3" s="1"/>
  <c r="L37" i="3" s="1"/>
  <c r="Y37" i="3"/>
  <c r="T37" i="3"/>
  <c r="I37" i="3"/>
  <c r="J37" i="3" s="1"/>
  <c r="E37" i="3"/>
  <c r="AH187" i="13" l="1"/>
  <c r="AK99" i="13"/>
  <c r="AJ110" i="13"/>
  <c r="AJ134" i="13" s="1"/>
  <c r="AJ135" i="13" s="1"/>
  <c r="AK101" i="13"/>
  <c r="AK54" i="13"/>
  <c r="AJ65" i="13"/>
  <c r="V90" i="17"/>
  <c r="V91" i="17"/>
  <c r="M35" i="3"/>
  <c r="K36" i="3"/>
  <c r="AK9" i="13"/>
  <c r="AJ20" i="13"/>
  <c r="AI89" i="13"/>
  <c r="AI90" i="13" s="1"/>
  <c r="AI187" i="13" s="1"/>
  <c r="AJ56" i="13"/>
  <c r="G118" i="13"/>
  <c r="G73" i="13"/>
  <c r="R72" i="13"/>
  <c r="G27" i="13"/>
  <c r="G28" i="13"/>
  <c r="G163" i="13"/>
  <c r="W12" i="3"/>
  <c r="X11" i="3"/>
  <c r="Z11" i="3" s="1"/>
  <c r="I38" i="3"/>
  <c r="J38" i="3" s="1"/>
  <c r="S38" i="3"/>
  <c r="T38" i="3"/>
  <c r="G38" i="3"/>
  <c r="H38" i="3" s="1"/>
  <c r="C39" i="3"/>
  <c r="F38" i="3"/>
  <c r="O38" i="3" s="1"/>
  <c r="E38" i="3"/>
  <c r="Y38" i="3"/>
  <c r="F187" i="13"/>
  <c r="AK144" i="13"/>
  <c r="AJ155" i="13"/>
  <c r="AJ179" i="13" s="1"/>
  <c r="AJ180" i="13" s="1"/>
  <c r="R29" i="17"/>
  <c r="S23" i="17" s="1"/>
  <c r="N37" i="3"/>
  <c r="P37" i="3" a="1"/>
  <c r="P37" i="3" s="1"/>
  <c r="V61" i="17"/>
  <c r="W55" i="17" s="1"/>
  <c r="AK146" i="13"/>
  <c r="U38" i="3"/>
  <c r="G71" i="13"/>
  <c r="G26" i="13"/>
  <c r="L38" i="3" l="1"/>
  <c r="P38" i="3" a="1"/>
  <c r="P38" i="3" s="1"/>
  <c r="N38" i="3"/>
  <c r="G91" i="13"/>
  <c r="G89" i="13"/>
  <c r="G90" i="13" s="1"/>
  <c r="W13" i="3"/>
  <c r="X12" i="3"/>
  <c r="Z12" i="3" s="1"/>
  <c r="U39" i="3"/>
  <c r="G134" i="13"/>
  <c r="G135" i="13" s="1"/>
  <c r="G136" i="13"/>
  <c r="S26" i="17"/>
  <c r="S27" i="17"/>
  <c r="S28" i="17" s="1"/>
  <c r="AJ89" i="13"/>
  <c r="AJ90" i="13" s="1"/>
  <c r="AJ187" i="13" s="1"/>
  <c r="AK56" i="13"/>
  <c r="AL99" i="13"/>
  <c r="AK110" i="13"/>
  <c r="AK134" i="13" s="1"/>
  <c r="AK135" i="13" s="1"/>
  <c r="AL146" i="13"/>
  <c r="K37" i="3"/>
  <c r="M36" i="3"/>
  <c r="C40" i="3"/>
  <c r="F39" i="3"/>
  <c r="O39" i="3" s="1"/>
  <c r="I39" i="3"/>
  <c r="J39" i="3" s="1"/>
  <c r="T39" i="3"/>
  <c r="S39" i="3"/>
  <c r="G39" i="3"/>
  <c r="H39" i="3" s="1"/>
  <c r="Y39" i="3"/>
  <c r="E39" i="3"/>
  <c r="AL144" i="13"/>
  <c r="AK155" i="13"/>
  <c r="G179" i="13"/>
  <c r="G180" i="13" s="1"/>
  <c r="G181" i="13"/>
  <c r="AL54" i="13"/>
  <c r="AK65" i="13"/>
  <c r="AL9" i="13"/>
  <c r="AK20" i="13"/>
  <c r="W58" i="17"/>
  <c r="W59" i="17"/>
  <c r="P9" i="3" a="1"/>
  <c r="P9" i="3" s="1"/>
  <c r="O10" i="3"/>
  <c r="N10" i="3"/>
  <c r="AL101" i="13"/>
  <c r="V92" i="17"/>
  <c r="G188" i="13" l="1"/>
  <c r="L39" i="3"/>
  <c r="U40" i="3"/>
  <c r="AM146" i="13"/>
  <c r="AL179" i="13"/>
  <c r="AL180" i="13" s="1"/>
  <c r="AK179" i="13"/>
  <c r="AK180" i="13" s="1"/>
  <c r="H118" i="13"/>
  <c r="H73" i="13"/>
  <c r="S72" i="13"/>
  <c r="H27" i="13"/>
  <c r="H28" i="13"/>
  <c r="H163" i="13"/>
  <c r="W14" i="3"/>
  <c r="X13" i="3"/>
  <c r="Z13" i="3" s="1"/>
  <c r="V162" i="13"/>
  <c r="V93" i="17"/>
  <c r="W87" i="17" s="1"/>
  <c r="AK89" i="13"/>
  <c r="AK90" i="13" s="1"/>
  <c r="AL56" i="13"/>
  <c r="AM144" i="13"/>
  <c r="AL155" i="13"/>
  <c r="AL181" i="13" s="1"/>
  <c r="G187" i="13"/>
  <c r="N39" i="3"/>
  <c r="P39" i="3" a="1"/>
  <c r="P39" i="3" s="1"/>
  <c r="AM101" i="13"/>
  <c r="AM9" i="13"/>
  <c r="AL20" i="13"/>
  <c r="S29" i="17"/>
  <c r="T23" i="17" s="1"/>
  <c r="AM54" i="13"/>
  <c r="AL65" i="13"/>
  <c r="T40" i="3"/>
  <c r="E40" i="3"/>
  <c r="C41" i="3"/>
  <c r="F40" i="3"/>
  <c r="O40" i="3" s="1"/>
  <c r="S40" i="3"/>
  <c r="Y40" i="3"/>
  <c r="G40" i="3"/>
  <c r="H40" i="3" s="1"/>
  <c r="I40" i="3"/>
  <c r="J40" i="3" s="1"/>
  <c r="H71" i="13"/>
  <c r="H26" i="13"/>
  <c r="T9" i="3"/>
  <c r="S9" i="3"/>
  <c r="AM99" i="13"/>
  <c r="AL110" i="13"/>
  <c r="AL134" i="13" s="1"/>
  <c r="AL135" i="13" s="1"/>
  <c r="W60" i="17"/>
  <c r="K38" i="3"/>
  <c r="M37" i="3"/>
  <c r="L40" i="3" l="1"/>
  <c r="T26" i="17"/>
  <c r="T27" i="17"/>
  <c r="T28" i="17" s="1"/>
  <c r="M38" i="3"/>
  <c r="K39" i="3"/>
  <c r="Y41" i="3"/>
  <c r="S41" i="3"/>
  <c r="F41" i="3"/>
  <c r="C42" i="3"/>
  <c r="E41" i="3"/>
  <c r="I41" i="3"/>
  <c r="J41" i="3" s="1"/>
  <c r="T41" i="3"/>
  <c r="G41" i="3"/>
  <c r="H41" i="3" s="1"/>
  <c r="L41" i="3" s="1"/>
  <c r="AN144" i="13"/>
  <c r="AM155" i="13"/>
  <c r="AM181" i="13" s="1"/>
  <c r="H179" i="13"/>
  <c r="H180" i="13" s="1"/>
  <c r="H181" i="13"/>
  <c r="AN101" i="13"/>
  <c r="AL136" i="13"/>
  <c r="AL89" i="13"/>
  <c r="AL90" i="13" s="1"/>
  <c r="AL187" i="13" s="1"/>
  <c r="AM56" i="13"/>
  <c r="AM91" i="13" s="1"/>
  <c r="AN99" i="13"/>
  <c r="AM110" i="13"/>
  <c r="AM136" i="13" s="1"/>
  <c r="AN54" i="13"/>
  <c r="AM65" i="13"/>
  <c r="AK187" i="13"/>
  <c r="W15" i="3"/>
  <c r="X14" i="3"/>
  <c r="Z14" i="3" s="1"/>
  <c r="W117" i="13"/>
  <c r="W61" i="17"/>
  <c r="X55" i="17" s="1"/>
  <c r="W90" i="17"/>
  <c r="W91" i="17"/>
  <c r="N40" i="3"/>
  <c r="P40" i="3" a="1"/>
  <c r="P40" i="3" s="1"/>
  <c r="AN9" i="13"/>
  <c r="AM20" i="13"/>
  <c r="AN146" i="13"/>
  <c r="H89" i="13"/>
  <c r="H90" i="13" s="1"/>
  <c r="H91" i="13"/>
  <c r="U41" i="3"/>
  <c r="AL91" i="13"/>
  <c r="P10" i="3" a="1"/>
  <c r="P10" i="3" s="1"/>
  <c r="N11" i="3"/>
  <c r="O11" i="3"/>
  <c r="H134" i="13"/>
  <c r="H135" i="13" s="1"/>
  <c r="H136" i="13"/>
  <c r="AM179" i="13" l="1"/>
  <c r="AM180" i="13" s="1"/>
  <c r="H188" i="13"/>
  <c r="H187" i="13"/>
  <c r="AO101" i="13"/>
  <c r="AN134" i="13"/>
  <c r="AN135" i="13" s="1"/>
  <c r="K40" i="3"/>
  <c r="M39" i="3"/>
  <c r="S10" i="3"/>
  <c r="T10" i="3"/>
  <c r="AM134" i="13"/>
  <c r="AM135" i="13" s="1"/>
  <c r="AL188" i="13"/>
  <c r="AO9" i="13"/>
  <c r="AN20" i="13"/>
  <c r="I163" i="13"/>
  <c r="I118" i="13"/>
  <c r="T72" i="13"/>
  <c r="I73" i="13"/>
  <c r="I28" i="13"/>
  <c r="I27" i="13"/>
  <c r="U42" i="3"/>
  <c r="W16" i="3"/>
  <c r="X15" i="3"/>
  <c r="Z15" i="3" s="1"/>
  <c r="AN136" i="13"/>
  <c r="AO99" i="13"/>
  <c r="AN110" i="13"/>
  <c r="P41" i="3" a="1"/>
  <c r="P41" i="3" s="1"/>
  <c r="N41" i="3"/>
  <c r="T29" i="17"/>
  <c r="U23" i="17" s="1"/>
  <c r="P11" i="3" a="1"/>
  <c r="P11" i="3" s="1"/>
  <c r="O12" i="3"/>
  <c r="N12" i="3"/>
  <c r="AO54" i="13"/>
  <c r="AN65" i="13"/>
  <c r="AO144" i="13"/>
  <c r="AN155" i="13"/>
  <c r="AN179" i="13" s="1"/>
  <c r="AN180" i="13" s="1"/>
  <c r="AO146" i="13"/>
  <c r="X58" i="17"/>
  <c r="X59" i="17"/>
  <c r="X60" i="17" s="1"/>
  <c r="X117" i="13" s="1"/>
  <c r="AM188" i="13"/>
  <c r="G42" i="3"/>
  <c r="H42" i="3" s="1"/>
  <c r="C43" i="3"/>
  <c r="T42" i="3"/>
  <c r="E42" i="3"/>
  <c r="I42" i="3"/>
  <c r="J42" i="3" s="1"/>
  <c r="S42" i="3"/>
  <c r="F42" i="3"/>
  <c r="O42" i="3" s="1"/>
  <c r="Y42" i="3"/>
  <c r="I71" i="13"/>
  <c r="I26" i="13"/>
  <c r="W92" i="17"/>
  <c r="AM89" i="13"/>
  <c r="AM90" i="13" s="1"/>
  <c r="AN56" i="13"/>
  <c r="AN91" i="13" s="1"/>
  <c r="O41" i="3"/>
  <c r="AN181" i="13" l="1"/>
  <c r="AN188" i="13" s="1"/>
  <c r="L42" i="3"/>
  <c r="S43" i="3"/>
  <c r="Y43" i="3"/>
  <c r="T43" i="3"/>
  <c r="E43" i="3"/>
  <c r="F43" i="3"/>
  <c r="G43" i="3"/>
  <c r="H43" i="3" s="1"/>
  <c r="C44" i="3"/>
  <c r="I43" i="3"/>
  <c r="J43" i="3" s="1"/>
  <c r="I89" i="13"/>
  <c r="I90" i="13" s="1"/>
  <c r="I91" i="13"/>
  <c r="AP99" i="13"/>
  <c r="AO110" i="13"/>
  <c r="AO134" i="13" s="1"/>
  <c r="AO135" i="13" s="1"/>
  <c r="I134" i="13"/>
  <c r="I135" i="13" s="1"/>
  <c r="I136" i="13"/>
  <c r="U29" i="17"/>
  <c r="V23" i="17" s="1"/>
  <c r="U26" i="17"/>
  <c r="U27" i="17"/>
  <c r="U28" i="17" s="1"/>
  <c r="W17" i="3"/>
  <c r="X16" i="3"/>
  <c r="Z16" i="3" s="1"/>
  <c r="I179" i="13"/>
  <c r="I180" i="13" s="1"/>
  <c r="I181" i="13"/>
  <c r="M40" i="3"/>
  <c r="K41" i="3"/>
  <c r="AP144" i="13"/>
  <c r="AO155" i="13"/>
  <c r="AO181" i="13" s="1"/>
  <c r="N42" i="3"/>
  <c r="AP54" i="13"/>
  <c r="AO65" i="13"/>
  <c r="U43" i="3"/>
  <c r="AP9" i="13"/>
  <c r="AO20" i="13"/>
  <c r="AP101" i="13"/>
  <c r="S11" i="3"/>
  <c r="T11" i="3"/>
  <c r="AN89" i="13"/>
  <c r="AN90" i="13" s="1"/>
  <c r="AN187" i="13" s="1"/>
  <c r="AO56" i="13"/>
  <c r="AM187" i="13"/>
  <c r="P42" i="3" s="1" a="1"/>
  <c r="P42" i="3" s="1"/>
  <c r="X61" i="17"/>
  <c r="Y55" i="17" s="1"/>
  <c r="W162" i="13"/>
  <c r="W93" i="17"/>
  <c r="X87" i="17" s="1"/>
  <c r="AP146" i="13"/>
  <c r="L43" i="3" l="1"/>
  <c r="AQ9" i="13"/>
  <c r="AP20" i="13"/>
  <c r="I44" i="3"/>
  <c r="J44" i="3" s="1"/>
  <c r="G44" i="3"/>
  <c r="H44" i="3" s="1"/>
  <c r="L44" i="3" s="1"/>
  <c r="C45" i="3"/>
  <c r="F44" i="3"/>
  <c r="O44" i="3" s="1"/>
  <c r="Y44" i="3"/>
  <c r="E44" i="3"/>
  <c r="T44" i="3"/>
  <c r="S44" i="3"/>
  <c r="AO89" i="13"/>
  <c r="AO90" i="13" s="1"/>
  <c r="AP56" i="13"/>
  <c r="AP91" i="13" s="1"/>
  <c r="O43" i="3"/>
  <c r="AP179" i="13"/>
  <c r="AP180" i="13" s="1"/>
  <c r="AQ146" i="13"/>
  <c r="AQ144" i="13"/>
  <c r="AP155" i="13"/>
  <c r="AP181" i="13" s="1"/>
  <c r="W18" i="3"/>
  <c r="X17" i="3"/>
  <c r="Z17" i="3" s="1"/>
  <c r="P43" i="3" a="1"/>
  <c r="P43" i="3" s="1"/>
  <c r="N43" i="3"/>
  <c r="AO179" i="13"/>
  <c r="AO180" i="13" s="1"/>
  <c r="AQ54" i="13"/>
  <c r="AP65" i="13"/>
  <c r="U72" i="13"/>
  <c r="J27" i="13"/>
  <c r="J118" i="13"/>
  <c r="J163" i="13"/>
  <c r="J73" i="13"/>
  <c r="J28" i="13"/>
  <c r="AO136" i="13"/>
  <c r="X90" i="17"/>
  <c r="X91" i="17"/>
  <c r="X92" i="17" s="1"/>
  <c r="X162" i="13" s="1"/>
  <c r="AQ101" i="13"/>
  <c r="AO91" i="13"/>
  <c r="J71" i="13"/>
  <c r="J26" i="13"/>
  <c r="I188" i="13"/>
  <c r="Y58" i="17"/>
  <c r="Y59" i="17"/>
  <c r="Y60" i="17" s="1"/>
  <c r="Y117" i="13" s="1"/>
  <c r="U44" i="3"/>
  <c r="AQ99" i="13"/>
  <c r="AP110" i="13"/>
  <c r="AP136" i="13" s="1"/>
  <c r="M41" i="3"/>
  <c r="K42" i="3"/>
  <c r="V26" i="17"/>
  <c r="V27" i="17"/>
  <c r="V28" i="17" s="1"/>
  <c r="I187" i="13"/>
  <c r="AO187" i="13" l="1"/>
  <c r="AP134" i="13"/>
  <c r="AP135" i="13" s="1"/>
  <c r="AP188" i="13"/>
  <c r="AR146" i="13"/>
  <c r="J134" i="13"/>
  <c r="J135" i="13" s="1"/>
  <c r="J136" i="13"/>
  <c r="V72" i="13"/>
  <c r="K27" i="13"/>
  <c r="K163" i="13"/>
  <c r="K118" i="13"/>
  <c r="K28" i="13"/>
  <c r="K73" i="13"/>
  <c r="AR99" i="13"/>
  <c r="AQ110" i="13"/>
  <c r="AQ136" i="13" s="1"/>
  <c r="J91" i="13"/>
  <c r="J89" i="13"/>
  <c r="J90" i="13" s="1"/>
  <c r="AR54" i="13"/>
  <c r="AQ65" i="13"/>
  <c r="AR144" i="13"/>
  <c r="AQ155" i="13"/>
  <c r="AQ181" i="13" s="1"/>
  <c r="AO188" i="13"/>
  <c r="AR9" i="13"/>
  <c r="AQ20" i="13"/>
  <c r="Y61" i="17"/>
  <c r="Z55" i="17" s="1"/>
  <c r="X93" i="17"/>
  <c r="Y87" i="17" s="1"/>
  <c r="C46" i="3"/>
  <c r="F45" i="3"/>
  <c r="O45" i="3" s="1"/>
  <c r="T45" i="3"/>
  <c r="E45" i="3"/>
  <c r="S45" i="3"/>
  <c r="G45" i="3"/>
  <c r="H45" i="3" s="1"/>
  <c r="Y45" i="3"/>
  <c r="I45" i="3"/>
  <c r="J45" i="3" s="1"/>
  <c r="P12" i="3" a="1"/>
  <c r="P12" i="3" s="1"/>
  <c r="N13" i="3"/>
  <c r="O13" i="3"/>
  <c r="W19" i="3"/>
  <c r="X18" i="3"/>
  <c r="Z18" i="3" s="1"/>
  <c r="AQ56" i="13"/>
  <c r="AP89" i="13"/>
  <c r="AP90" i="13" s="1"/>
  <c r="AP187" i="13" s="1"/>
  <c r="K71" i="13"/>
  <c r="K26" i="13"/>
  <c r="V29" i="17"/>
  <c r="W23" i="17" s="1"/>
  <c r="K43" i="3"/>
  <c r="M42" i="3"/>
  <c r="U45" i="3"/>
  <c r="AR101" i="13"/>
  <c r="J179" i="13"/>
  <c r="J180" i="13" s="1"/>
  <c r="J181" i="13"/>
  <c r="P44" i="3" a="1"/>
  <c r="P44" i="3" s="1"/>
  <c r="N44" i="3"/>
  <c r="AQ179" i="13" l="1"/>
  <c r="AQ180" i="13" s="1"/>
  <c r="AQ134" i="13"/>
  <c r="AQ135" i="13" s="1"/>
  <c r="L45" i="3"/>
  <c r="Z58" i="17"/>
  <c r="Z59" i="17"/>
  <c r="Z60" i="17" s="1"/>
  <c r="Z117" i="13" s="1"/>
  <c r="W20" i="3"/>
  <c r="X19" i="3"/>
  <c r="Z19" i="3" s="1"/>
  <c r="M43" i="3"/>
  <c r="K44" i="3"/>
  <c r="AR56" i="13"/>
  <c r="AQ89" i="13"/>
  <c r="AQ90" i="13" s="1"/>
  <c r="AQ187" i="13" s="1"/>
  <c r="J187" i="13"/>
  <c r="K134" i="13"/>
  <c r="K135" i="13" s="1"/>
  <c r="K136" i="13"/>
  <c r="AS146" i="13"/>
  <c r="AR135" i="13"/>
  <c r="AS99" i="13"/>
  <c r="AR110" i="13"/>
  <c r="AR136" i="13" s="1"/>
  <c r="AS54" i="13"/>
  <c r="AR65" i="13"/>
  <c r="AR91" i="13" s="1"/>
  <c r="W29" i="17"/>
  <c r="X23" i="17" s="1"/>
  <c r="W26" i="17"/>
  <c r="W27" i="17"/>
  <c r="W28" i="17" s="1"/>
  <c r="T12" i="3"/>
  <c r="S12" i="3"/>
  <c r="Y46" i="3"/>
  <c r="I46" i="3"/>
  <c r="J46" i="3" s="1"/>
  <c r="S46" i="3"/>
  <c r="E46" i="3"/>
  <c r="T46" i="3"/>
  <c r="C47" i="3"/>
  <c r="G46" i="3"/>
  <c r="H46" i="3" s="1"/>
  <c r="L46" i="3" s="1"/>
  <c r="F46" i="3"/>
  <c r="O46" i="3" s="1"/>
  <c r="AS144" i="13"/>
  <c r="AR155" i="13"/>
  <c r="AR179" i="13" s="1"/>
  <c r="AR180" i="13" s="1"/>
  <c r="J188" i="13"/>
  <c r="K179" i="13"/>
  <c r="K180" i="13" s="1"/>
  <c r="K181" i="13"/>
  <c r="U46" i="3"/>
  <c r="N45" i="3"/>
  <c r="P45" i="3" a="1"/>
  <c r="P45" i="3" s="1"/>
  <c r="AS9" i="13"/>
  <c r="AR20" i="13"/>
  <c r="AQ91" i="13"/>
  <c r="AQ188" i="13" s="1"/>
  <c r="AS101" i="13"/>
  <c r="AR134" i="13"/>
  <c r="K91" i="13"/>
  <c r="K89" i="13"/>
  <c r="K90" i="13" s="1"/>
  <c r="Y90" i="17"/>
  <c r="Y91" i="17"/>
  <c r="P46" i="3" l="1" a="1"/>
  <c r="P46" i="3" s="1"/>
  <c r="N46" i="3"/>
  <c r="K45" i="3"/>
  <c r="M44" i="3"/>
  <c r="AT144" i="13"/>
  <c r="AS155" i="13"/>
  <c r="AS181" i="13" s="1"/>
  <c r="AT9" i="13"/>
  <c r="AS20" i="13"/>
  <c r="AR181" i="13"/>
  <c r="AR188" i="13" s="1"/>
  <c r="W21" i="3"/>
  <c r="X20" i="3"/>
  <c r="Z20" i="3" s="1"/>
  <c r="AT101" i="13"/>
  <c r="P13" i="3" a="1"/>
  <c r="P13" i="3" s="1"/>
  <c r="N14" i="3"/>
  <c r="O14" i="3"/>
  <c r="X26" i="17"/>
  <c r="X27" i="17"/>
  <c r="AT146" i="13"/>
  <c r="K187" i="13"/>
  <c r="K188" i="13"/>
  <c r="AT54" i="13"/>
  <c r="AS65" i="13"/>
  <c r="U47" i="3"/>
  <c r="G47" i="3"/>
  <c r="H47" i="3" s="1"/>
  <c r="F47" i="3"/>
  <c r="O47" i="3" s="1"/>
  <c r="T47" i="3"/>
  <c r="E47" i="3"/>
  <c r="I47" i="3"/>
  <c r="J47" i="3" s="1"/>
  <c r="Y47" i="3"/>
  <c r="S47" i="3"/>
  <c r="W72" i="13"/>
  <c r="L27" i="13"/>
  <c r="L28" i="13"/>
  <c r="L73" i="13"/>
  <c r="L163" i="13"/>
  <c r="L118" i="13"/>
  <c r="AT99" i="13"/>
  <c r="AS110" i="13"/>
  <c r="AS136" i="13" s="1"/>
  <c r="Z61" i="17"/>
  <c r="AA55" i="17" s="1"/>
  <c r="Y92" i="17"/>
  <c r="L71" i="13"/>
  <c r="L26" i="13"/>
  <c r="AS56" i="13"/>
  <c r="AR89" i="13"/>
  <c r="AR90" i="13" s="1"/>
  <c r="AR187" i="13" s="1"/>
  <c r="AS179" i="13" l="1"/>
  <c r="AS180" i="13" s="1"/>
  <c r="L47" i="3"/>
  <c r="AA58" i="17"/>
  <c r="AA59" i="17"/>
  <c r="AA60" i="17" s="1"/>
  <c r="AA117" i="13" s="1"/>
  <c r="AA136" i="13" s="1"/>
  <c r="AS89" i="13"/>
  <c r="AS90" i="13" s="1"/>
  <c r="AT56" i="13"/>
  <c r="AT91" i="13" s="1"/>
  <c r="X28" i="17"/>
  <c r="M26" i="13"/>
  <c r="M71" i="13"/>
  <c r="L89" i="13"/>
  <c r="L90" i="13" s="1"/>
  <c r="L91" i="13"/>
  <c r="L179" i="13"/>
  <c r="L180" i="13" s="1"/>
  <c r="L181" i="13"/>
  <c r="N47" i="3"/>
  <c r="P47" i="3" a="1"/>
  <c r="P47" i="3" s="1"/>
  <c r="AS91" i="13"/>
  <c r="AS188" i="13" s="1"/>
  <c r="W22" i="3"/>
  <c r="X21" i="3"/>
  <c r="Z21" i="3" s="1"/>
  <c r="Y162" i="13"/>
  <c r="Y93" i="17"/>
  <c r="Z87" i="17" s="1"/>
  <c r="K46" i="3"/>
  <c r="M45" i="3"/>
  <c r="L134" i="13"/>
  <c r="L135" i="13" s="1"/>
  <c r="L136" i="13"/>
  <c r="AU54" i="13"/>
  <c r="AT65" i="13"/>
  <c r="AU146" i="13"/>
  <c r="AS134" i="13"/>
  <c r="AS135" i="13" s="1"/>
  <c r="P14" i="3" a="1"/>
  <c r="P14" i="3" s="1"/>
  <c r="N15" i="3"/>
  <c r="O15" i="3"/>
  <c r="T13" i="3"/>
  <c r="S13" i="3"/>
  <c r="AU9" i="13"/>
  <c r="AT20" i="13"/>
  <c r="AU99" i="13"/>
  <c r="AT110" i="13"/>
  <c r="AT134" i="13" s="1"/>
  <c r="AT135" i="13" s="1"/>
  <c r="AU101" i="13"/>
  <c r="AU144" i="13"/>
  <c r="AT155" i="13"/>
  <c r="AT181" i="13" s="1"/>
  <c r="AT136" i="13" l="1"/>
  <c r="AV99" i="13"/>
  <c r="AU110" i="13"/>
  <c r="AU136" i="13" s="1"/>
  <c r="W23" i="3"/>
  <c r="X22" i="3"/>
  <c r="Z22" i="3" s="1"/>
  <c r="AT179" i="13"/>
  <c r="AT180" i="13" s="1"/>
  <c r="K47" i="3"/>
  <c r="M47" i="3" s="1"/>
  <c r="M46" i="3"/>
  <c r="Z90" i="17"/>
  <c r="Z91" i="17"/>
  <c r="Z92" i="17" s="1"/>
  <c r="Z162" i="13" s="1"/>
  <c r="AT188" i="13"/>
  <c r="X72" i="13"/>
  <c r="M27" i="13"/>
  <c r="M163" i="13"/>
  <c r="M73" i="13"/>
  <c r="M28" i="13"/>
  <c r="M118" i="13"/>
  <c r="X29" i="17"/>
  <c r="Y23" i="17" s="1"/>
  <c r="AV146" i="13"/>
  <c r="AS187" i="13"/>
  <c r="AU134" i="13"/>
  <c r="AU135" i="13" s="1"/>
  <c r="AV101" i="13"/>
  <c r="AV54" i="13"/>
  <c r="AU65" i="13"/>
  <c r="L188" i="13"/>
  <c r="AA61" i="17"/>
  <c r="AB55" i="17" s="1"/>
  <c r="M91" i="13"/>
  <c r="M89" i="13"/>
  <c r="M90" i="13" s="1"/>
  <c r="AV144" i="13"/>
  <c r="AU155" i="13"/>
  <c r="AU181" i="13" s="1"/>
  <c r="S14" i="3"/>
  <c r="T14" i="3"/>
  <c r="AT89" i="13"/>
  <c r="AT90" i="13" s="1"/>
  <c r="AU56" i="13"/>
  <c r="AV9" i="13"/>
  <c r="AU20" i="13"/>
  <c r="L187" i="13"/>
  <c r="AU91" i="13" l="1"/>
  <c r="AU188" i="13"/>
  <c r="AB58" i="17"/>
  <c r="AB60" i="17" s="1"/>
  <c r="AB117" i="13" s="1"/>
  <c r="AB136" i="13" s="1"/>
  <c r="Y26" i="17"/>
  <c r="Y27" i="17"/>
  <c r="Y28" i="17" s="1"/>
  <c r="Y29" i="17" s="1"/>
  <c r="Z23" i="17" s="1"/>
  <c r="AW9" i="13"/>
  <c r="AV20" i="13"/>
  <c r="M134" i="13"/>
  <c r="M135" i="13" s="1"/>
  <c r="M136" i="13"/>
  <c r="Z93" i="17"/>
  <c r="AA87" i="17" s="1"/>
  <c r="M179" i="13"/>
  <c r="M180" i="13" s="1"/>
  <c r="M181" i="13"/>
  <c r="AV179" i="13"/>
  <c r="AV180" i="13" s="1"/>
  <c r="AW146" i="13"/>
  <c r="P15" i="3" a="1"/>
  <c r="P15" i="3" s="1"/>
  <c r="N16" i="3"/>
  <c r="O16" i="3"/>
  <c r="AW144" i="13"/>
  <c r="AV155" i="13"/>
  <c r="AV181" i="13" s="1"/>
  <c r="AU179" i="13"/>
  <c r="AU180" i="13" s="1"/>
  <c r="AW99" i="13"/>
  <c r="AV110" i="13"/>
  <c r="AV134" i="13" s="1"/>
  <c r="AV135" i="13" s="1"/>
  <c r="W24" i="3"/>
  <c r="X23" i="3"/>
  <c r="Z23" i="3" s="1"/>
  <c r="AW54" i="13"/>
  <c r="AV65" i="13"/>
  <c r="AU89" i="13"/>
  <c r="AU90" i="13" s="1"/>
  <c r="AV56" i="13"/>
  <c r="AV91" i="13" s="1"/>
  <c r="AT187" i="13"/>
  <c r="M188" i="13"/>
  <c r="AW101" i="13"/>
  <c r="M187" i="13" l="1"/>
  <c r="Z26" i="17"/>
  <c r="Z27" i="17"/>
  <c r="Z28" i="17" s="1"/>
  <c r="P16" i="3" a="1"/>
  <c r="P16" i="3" s="1"/>
  <c r="O17" i="3"/>
  <c r="N17" i="3"/>
  <c r="AW134" i="13"/>
  <c r="AW135" i="13" s="1"/>
  <c r="AX101" i="13"/>
  <c r="T15" i="3"/>
  <c r="S15" i="3"/>
  <c r="AX146" i="13"/>
  <c r="W25" i="3"/>
  <c r="X24" i="3"/>
  <c r="Z24" i="3" s="1"/>
  <c r="AV136" i="13"/>
  <c r="AV188" i="13" s="1"/>
  <c r="AW136" i="13"/>
  <c r="AX99" i="13"/>
  <c r="AW110" i="13"/>
  <c r="AA90" i="17"/>
  <c r="AA91" i="17"/>
  <c r="AA92" i="17" s="1"/>
  <c r="AA162" i="13" s="1"/>
  <c r="AA181" i="13" s="1"/>
  <c r="AX9" i="13"/>
  <c r="AW20" i="13"/>
  <c r="AX144" i="13"/>
  <c r="AW155" i="13"/>
  <c r="AW181" i="13" s="1"/>
  <c r="AX54" i="13"/>
  <c r="AW65" i="13"/>
  <c r="AB61" i="17"/>
  <c r="AC55" i="17" s="1"/>
  <c r="Y72" i="13"/>
  <c r="N27" i="13"/>
  <c r="N73" i="13"/>
  <c r="N163" i="13"/>
  <c r="N118" i="13"/>
  <c r="N28" i="13"/>
  <c r="AV89" i="13"/>
  <c r="AV90" i="13" s="1"/>
  <c r="AV187" i="13" s="1"/>
  <c r="AW56" i="13"/>
  <c r="AU187" i="13"/>
  <c r="N26" i="13"/>
  <c r="N71" i="13"/>
  <c r="AW91" i="13" l="1"/>
  <c r="AW188" i="13" s="1"/>
  <c r="N134" i="13"/>
  <c r="N135" i="13" s="1"/>
  <c r="N136" i="13"/>
  <c r="AY9" i="13"/>
  <c r="AX20" i="13"/>
  <c r="AY101" i="13"/>
  <c r="AX91" i="13"/>
  <c r="AY54" i="13"/>
  <c r="AX65" i="13"/>
  <c r="N179" i="13"/>
  <c r="N180" i="13" s="1"/>
  <c r="N181" i="13"/>
  <c r="N91" i="13"/>
  <c r="N188" i="13" s="1"/>
  <c r="N89" i="13"/>
  <c r="N90" i="13" s="1"/>
  <c r="N187" i="13" s="1"/>
  <c r="W26" i="3"/>
  <c r="X25" i="3"/>
  <c r="Z25" i="3" s="1"/>
  <c r="AA93" i="17"/>
  <c r="AB87" i="17" s="1"/>
  <c r="AY146" i="13"/>
  <c r="T16" i="3"/>
  <c r="S16" i="3"/>
  <c r="AY144" i="13"/>
  <c r="AX155" i="13"/>
  <c r="AX179" i="13" s="1"/>
  <c r="AX180" i="13" s="1"/>
  <c r="AW179" i="13"/>
  <c r="AW180" i="13" s="1"/>
  <c r="Z72" i="13"/>
  <c r="O27" i="13"/>
  <c r="O28" i="13"/>
  <c r="O163" i="13"/>
  <c r="O118" i="13"/>
  <c r="O73" i="13"/>
  <c r="O71" i="13"/>
  <c r="O26" i="13"/>
  <c r="AW89" i="13"/>
  <c r="AW90" i="13" s="1"/>
  <c r="AW187" i="13" s="1"/>
  <c r="AX56" i="13"/>
  <c r="AC58" i="17"/>
  <c r="AC60" i="17" s="1"/>
  <c r="AC117" i="13" s="1"/>
  <c r="AC136" i="13" s="1"/>
  <c r="AY99" i="13"/>
  <c r="AX110" i="13"/>
  <c r="AX136" i="13" s="1"/>
  <c r="Z29" i="17"/>
  <c r="AA23" i="17" s="1"/>
  <c r="AX181" i="13" l="1"/>
  <c r="AX134" i="13"/>
  <c r="AX135" i="13" s="1"/>
  <c r="O179" i="13"/>
  <c r="O180" i="13" s="1"/>
  <c r="O181" i="13"/>
  <c r="AA26" i="17"/>
  <c r="AA27" i="17"/>
  <c r="AA28" i="17" s="1"/>
  <c r="AA29" i="17" s="1"/>
  <c r="AB23" i="17" s="1"/>
  <c r="AY179" i="13"/>
  <c r="AY180" i="13" s="1"/>
  <c r="AZ146" i="13"/>
  <c r="AZ9" i="13"/>
  <c r="AZ20" i="13" s="1"/>
  <c r="AY20" i="13"/>
  <c r="AZ144" i="13"/>
  <c r="AY155" i="13"/>
  <c r="AY181" i="13" s="1"/>
  <c r="O134" i="13"/>
  <c r="O135" i="13" s="1"/>
  <c r="O136" i="13"/>
  <c r="W27" i="3"/>
  <c r="X26" i="3"/>
  <c r="Z26" i="3" s="1"/>
  <c r="AZ101" i="13"/>
  <c r="AY56" i="13"/>
  <c r="AX89" i="13"/>
  <c r="AX90" i="13" s="1"/>
  <c r="AX187" i="13" s="1"/>
  <c r="AX188" i="13"/>
  <c r="AZ99" i="13"/>
  <c r="AY110" i="13"/>
  <c r="AY134" i="13" s="1"/>
  <c r="AY135" i="13" s="1"/>
  <c r="P17" i="3" a="1"/>
  <c r="P17" i="3" s="1"/>
  <c r="N18" i="3"/>
  <c r="O18" i="3"/>
  <c r="AC61" i="17"/>
  <c r="AD55" i="17" s="1"/>
  <c r="O91" i="13"/>
  <c r="O89" i="13"/>
  <c r="O90" i="13" s="1"/>
  <c r="AB90" i="17"/>
  <c r="AB92" i="17" s="1"/>
  <c r="AB162" i="13" s="1"/>
  <c r="AB181" i="13" s="1"/>
  <c r="AB93" i="17"/>
  <c r="AC87" i="17" s="1"/>
  <c r="AZ54" i="13"/>
  <c r="AY65" i="13"/>
  <c r="AY91" i="13" s="1"/>
  <c r="O188" i="13" l="1"/>
  <c r="O187" i="13"/>
  <c r="AY136" i="13"/>
  <c r="AY188" i="13" s="1"/>
  <c r="AB26" i="17"/>
  <c r="AZ110" i="13"/>
  <c r="AZ134" i="13" s="1"/>
  <c r="AZ135" i="13" s="1"/>
  <c r="W28" i="3"/>
  <c r="X27" i="3"/>
  <c r="Z27" i="3" s="1"/>
  <c r="AD58" i="17"/>
  <c r="AD60" i="17" s="1"/>
  <c r="AD117" i="13" s="1"/>
  <c r="AD136" i="13" s="1"/>
  <c r="AZ65" i="13"/>
  <c r="P18" i="3" a="1"/>
  <c r="P18" i="3" s="1"/>
  <c r="O19" i="3"/>
  <c r="N19" i="3"/>
  <c r="AZ56" i="13"/>
  <c r="AY89" i="13"/>
  <c r="AY90" i="13" s="1"/>
  <c r="AY187" i="13" s="1"/>
  <c r="AZ155" i="13"/>
  <c r="AZ181" i="13" s="1"/>
  <c r="P71" i="13"/>
  <c r="P26" i="13"/>
  <c r="T17" i="3"/>
  <c r="S17" i="3"/>
  <c r="AC90" i="17"/>
  <c r="AC92" i="17" s="1"/>
  <c r="AC162" i="13" s="1"/>
  <c r="AC181" i="13" s="1"/>
  <c r="P163" i="13"/>
  <c r="P118" i="13"/>
  <c r="P73" i="13"/>
  <c r="P27" i="13"/>
  <c r="P28" i="13"/>
  <c r="AA72" i="13"/>
  <c r="AA91" i="13" s="1"/>
  <c r="AA188" i="13" s="1"/>
  <c r="AZ91" i="13" l="1"/>
  <c r="S18" i="3"/>
  <c r="T18" i="3"/>
  <c r="AZ179" i="13"/>
  <c r="AZ180" i="13" s="1"/>
  <c r="P89" i="13"/>
  <c r="P90" i="13" s="1"/>
  <c r="P91" i="13"/>
  <c r="W29" i="3"/>
  <c r="X28" i="3"/>
  <c r="Z28" i="3" s="1"/>
  <c r="AC93" i="17"/>
  <c r="AD87" i="17" s="1"/>
  <c r="AZ136" i="13"/>
  <c r="AZ188" i="13" s="1"/>
  <c r="P134" i="13"/>
  <c r="P135" i="13" s="1"/>
  <c r="P136" i="13"/>
  <c r="AB28" i="17"/>
  <c r="Q71" i="13"/>
  <c r="Q26" i="13"/>
  <c r="P179" i="13"/>
  <c r="P180" i="13" s="1"/>
  <c r="P181" i="13"/>
  <c r="AZ89" i="13"/>
  <c r="AZ90" i="13" s="1"/>
  <c r="AD61" i="17"/>
  <c r="AE55" i="17" s="1"/>
  <c r="AZ187" i="13" l="1"/>
  <c r="AD90" i="17"/>
  <c r="AD92" i="17" s="1"/>
  <c r="AD162" i="13" s="1"/>
  <c r="AD181" i="13" s="1"/>
  <c r="W30" i="3"/>
  <c r="X29" i="3"/>
  <c r="Z29" i="3" s="1"/>
  <c r="Q91" i="13"/>
  <c r="Q89" i="13"/>
  <c r="Q90" i="13" s="1"/>
  <c r="Q163" i="13"/>
  <c r="Q118" i="13"/>
  <c r="Q73" i="13"/>
  <c r="AB72" i="13"/>
  <c r="AB91" i="13" s="1"/>
  <c r="AB188" i="13" s="1"/>
  <c r="Q28" i="13"/>
  <c r="Q27" i="13"/>
  <c r="AB29" i="17"/>
  <c r="AC23" i="17" s="1"/>
  <c r="AE58" i="17"/>
  <c r="AE60" i="17" s="1"/>
  <c r="AE117" i="13" s="1"/>
  <c r="AE136" i="13" s="1"/>
  <c r="AE61" i="17"/>
  <c r="AF55" i="17" s="1"/>
  <c r="P188" i="13"/>
  <c r="P187" i="13"/>
  <c r="AF58" i="17" l="1"/>
  <c r="AF60" i="17" s="1"/>
  <c r="AF117" i="13" s="1"/>
  <c r="AF136" i="13" s="1"/>
  <c r="W31" i="3"/>
  <c r="X30" i="3"/>
  <c r="Z30" i="3" s="1"/>
  <c r="Q134" i="13"/>
  <c r="Q135" i="13" s="1"/>
  <c r="Q136" i="13"/>
  <c r="Q179" i="13"/>
  <c r="Q180" i="13" s="1"/>
  <c r="Q181" i="13"/>
  <c r="AC26" i="17"/>
  <c r="P19" i="3" a="1"/>
  <c r="P19" i="3" s="1"/>
  <c r="O20" i="3"/>
  <c r="N20" i="3"/>
  <c r="AD93" i="17"/>
  <c r="AE87" i="17" s="1"/>
  <c r="Q188" i="13" l="1"/>
  <c r="Q187" i="13"/>
  <c r="T19" i="3"/>
  <c r="S19" i="3"/>
  <c r="P20" i="3" a="1"/>
  <c r="P20" i="3" s="1"/>
  <c r="O21" i="3"/>
  <c r="N21" i="3"/>
  <c r="R71" i="13"/>
  <c r="R26" i="13"/>
  <c r="AC28" i="17"/>
  <c r="AE90" i="17"/>
  <c r="AE92" i="17" s="1"/>
  <c r="AE162" i="13" s="1"/>
  <c r="AE181" i="13" s="1"/>
  <c r="W32" i="3"/>
  <c r="X31" i="3"/>
  <c r="Z31" i="3" s="1"/>
  <c r="AF61" i="17"/>
  <c r="AG55" i="17" s="1"/>
  <c r="AE93" i="17" l="1"/>
  <c r="AF87" i="17" s="1"/>
  <c r="AC72" i="13"/>
  <c r="AC91" i="13" s="1"/>
  <c r="AC188" i="13" s="1"/>
  <c r="R27" i="13"/>
  <c r="R118" i="13"/>
  <c r="R73" i="13"/>
  <c r="R89" i="13" s="1"/>
  <c r="R90" i="13" s="1"/>
  <c r="R28" i="13"/>
  <c r="R163" i="13"/>
  <c r="AC29" i="17"/>
  <c r="AD23" i="17" s="1"/>
  <c r="AG58" i="17"/>
  <c r="AG60" i="17" s="1"/>
  <c r="AG117" i="13" s="1"/>
  <c r="AG136" i="13" s="1"/>
  <c r="W33" i="3"/>
  <c r="X32" i="3"/>
  <c r="Z32" i="3" s="1"/>
  <c r="R179" i="13" l="1"/>
  <c r="R180" i="13" s="1"/>
  <c r="R181" i="13"/>
  <c r="W34" i="3"/>
  <c r="X33" i="3"/>
  <c r="Z33" i="3" s="1"/>
  <c r="AG61" i="17"/>
  <c r="AH55" i="17" s="1"/>
  <c r="AD26" i="17"/>
  <c r="R134" i="13"/>
  <c r="R135" i="13" s="1"/>
  <c r="R187" i="13" s="1"/>
  <c r="R136" i="13"/>
  <c r="R91" i="13"/>
  <c r="AF90" i="17"/>
  <c r="AF92" i="17" s="1"/>
  <c r="AF162" i="13" s="1"/>
  <c r="AF181" i="13" s="1"/>
  <c r="AF93" i="17"/>
  <c r="AG87" i="17" s="1"/>
  <c r="R188" i="13" l="1"/>
  <c r="P21" i="3" a="1"/>
  <c r="P21" i="3" s="1"/>
  <c r="N22" i="3"/>
  <c r="O22" i="3"/>
  <c r="S71" i="13"/>
  <c r="S26" i="13"/>
  <c r="AD28" i="17"/>
  <c r="AH58" i="17"/>
  <c r="AH60" i="17" s="1"/>
  <c r="AH117" i="13" s="1"/>
  <c r="AH136" i="13" s="1"/>
  <c r="AG93" i="17"/>
  <c r="AH87" i="17" s="1"/>
  <c r="AG90" i="17"/>
  <c r="AG92" i="17" s="1"/>
  <c r="AG162" i="13" s="1"/>
  <c r="AG181" i="13" s="1"/>
  <c r="W35" i="3"/>
  <c r="X34" i="3"/>
  <c r="Z34" i="3" s="1"/>
  <c r="AD72" i="13" l="1"/>
  <c r="AD91" i="13" s="1"/>
  <c r="AD188" i="13" s="1"/>
  <c r="S27" i="13"/>
  <c r="S163" i="13"/>
  <c r="S73" i="13"/>
  <c r="S91" i="13" s="1"/>
  <c r="S118" i="13"/>
  <c r="S28" i="13"/>
  <c r="AD29" i="17"/>
  <c r="AE23" i="17" s="1"/>
  <c r="AH61" i="17"/>
  <c r="AI55" i="17" s="1"/>
  <c r="W36" i="3"/>
  <c r="X35" i="3"/>
  <c r="Z35" i="3" s="1"/>
  <c r="AH90" i="17"/>
  <c r="AH92" i="17" s="1"/>
  <c r="AH162" i="13" s="1"/>
  <c r="AH181" i="13" s="1"/>
  <c r="AH93" i="17"/>
  <c r="AI87" i="17" s="1"/>
  <c r="AE26" i="17" l="1"/>
  <c r="AI58" i="17"/>
  <c r="AI60" i="17" s="1"/>
  <c r="AI117" i="13" s="1"/>
  <c r="AI136" i="13" s="1"/>
  <c r="AI61" i="17"/>
  <c r="AJ55" i="17" s="1"/>
  <c r="AI90" i="17"/>
  <c r="AI92" i="17" s="1"/>
  <c r="AI162" i="13" s="1"/>
  <c r="AI181" i="13" s="1"/>
  <c r="AI93" i="17"/>
  <c r="AJ87" i="17" s="1"/>
  <c r="S134" i="13"/>
  <c r="S135" i="13" s="1"/>
  <c r="S136" i="13"/>
  <c r="S188" i="13" s="1"/>
  <c r="W37" i="3"/>
  <c r="X36" i="3"/>
  <c r="Z36" i="3" s="1"/>
  <c r="S89" i="13"/>
  <c r="S90" i="13" s="1"/>
  <c r="S179" i="13"/>
  <c r="S180" i="13" s="1"/>
  <c r="S181" i="13"/>
  <c r="S187" i="13" l="1"/>
  <c r="W38" i="3"/>
  <c r="X37" i="3"/>
  <c r="Z37" i="3" s="1"/>
  <c r="AJ90" i="17"/>
  <c r="AJ92" i="17" s="1"/>
  <c r="AJ162" i="13" s="1"/>
  <c r="AJ181" i="13" s="1"/>
  <c r="AJ93" i="17"/>
  <c r="AK87" i="17" s="1"/>
  <c r="AJ61" i="17"/>
  <c r="AK55" i="17" s="1"/>
  <c r="AJ58" i="17"/>
  <c r="AJ60" i="17" s="1"/>
  <c r="AJ117" i="13" s="1"/>
  <c r="AJ136" i="13" s="1"/>
  <c r="T71" i="13"/>
  <c r="T26" i="13"/>
  <c r="AE28" i="17"/>
  <c r="AK58" i="17" l="1"/>
  <c r="AK60" i="17" s="1"/>
  <c r="AK117" i="13" s="1"/>
  <c r="AK136" i="13" s="1"/>
  <c r="T91" i="13"/>
  <c r="T89" i="13"/>
  <c r="T90" i="13" s="1"/>
  <c r="AK90" i="17"/>
  <c r="AK92" i="17" s="1"/>
  <c r="AK162" i="13" s="1"/>
  <c r="AK181" i="13" s="1"/>
  <c r="AE72" i="13"/>
  <c r="AE91" i="13" s="1"/>
  <c r="AE188" i="13" s="1"/>
  <c r="T27" i="13"/>
  <c r="T73" i="13"/>
  <c r="T28" i="13"/>
  <c r="T163" i="13"/>
  <c r="T118" i="13"/>
  <c r="AE29" i="17"/>
  <c r="AF23" i="17" s="1"/>
  <c r="W39" i="3"/>
  <c r="X38" i="3"/>
  <c r="Z38" i="3" s="1"/>
  <c r="P22" i="3" a="1"/>
  <c r="P22" i="3" s="1"/>
  <c r="O23" i="3"/>
  <c r="N23" i="3"/>
  <c r="AK93" i="17" l="1"/>
  <c r="T134" i="13"/>
  <c r="T135" i="13" s="1"/>
  <c r="T136" i="13"/>
  <c r="T179" i="13"/>
  <c r="T180" i="13" s="1"/>
  <c r="T187" i="13" s="1"/>
  <c r="T181" i="13"/>
  <c r="T188" i="13" s="1"/>
  <c r="W40" i="3"/>
  <c r="X39" i="3"/>
  <c r="Z39" i="3" s="1"/>
  <c r="AF26" i="17"/>
  <c r="AK61" i="17"/>
  <c r="P23" i="3" l="1" a="1"/>
  <c r="P23" i="3" s="1"/>
  <c r="O24" i="3"/>
  <c r="N24" i="3"/>
  <c r="W41" i="3"/>
  <c r="X40" i="3"/>
  <c r="Z40" i="3" s="1"/>
  <c r="U71" i="13"/>
  <c r="U26" i="13"/>
  <c r="AF28" i="17"/>
  <c r="AF72" i="13" l="1"/>
  <c r="AF91" i="13" s="1"/>
  <c r="AF188" i="13" s="1"/>
  <c r="U27" i="13"/>
  <c r="U73" i="13"/>
  <c r="U91" i="13" s="1"/>
  <c r="U28" i="13"/>
  <c r="U163" i="13"/>
  <c r="U118" i="13"/>
  <c r="AF29" i="17"/>
  <c r="AG23" i="17" s="1"/>
  <c r="W42" i="3"/>
  <c r="X41" i="3"/>
  <c r="Z41" i="3" s="1"/>
  <c r="U89" i="13"/>
  <c r="U90" i="13" s="1"/>
  <c r="U179" i="13" l="1"/>
  <c r="U180" i="13" s="1"/>
  <c r="U181" i="13"/>
  <c r="W43" i="3"/>
  <c r="X42" i="3"/>
  <c r="Z42" i="3" s="1"/>
  <c r="U134" i="13"/>
  <c r="U135" i="13" s="1"/>
  <c r="U187" i="13" s="1"/>
  <c r="U136" i="13"/>
  <c r="U188" i="13" s="1"/>
  <c r="AG26" i="17"/>
  <c r="P24" i="3" l="1" a="1"/>
  <c r="P24" i="3" s="1"/>
  <c r="N25" i="3"/>
  <c r="O25" i="3"/>
  <c r="W44" i="3"/>
  <c r="X43" i="3"/>
  <c r="Z43" i="3" s="1"/>
  <c r="V71" i="13"/>
  <c r="V26" i="13"/>
  <c r="AG28" i="17"/>
  <c r="V118" i="13" l="1"/>
  <c r="AG72" i="13"/>
  <c r="AG91" i="13" s="1"/>
  <c r="AG188" i="13" s="1"/>
  <c r="V28" i="13"/>
  <c r="V73" i="13"/>
  <c r="V89" i="13" s="1"/>
  <c r="V90" i="13" s="1"/>
  <c r="V27" i="13"/>
  <c r="V163" i="13"/>
  <c r="AG29" i="17"/>
  <c r="AH23" i="17" s="1"/>
  <c r="V91" i="13"/>
  <c r="W45" i="3"/>
  <c r="X44" i="3"/>
  <c r="Z44" i="3" s="1"/>
  <c r="AH26" i="17" l="1"/>
  <c r="V179" i="13"/>
  <c r="V180" i="13" s="1"/>
  <c r="V181" i="13"/>
  <c r="W46" i="3"/>
  <c r="X45" i="3"/>
  <c r="Z45" i="3" s="1"/>
  <c r="V134" i="13"/>
  <c r="V135" i="13" s="1"/>
  <c r="V187" i="13" s="1"/>
  <c r="V136" i="13"/>
  <c r="V188" i="13" l="1"/>
  <c r="P25" i="3" a="1"/>
  <c r="P25" i="3" s="1"/>
  <c r="O26" i="3"/>
  <c r="N26" i="3"/>
  <c r="W47" i="3"/>
  <c r="X47" i="3" s="1"/>
  <c r="Z47" i="3" s="1"/>
  <c r="X46" i="3"/>
  <c r="Z46" i="3" s="1"/>
  <c r="W26" i="13"/>
  <c r="W71" i="13"/>
  <c r="AH28" i="17"/>
  <c r="W118" i="13" l="1"/>
  <c r="W73" i="13"/>
  <c r="W91" i="13" s="1"/>
  <c r="AH72" i="13"/>
  <c r="AH91" i="13" s="1"/>
  <c r="AH188" i="13" s="1"/>
  <c r="W27" i="13"/>
  <c r="W28" i="13"/>
  <c r="W163" i="13"/>
  <c r="AH29" i="17"/>
  <c r="AI23" i="17" s="1"/>
  <c r="W89" i="13"/>
  <c r="W90" i="13" s="1"/>
  <c r="AI26" i="17" l="1"/>
  <c r="W179" i="13"/>
  <c r="W180" i="13" s="1"/>
  <c r="W181" i="13"/>
  <c r="W134" i="13"/>
  <c r="W135" i="13" s="1"/>
  <c r="W136" i="13"/>
  <c r="W188" i="13" s="1"/>
  <c r="W187" i="13" l="1"/>
  <c r="P26" i="3" a="1"/>
  <c r="P26" i="3" s="1"/>
  <c r="O27" i="3"/>
  <c r="N27" i="3"/>
  <c r="X71" i="13"/>
  <c r="X26" i="13"/>
  <c r="AI28" i="17"/>
  <c r="X163" i="13" l="1"/>
  <c r="X118" i="13"/>
  <c r="X73" i="13"/>
  <c r="X89" i="13" s="1"/>
  <c r="X90" i="13" s="1"/>
  <c r="AI72" i="13"/>
  <c r="AI91" i="13" s="1"/>
  <c r="AI188" i="13" s="1"/>
  <c r="X27" i="13"/>
  <c r="X28" i="13"/>
  <c r="AI29" i="17"/>
  <c r="AJ23" i="17" s="1"/>
  <c r="X91" i="13"/>
  <c r="AJ26" i="17" l="1"/>
  <c r="X134" i="13"/>
  <c r="X135" i="13" s="1"/>
  <c r="X136" i="13"/>
  <c r="X179" i="13"/>
  <c r="X180" i="13" s="1"/>
  <c r="X181" i="13"/>
  <c r="X188" i="13" l="1"/>
  <c r="X187" i="13"/>
  <c r="P27" i="3" a="1"/>
  <c r="P27" i="3" s="1"/>
  <c r="N28" i="3"/>
  <c r="O28" i="3"/>
  <c r="AJ28" i="17"/>
  <c r="Y71" i="13"/>
  <c r="Y26" i="13"/>
  <c r="Y163" i="13" l="1"/>
  <c r="Y118" i="13"/>
  <c r="AJ72" i="13"/>
  <c r="AJ91" i="13" s="1"/>
  <c r="AJ188" i="13" s="1"/>
  <c r="Y27" i="13"/>
  <c r="Y28" i="13"/>
  <c r="Y73" i="13"/>
  <c r="Y89" i="13" s="1"/>
  <c r="Y90" i="13" s="1"/>
  <c r="AJ29" i="17"/>
  <c r="AK23" i="17" s="1"/>
  <c r="Y91" i="13"/>
  <c r="AK26" i="17" l="1"/>
  <c r="Y134" i="13"/>
  <c r="Y135" i="13" s="1"/>
  <c r="Y136" i="13"/>
  <c r="Y179" i="13"/>
  <c r="Y180" i="13" s="1"/>
  <c r="Y181" i="13"/>
  <c r="Y188" i="13" l="1"/>
  <c r="Y187" i="13"/>
  <c r="P28" i="3" a="1"/>
  <c r="P28" i="3" s="1"/>
  <c r="N29" i="3"/>
  <c r="O29" i="3"/>
  <c r="AK28" i="17"/>
  <c r="Z26" i="13"/>
  <c r="Z71" i="13"/>
  <c r="AK72" i="13" l="1"/>
  <c r="AK91" i="13" s="1"/>
  <c r="AK188" i="13" s="1"/>
  <c r="Z27" i="13"/>
  <c r="Z163" i="13"/>
  <c r="Z118" i="13"/>
  <c r="Z73" i="13"/>
  <c r="Z91" i="13" s="1"/>
  <c r="Z28" i="13"/>
  <c r="AK29" i="17"/>
  <c r="Z89" i="13"/>
  <c r="Z90" i="13" s="1"/>
  <c r="Z134" i="13" l="1"/>
  <c r="Z135" i="13" s="1"/>
  <c r="Z136" i="13"/>
  <c r="Z179" i="13"/>
  <c r="Z180" i="13" s="1"/>
  <c r="Z181" i="13"/>
  <c r="Z188" i="13" l="1"/>
  <c r="Z187" i="13"/>
  <c r="P29" i="3" a="1"/>
  <c r="P29" i="3" s="1"/>
  <c r="O30" i="3"/>
  <c r="N30" i="3"/>
</calcChain>
</file>

<file path=xl/sharedStrings.xml><?xml version="1.0" encoding="utf-8"?>
<sst xmlns="http://schemas.openxmlformats.org/spreadsheetml/2006/main" count="5018" uniqueCount="2735">
  <si>
    <t>A household financial strategy simulator for Australians with property, super and mortgage complexity who want to test retirement and wealth decisions before speaking to an adviser.
[Best-in-Class] Australian Financial Planning Workbook</t>
  </si>
  <si>
    <t>Single consolidated workbook: detailed budget, multi-property portfolio (PPOR + 3 IPs), scenario toggles, deterministic projections, Monte Carlo probability fan, and an executive dashboard with charts. All figures are dummy demo values—replace locally with your real numbers.</t>
  </si>
  <si>
    <t>How to use:</t>
  </si>
  <si>
    <t>Scenario Control</t>
  </si>
  <si>
    <t>Active Scenario</t>
  </si>
  <si>
    <t>Scenario</t>
  </si>
  <si>
    <t>Retire Age</t>
  </si>
  <si>
    <t>Return Mean</t>
  </si>
  <si>
    <t>Volatility</t>
  </si>
  <si>
    <t>Inflation</t>
  </si>
  <si>
    <t>Property Growth</t>
  </si>
  <si>
    <t>Rent Yield</t>
  </si>
  <si>
    <t>Rental Income Growth</t>
  </si>
  <si>
    <t>Partner Retire Age</t>
  </si>
  <si>
    <t>Notes</t>
  </si>
  <si>
    <t>Active Retire Age</t>
  </si>
  <si>
    <t>Active Return Mean</t>
  </si>
  <si>
    <t>Active Volatility</t>
  </si>
  <si>
    <t>Active Inflation</t>
  </si>
  <si>
    <t>Rental Growth</t>
  </si>
  <si>
    <t>Rationale</t>
  </si>
  <si>
    <t>Active Spouse Retire Age</t>
  </si>
  <si>
    <t>Sanity check vs your existing assumptions</t>
  </si>
  <si>
    <t>You currently have:</t>
  </si>
  <si>
    <r>
      <t>Property Growth:</t>
    </r>
    <r>
      <rPr>
        <sz val="11"/>
        <color rgb="FF000000"/>
        <rFont val="Calibri"/>
        <family val="2"/>
        <scheme val="minor"/>
      </rPr>
      <t> 4.5%</t>
    </r>
  </si>
  <si>
    <r>
      <t>Inflation:</t>
    </r>
    <r>
      <rPr>
        <sz val="11"/>
        <color rgb="FF000000"/>
        <rFont val="Calibri"/>
        <family val="2"/>
        <scheme val="minor"/>
      </rPr>
      <t> (likely ~2.5–3.0%)</t>
    </r>
  </si>
  <si>
    <t>That gives:</t>
  </si>
  <si>
    <t>Capital growth &gt; rental growth ✔</t>
  </si>
  <si>
    <t>Rental growth ≥ inflation ✔</t>
  </si>
  <si>
    <t>Yield slowly compresses over time ✔ (realistic)</t>
  </si>
  <si>
    <t>This passes an adviser / bank sniff test immediately.</t>
  </si>
  <si>
    <t>Recommended Inflation Assumptions</t>
  </si>
  <si>
    <t>Aggressive</t>
  </si>
  <si>
    <t>Productivity gains, benign inflation</t>
  </si>
  <si>
    <t>Projections (Deterministic, Annual)</t>
  </si>
  <si>
    <t>Projects total net worth and post-retirement spend-down.</t>
  </si>
  <si>
    <t xml:space="preserve">Year </t>
  </si>
  <si>
    <t>Year</t>
  </si>
  <si>
    <t>Age You</t>
  </si>
  <si>
    <t>Spouse Age</t>
  </si>
  <si>
    <t>Earned Income You</t>
  </si>
  <si>
    <t>Earned Income Spouse (Base)</t>
  </si>
  <si>
    <t>Super Contribution – You</t>
  </si>
  <si>
    <t>Super Tax - You</t>
  </si>
  <si>
    <t>Super Contribution - Spouse</t>
  </si>
  <si>
    <t>Super Tax - Spouse</t>
  </si>
  <si>
    <t>Super Balance - You</t>
  </si>
  <si>
    <t>Super Balance - Spouse</t>
  </si>
  <si>
    <t>Total Super</t>
  </si>
  <si>
    <t>Tax You</t>
  </si>
  <si>
    <t>Tax Spouse</t>
  </si>
  <si>
    <t>Total Earned Income</t>
  </si>
  <si>
    <t>Living Budget (Annual)</t>
  </si>
  <si>
    <t>Net Rental (After Tax)</t>
  </si>
  <si>
    <t>Net Household Cashflow (Pre-Retire)</t>
  </si>
  <si>
    <t>Annual Surplus (Pre-Retirement)</t>
  </si>
  <si>
    <t>Super</t>
  </si>
  <si>
    <t>Property Equity</t>
  </si>
  <si>
    <t>Other Assets</t>
  </si>
  <si>
    <t>Total Net Worth</t>
  </si>
  <si>
    <t>Spend (post-retire)</t>
  </si>
  <si>
    <t>After Spend</t>
  </si>
  <si>
    <t>Australian Super &amp; Tax Scaffold</t>
  </si>
  <si>
    <t>Rule</t>
  </si>
  <si>
    <t>Value</t>
  </si>
  <si>
    <t>Household Profile (Inputs)</t>
  </si>
  <si>
    <t>Item</t>
  </si>
  <si>
    <t>Derived</t>
  </si>
  <si>
    <t>Your Age</t>
  </si>
  <si>
    <t>Partner Age</t>
  </si>
  <si>
    <t>Years to Retire</t>
  </si>
  <si>
    <t>Life Expectancy</t>
  </si>
  <si>
    <t>Your Gross income (p.a.)</t>
  </si>
  <si>
    <t>TBC with a job</t>
  </si>
  <si>
    <t>Spouse Gross income (p.a.)</t>
  </si>
  <si>
    <t>Spouse Gross income (p.a.) Y1 (2027)</t>
  </si>
  <si>
    <t>Target retirement spending (after tax, p.a.)</t>
  </si>
  <si>
    <t>Demo</t>
  </si>
  <si>
    <t>Kids</t>
  </si>
  <si>
    <t>Other assets (non-super, non-property)</t>
  </si>
  <si>
    <t>Partner Years Younger</t>
  </si>
  <si>
    <t>Your Retire Age (scenario-driven)</t>
  </si>
  <si>
    <t>Partner Retire Age – Base</t>
  </si>
  <si>
    <t>Partner Retire Age – Conservative</t>
  </si>
  <si>
    <t>Partner Retire Age – Aggressive</t>
  </si>
  <si>
    <t>You Retirement Date Offset (FY)</t>
  </si>
  <si>
    <t>Spouse Retirement Date Offset (FY)</t>
  </si>
  <si>
    <t>Detailed Budget (Monthly)</t>
  </si>
  <si>
    <t>Enter monthly amounts by category. Annual total feeds projections.</t>
  </si>
  <si>
    <t>Category</t>
  </si>
  <si>
    <t>Jan</t>
  </si>
  <si>
    <t>Feb</t>
  </si>
  <si>
    <t>Mar</t>
  </si>
  <si>
    <t>Apr</t>
  </si>
  <si>
    <t>May</t>
  </si>
  <si>
    <t>Jun</t>
  </si>
  <si>
    <t>Jul</t>
  </si>
  <si>
    <t>Aug</t>
  </si>
  <si>
    <t>Sep</t>
  </si>
  <si>
    <t>Oct</t>
  </si>
  <si>
    <t>Nov</t>
  </si>
  <si>
    <t>Dec</t>
  </si>
  <si>
    <t>Annual</t>
  </si>
  <si>
    <t>Annual Budget Total</t>
  </si>
  <si>
    <t>Housing</t>
  </si>
  <si>
    <t>UNLEY Council</t>
  </si>
  <si>
    <t>Utilities</t>
  </si>
  <si>
    <t xml:space="preserve">Gas - RED energy </t>
  </si>
  <si>
    <t>Electricity - RED energy</t>
  </si>
  <si>
    <t>Broadband - TPG</t>
  </si>
  <si>
    <t>Mobile - Woolworths Laura</t>
  </si>
  <si>
    <t>Mobile - Telstra Brett</t>
  </si>
  <si>
    <t>Apple Watch Annual Plan - Beckett</t>
  </si>
  <si>
    <t>Apple Watch Annual Plan - Quinn</t>
  </si>
  <si>
    <t>Groceries</t>
  </si>
  <si>
    <t>Grocery / Takeout</t>
  </si>
  <si>
    <t>Transport</t>
  </si>
  <si>
    <t>Local transit (bus)</t>
  </si>
  <si>
    <t>NRMA Road Assist</t>
  </si>
  <si>
    <t>Car Service</t>
  </si>
  <si>
    <t>Fuel</t>
  </si>
  <si>
    <t>Insurance</t>
  </si>
  <si>
    <t>AppleCare+ 13" Macbook Air M3</t>
  </si>
  <si>
    <t>AppleCare+ with theft &amp; loss Iphone 16 Pro Max</t>
  </si>
  <si>
    <t>Health Insurance - HCF</t>
  </si>
  <si>
    <t>Home &amp; Contents Insurance</t>
  </si>
  <si>
    <t>Vehicle - BMW 118i 2012 - Registration / Greenslip (NRMA)</t>
  </si>
  <si>
    <t>Vehicle - BMW 118i 20212 - Comprehensive Insurance (NRMA)</t>
  </si>
  <si>
    <t>Health</t>
  </si>
  <si>
    <t>Yoga Development</t>
  </si>
  <si>
    <t>Migraine</t>
  </si>
  <si>
    <t>Sport</t>
  </si>
  <si>
    <t>Rugby Australia Registration</t>
  </si>
  <si>
    <t>SANFL Registration (PlayHQ)</t>
  </si>
  <si>
    <t>Basketball Connect</t>
  </si>
  <si>
    <t>Life Be in It After School Basketball</t>
  </si>
  <si>
    <t>Life Be in It Futsal</t>
  </si>
  <si>
    <t>Dance</t>
  </si>
  <si>
    <t>Gymnastics</t>
  </si>
  <si>
    <t>Sport Memberships</t>
  </si>
  <si>
    <t>Wallabies Membership</t>
  </si>
  <si>
    <t>Wallabies Membership Beckett</t>
  </si>
  <si>
    <t>South Australia Cricket Association (SACA) Brett</t>
  </si>
  <si>
    <t>SACA Laura</t>
  </si>
  <si>
    <t>SACA Beckett</t>
  </si>
  <si>
    <t>SACA Quinn</t>
  </si>
  <si>
    <t>Education/Childcare</t>
  </si>
  <si>
    <t>School Fees Quinn Aenid</t>
  </si>
  <si>
    <t>School Fees Beckett Hofman</t>
  </si>
  <si>
    <t>Subscriptions</t>
  </si>
  <si>
    <t>Apple One</t>
  </si>
  <si>
    <t>AMC plus</t>
  </si>
  <si>
    <t>BritBox</t>
  </si>
  <si>
    <t>Cruncyroll</t>
  </si>
  <si>
    <t>Disney+</t>
  </si>
  <si>
    <t>Duolingo</t>
  </si>
  <si>
    <t>HBO Go</t>
  </si>
  <si>
    <t>Netflix</t>
  </si>
  <si>
    <t>Paramount+</t>
  </si>
  <si>
    <t>PlayStation Deluxe</t>
  </si>
  <si>
    <t>Prime</t>
  </si>
  <si>
    <t>Prime Video Ad Free</t>
  </si>
  <si>
    <t>Stan</t>
  </si>
  <si>
    <t>Stan SPORT</t>
  </si>
  <si>
    <t>NY Times</t>
  </si>
  <si>
    <t>Discretionary</t>
  </si>
  <si>
    <t>Medicine Sans Frontiers</t>
  </si>
  <si>
    <t>Effective Altruism</t>
  </si>
  <si>
    <t>Australian Conservation Foundation</t>
  </si>
  <si>
    <t>SACA Transferrable</t>
  </si>
  <si>
    <t>Travel</t>
  </si>
  <si>
    <t xml:space="preserve">Travel </t>
  </si>
  <si>
    <t>Other</t>
  </si>
  <si>
    <t>Miscellaneous</t>
  </si>
  <si>
    <t>TOTAL</t>
  </si>
  <si>
    <t>Assets &amp; Liabilities (Non-property / Non-super)</t>
  </si>
  <si>
    <t>Enter balances outside property and super. Properties/Super handled on their own tabs.</t>
  </si>
  <si>
    <t>Totals</t>
  </si>
  <si>
    <t>Assets</t>
  </si>
  <si>
    <t>Cash &amp; savings</t>
  </si>
  <si>
    <t>Redundancy 2025</t>
  </si>
  <si>
    <t>Total Assets</t>
  </si>
  <si>
    <t>Shares/ETFs (non-super)</t>
  </si>
  <si>
    <t>ASX:VAS Vanguard Australian Shares Index</t>
  </si>
  <si>
    <t>Total Liabilities</t>
  </si>
  <si>
    <t>ASX:VGS MSCI Index International Shares ETF</t>
  </si>
  <si>
    <t>Net (excl prop/super)</t>
  </si>
  <si>
    <t>Other assets</t>
  </si>
  <si>
    <t>Liabilities</t>
  </si>
  <si>
    <t>Credit cards</t>
  </si>
  <si>
    <t>Other loans</t>
  </si>
  <si>
    <t>Income Tax (AU)</t>
  </si>
  <si>
    <t>Gross Income</t>
  </si>
  <si>
    <t>Spouse 
Gross Income</t>
  </si>
  <si>
    <t>Bracket Lower</t>
  </si>
  <si>
    <t>Bracket Upper</t>
  </si>
  <si>
    <t>Marginal Rate</t>
  </si>
  <si>
    <t>You</t>
  </si>
  <si>
    <t>Spouse</t>
  </si>
  <si>
    <t>Taxable Income</t>
  </si>
  <si>
    <t>PAYG Tax</t>
  </si>
  <si>
    <t>Medicare Levy (2%)</t>
  </si>
  <si>
    <t>Total Tax</t>
  </si>
  <si>
    <t>Net Income</t>
  </si>
  <si>
    <t>Superannuation (Inputs)</t>
  </si>
  <si>
    <t>Enter super balances and annual contributions.</t>
  </si>
  <si>
    <t>Person</t>
  </si>
  <si>
    <t>Opening Balance</t>
  </si>
  <si>
    <t>Annual Contribution</t>
  </si>
  <si>
    <t>SG% (Employer)</t>
  </si>
  <si>
    <t>Salary Sacrifice (Annual)</t>
  </si>
  <si>
    <t>Concessional Cap</t>
  </si>
  <si>
    <t>Contribution Tax Rate</t>
  </si>
  <si>
    <t>Contribution Type</t>
  </si>
  <si>
    <t>Gross Concessional Contribution (Modelled)</t>
  </si>
  <si>
    <t>Contribution Tax (15%)</t>
  </si>
  <si>
    <t xml:space="preserve">Brett </t>
  </si>
  <si>
    <t>SG+SS</t>
  </si>
  <si>
    <t>Laura</t>
  </si>
  <si>
    <t>Total Contrib</t>
  </si>
  <si>
    <t>Property Portfolio (PPOR + Investment Properties)</t>
  </si>
  <si>
    <t>Enter PPOR and 3+ IPs. Acquire Age supports planning future purchases.</t>
  </si>
  <si>
    <t>Property</t>
  </si>
  <si>
    <t>Type</t>
  </si>
  <si>
    <t>Loan Balance</t>
  </si>
  <si>
    <t>Rate</t>
  </si>
  <si>
    <t>IO End Age</t>
  </si>
  <si>
    <t>Annual Rent</t>
  </si>
  <si>
    <t>Acquire Age</t>
  </si>
  <si>
    <t>Portfolio Totals</t>
  </si>
  <si>
    <t>PPOR - Arnold St Parkside</t>
  </si>
  <si>
    <t>Home</t>
  </si>
  <si>
    <t>Total Property Value</t>
  </si>
  <si>
    <t>Investment</t>
  </si>
  <si>
    <t>Existing IO</t>
  </si>
  <si>
    <t>Total Loans</t>
  </si>
  <si>
    <t>IP2</t>
  </si>
  <si>
    <t>Future buy</t>
  </si>
  <si>
    <t>IP3</t>
  </si>
  <si>
    <t>Capital Works Fund Plan</t>
  </si>
  <si>
    <t>29 Albany Street</t>
  </si>
  <si>
    <t>Crows Nest NSW 2065</t>
  </si>
  <si>
    <t>Strata Plan 90614</t>
  </si>
  <si>
    <r>
      <t>PlanOffsetYears</t>
    </r>
    <r>
      <rPr>
        <sz val="14"/>
        <color rgb="FF000000"/>
        <rFont val="-webkit-standard"/>
      </rPr>
      <t> = </t>
    </r>
    <r>
      <rPr>
        <sz val="10"/>
        <color rgb="FF000000"/>
        <rFont val="Arial Unicode MS"/>
        <family val="2"/>
      </rPr>
      <t>1</t>
    </r>
  </si>
  <si>
    <t>Description</t>
  </si>
  <si>
    <t>Unit Entitlement</t>
  </si>
  <si>
    <t>Yr 1</t>
  </si>
  <si>
    <t>Yr 2</t>
  </si>
  <si>
    <t>Yr 3</t>
  </si>
  <si>
    <t>Yr 4</t>
  </si>
  <si>
    <t>Yr 5</t>
  </si>
  <si>
    <t>Yr 6</t>
  </si>
  <si>
    <t>Yr 7</t>
  </si>
  <si>
    <t>Yr 8</t>
  </si>
  <si>
    <t>Yr 9</t>
  </si>
  <si>
    <t>Yr 10</t>
  </si>
  <si>
    <t>Yr 11</t>
  </si>
  <si>
    <t>Yr 12</t>
  </si>
  <si>
    <t>Yr 13</t>
  </si>
  <si>
    <t>Yr 14</t>
  </si>
  <si>
    <t>Yr 15</t>
  </si>
  <si>
    <t>Body Corporate Capital Works</t>
  </si>
  <si>
    <r>
      <t>Because </t>
    </r>
    <r>
      <rPr>
        <b/>
        <sz val="11"/>
        <color rgb="FF000000"/>
        <rFont val="Calibri"/>
        <family val="2"/>
        <scheme val="minor"/>
      </rPr>
      <t>Yr 1 in your model = Plan Year 2</t>
    </r>
    <r>
      <rPr>
        <sz val="11"/>
        <color rgb="FF000000"/>
        <rFont val="Calibri"/>
        <family val="2"/>
        <scheme val="minor"/>
      </rPr>
      <t> (the plan is already a year old), we just need to:</t>
    </r>
  </si>
  <si>
    <r>
      <t>map each model year column to the correct </t>
    </r>
    <r>
      <rPr>
        <b/>
        <sz val="11"/>
        <color rgb="FF000000"/>
        <rFont val="Calibri"/>
        <family val="2"/>
        <scheme val="minor"/>
      </rPr>
      <t>plan-year index</t>
    </r>
  </si>
  <si>
    <t>pull the plan value while it exists</t>
  </si>
  <si>
    <r>
      <t>after the plan runs out, inflate from the last available plan year using </t>
    </r>
    <r>
      <rPr>
        <b/>
        <sz val="11"/>
        <color rgb="FF000000"/>
        <rFont val="Calibri"/>
        <family val="2"/>
        <scheme val="minor"/>
      </rPr>
      <t>Scenario inflation</t>
    </r>
  </si>
  <si>
    <t>15 Year Levy Table</t>
  </si>
  <si>
    <t>Lot 4 29 103 Albany St, Crows Nest</t>
  </si>
  <si>
    <t>Year </t>
  </si>
  <si>
    <t xml:space="preserve">Year To Total </t>
  </si>
  <si>
    <t>Total Contribution</t>
  </si>
  <si>
    <t>Contribution per Unit Entitlement</t>
  </si>
  <si>
    <t>Quarterly Contribution</t>
  </si>
  <si>
    <t>Annual CW</t>
  </si>
  <si>
    <t>dd/mm/yyyy </t>
  </si>
  <si>
    <t>Including GST </t>
  </si>
  <si>
    <t>GST Component </t>
  </si>
  <si>
    <t>GST Component</t>
  </si>
  <si>
    <t>1 </t>
  </si>
  <si>
    <t>31/05/2025 </t>
  </si>
  <si>
    <t>2 </t>
  </si>
  <si>
    <t>31/05/2026 </t>
  </si>
  <si>
    <t>3 </t>
  </si>
  <si>
    <t>31/05/2027 </t>
  </si>
  <si>
    <t>4 </t>
  </si>
  <si>
    <t>31/05/2028 </t>
  </si>
  <si>
    <t>5 </t>
  </si>
  <si>
    <t>31/05/2029 </t>
  </si>
  <si>
    <t>6 </t>
  </si>
  <si>
    <t>31/05/2030 </t>
  </si>
  <si>
    <t>7 </t>
  </si>
  <si>
    <t>31/05/2031 </t>
  </si>
  <si>
    <t>8 </t>
  </si>
  <si>
    <t>31/05/2032 </t>
  </si>
  <si>
    <t>9 </t>
  </si>
  <si>
    <t>31/05/2033 </t>
  </si>
  <si>
    <t>10 </t>
  </si>
  <si>
    <t>31/05/2034 </t>
  </si>
  <si>
    <t>11 </t>
  </si>
  <si>
    <t>31/05/2035 </t>
  </si>
  <si>
    <t>12 </t>
  </si>
  <si>
    <t>31/05/2036 </t>
  </si>
  <si>
    <t>13 </t>
  </si>
  <si>
    <t>31/05/2037 </t>
  </si>
  <si>
    <t>14 </t>
  </si>
  <si>
    <t>31/05/2038 </t>
  </si>
  <si>
    <t>15 </t>
  </si>
  <si>
    <t>31/05/2039 </t>
  </si>
  <si>
    <t>Enter PPOR and 3+ IPs. Acquire Age supports planning future purchases. Cashflow &amp; Tax.</t>
  </si>
  <si>
    <t>Input</t>
  </si>
  <si>
    <t>Description / Years</t>
  </si>
  <si>
    <t>INCOME</t>
  </si>
  <si>
    <t>1. Gross Rent</t>
  </si>
  <si>
    <r>
      <t>PROPERTY EXPENSES (Statutory &amp; Fixed):</t>
    </r>
    <r>
      <rPr>
        <sz val="11"/>
        <color rgb="FF000000"/>
        <rFont val="Aptos"/>
      </rPr>
      <t> </t>
    </r>
    <r>
      <rPr>
        <i/>
        <sz val="11"/>
        <color rgb="FF000000"/>
        <rFont val="Aptos"/>
      </rPr>
      <t>Council rates, land tax, water charges, body corporate fees, and insurance (building, contents, landlord).</t>
    </r>
  </si>
  <si>
    <t>2. Council Rates</t>
  </si>
  <si>
    <t>3. Water Charges</t>
  </si>
  <si>
    <t>4. Body Corporate - Administrative</t>
  </si>
  <si>
    <t>5. Body Corporate - Capital Works</t>
  </si>
  <si>
    <r>
      <t>6. Insurance - Building</t>
    </r>
    <r>
      <rPr>
        <i/>
        <sz val="10"/>
        <color theme="1"/>
        <rFont val="Aptos"/>
      </rPr>
      <t xml:space="preserve"> [N/A IP1 - Included in Body Corporate Administrative budget]</t>
    </r>
  </si>
  <si>
    <t>7. Insurance - Contents [N/A; assumption continuously tennated]</t>
  </si>
  <si>
    <t>8. Insurance - Landlord</t>
  </si>
  <si>
    <r>
      <t>MANAGEMENT &amp; MAINTENANCE:</t>
    </r>
    <r>
      <rPr>
        <sz val="11"/>
        <color rgb="FF000000"/>
        <rFont val="Aptos"/>
      </rPr>
      <t> </t>
    </r>
    <r>
      <rPr>
        <i/>
        <sz val="11"/>
        <color rgb="FF000000"/>
        <rFont val="Aptos"/>
      </rPr>
      <t>Real estate agent fees/commissions, cleaning, gardening, lawn mowing, and pest control.</t>
    </r>
  </si>
  <si>
    <r>
      <t xml:space="preserve">9. RE Property Management Fees % </t>
    </r>
    <r>
      <rPr>
        <i/>
        <sz val="11"/>
        <color rgb="FF000000"/>
        <rFont val="Aptos"/>
      </rPr>
      <t>(assumption row)</t>
    </r>
  </si>
  <si>
    <t>10. RE Property Management Fees</t>
  </si>
  <si>
    <t>11. Cleaning</t>
  </si>
  <si>
    <t>12. Gardening [N/A IP1]</t>
  </si>
  <si>
    <t>13. Lawn Mowing [N/A IP1]</t>
  </si>
  <si>
    <t>14. Pest Control [N/A IP1]</t>
  </si>
  <si>
    <r>
      <t>FINANCIAL &amp; LEGAL:</t>
    </r>
    <r>
      <rPr>
        <sz val="11"/>
        <color rgb="FF000000"/>
        <rFont val="Aptos"/>
      </rPr>
      <t> </t>
    </r>
    <r>
      <rPr>
        <i/>
        <sz val="11"/>
        <color rgb="FF000000"/>
        <rFont val="Aptos"/>
      </rPr>
      <t>Interest on loans, bank charges, and legal expenses for tenant issues.</t>
    </r>
  </si>
  <si>
    <t>15. Interest Expense</t>
  </si>
  <si>
    <t>16. Principle Repayment (cash non-deductible)</t>
  </si>
  <si>
    <t>17. Bank Charges</t>
  </si>
  <si>
    <t>18. Legal Expenses</t>
  </si>
  <si>
    <r>
      <t>OPERATIONAL:</t>
    </r>
    <r>
      <rPr>
        <sz val="11"/>
        <color rgb="FF000000"/>
        <rFont val="Aptos"/>
      </rPr>
      <t> </t>
    </r>
    <r>
      <rPr>
        <i/>
        <sz val="11"/>
        <color rgb="FF000000"/>
        <rFont val="Aptos"/>
      </rPr>
      <t>Advertising for tenants, stationery, postage, phone calls, and, in some cases, travel expenses (though travel to inspect residential property is generally not deductible).</t>
    </r>
  </si>
  <si>
    <t>19. Advertising for tenants</t>
  </si>
  <si>
    <t>20. Stationery</t>
  </si>
  <si>
    <t>21. Postage</t>
  </si>
  <si>
    <t>22. Phone Calls</t>
  </si>
  <si>
    <t>23. Travel Expenses [Travel to inspect residential property is generally not deductible.]</t>
  </si>
  <si>
    <r>
      <t>REPAIRS:</t>
    </r>
    <r>
      <rPr>
        <sz val="11"/>
        <color rgb="FF000000"/>
        <rFont val="Aptos"/>
      </rPr>
      <t> </t>
    </r>
    <r>
      <rPr>
        <i/>
        <sz val="11"/>
        <color rgb="FF000000"/>
        <rFont val="Aptos"/>
      </rPr>
      <t>Costs to fix damage or deterioration (e.g., repairing a broken fence, fixing a leaking tap). </t>
    </r>
  </si>
  <si>
    <t>24. Repairs &amp; Maintenance</t>
  </si>
  <si>
    <t>DEDUCTIONS CLAIMED OVER SEVERAL YEARS:</t>
  </si>
  <si>
    <r>
      <t xml:space="preserve">25. Depreciation (Decline in Value) - Plant &amp; Equipment: For plant and equipment (e.g., blinds, carpets, appliances) costing over $300 </t>
    </r>
    <r>
      <rPr>
        <i/>
        <sz val="11"/>
        <color rgb="FF000000"/>
        <rFont val="Aptos"/>
      </rPr>
      <t>Second-hand assets purchased after 9 May 2017 are not deductible.</t>
    </r>
    <r>
      <rPr>
        <sz val="11"/>
        <color rgb="FF000000"/>
        <rFont val="Aptos"/>
      </rPr>
      <t xml:space="preserve">  (Zero if post-2017 second-hand assets.) </t>
    </r>
  </si>
  <si>
    <t>26. Capital Works Deduction: Structural improvements, such as building renovations, extensions, or new fences, generally depreciated at 2.5% per year.</t>
  </si>
  <si>
    <t>27. Borrowing Expenses Amortised: Fees for obtaining a loan (e.g., mortgage application fees, mortgage broker fees), generally spread over 5 years or the loan term. </t>
  </si>
  <si>
    <t>28. Other Deductible Expenses</t>
  </si>
  <si>
    <t>TOTALS:</t>
  </si>
  <si>
    <t>29. Total Deductible Expenses</t>
  </si>
  <si>
    <t>30. Net Rental Income / (Loss)</t>
  </si>
  <si>
    <t>31. Net Rental Cashflow (cash only)</t>
  </si>
  <si>
    <t>29. Total Net Rental Income / (Loss)</t>
  </si>
  <si>
    <t>Total Net Rental Cashflow (cash only)</t>
  </si>
  <si>
    <t>Transaction history</t>
  </si>
  <si>
    <r>
      <t xml:space="preserve">Statement period: </t>
    </r>
    <r>
      <rPr>
        <sz val="12"/>
        <color rgb="FF000000"/>
        <rFont val="Helvetica"/>
        <family val="2"/>
      </rPr>
      <t>22 JAN 2019 To 21 JUL 2019</t>
    </r>
  </si>
  <si>
    <r>
      <t xml:space="preserve">Account: </t>
    </r>
    <r>
      <rPr>
        <sz val="12"/>
        <color rgb="FF000000"/>
        <rFont val="Helvetica"/>
        <family val="2"/>
      </rPr>
      <t xml:space="preserve">50455259 Brett William Hofman, Laura Nicole Hofman </t>
    </r>
    <r>
      <rPr>
        <sz val="12"/>
        <color rgb="FF15A3B5"/>
        <rFont val="Helvetica"/>
        <family val="2"/>
      </rPr>
      <t xml:space="preserve">TFN Known: </t>
    </r>
    <r>
      <rPr>
        <sz val="12"/>
        <color rgb="FF000000"/>
        <rFont val="Helvetica"/>
        <family val="2"/>
      </rPr>
      <t>Y</t>
    </r>
  </si>
  <si>
    <t>E-4470/S-145169/I-267063 EM. 4470NNNNNN 9018614</t>
  </si>
  <si>
    <t>Date</t>
  </si>
  <si>
    <t>Debits</t>
  </si>
  <si>
    <t>Credits</t>
  </si>
  <si>
    <t>Balance</t>
  </si>
  <si>
    <t>OPENING BALANCE</t>
  </si>
  <si>
    <t>Fast Pymt In</t>
  </si>
  <si>
    <t>REF:..</t>
  </si>
  <si>
    <t>Auto Payment TRANSFER TO 814282 50503609 Hofman Brett</t>
  </si>
  <si>
    <t>3,000.00 313,892.12</t>
  </si>
  <si>
    <t>31 Jan REF:..</t>
  </si>
  <si>
    <r>
      <t xml:space="preserve">1 Feb Auto Payment TRANSFER TO 814282 50503609 Hofman Brett 656.35 </t>
    </r>
    <r>
      <rPr>
        <sz val="12"/>
        <color rgb="FF000000"/>
        <rFont val="Helvetica"/>
        <family val="2"/>
      </rPr>
      <t xml:space="preserve">1 Feb Auto Payment TRANSFER TO 814282 50503609 Hofman Brett 656.35 </t>
    </r>
    <r>
      <rPr>
        <sz val="12"/>
        <color rgb="FFFFFFFF"/>
        <rFont val="Helvetica"/>
        <family val="2"/>
      </rPr>
      <t>313,235.77</t>
    </r>
  </si>
  <si>
    <t>1 Feb FREE TXNS UNLIMITED</t>
  </si>
  <si>
    <r>
      <t xml:space="preserve">1 Mar Auto Payment TRANSFER TO 814282 50503609 Hofman Brett 584.45 </t>
    </r>
    <r>
      <rPr>
        <sz val="12"/>
        <color rgb="FF000000"/>
        <rFont val="Helvetica"/>
        <family val="2"/>
      </rPr>
      <t xml:space="preserve">1 Mar Auto Payment TRANSFER TO 814282 50503609 Hofman Brett 584.45 </t>
    </r>
    <r>
      <rPr>
        <sz val="12"/>
        <color rgb="FFFFFFFF"/>
        <rFont val="Helvetica"/>
        <family val="2"/>
      </rPr>
      <t>312,651.32</t>
    </r>
  </si>
  <si>
    <t>1 Mar FREE TXNS UNLIMITED</t>
  </si>
  <si>
    <r>
      <t xml:space="preserve">10 Mar Fast Pymt Out March CC Brett W Hofman </t>
    </r>
    <r>
      <rPr>
        <sz val="12"/>
        <color rgb="FF000000"/>
        <rFont val="Helvetica"/>
        <family val="2"/>
      </rPr>
      <t xml:space="preserve">10 Mar Fast Pymt Out March CC Brett W Hofman </t>
    </r>
    <r>
      <rPr>
        <sz val="12"/>
        <color rgb="FFFFFFFF"/>
        <rFont val="Helvetica"/>
        <family val="2"/>
      </rPr>
      <t xml:space="preserve">5,000.00 </t>
    </r>
    <r>
      <rPr>
        <sz val="12"/>
        <color rgb="FF000000"/>
        <rFont val="Helvetica"/>
        <family val="2"/>
      </rPr>
      <t xml:space="preserve">5,000.00 14 Mar Fast Pymt In </t>
    </r>
    <r>
      <rPr>
        <sz val="12"/>
        <color rgb="FFFFFFFF"/>
        <rFont val="Helvetica"/>
        <family val="2"/>
      </rPr>
      <t>307,651.32</t>
    </r>
  </si>
  <si>
    <t>10,000.00 317,651.32</t>
  </si>
  <si>
    <t>14 Mar REF:..</t>
  </si>
  <si>
    <t>14 Mar Fast Pymt In 8,000.00 325,651.32</t>
  </si>
  <si>
    <t>14 Mar REF:Sti.</t>
  </si>
  <si>
    <t>1 Apr Auto Payment TRANSFER TO 814282 50503609 Hofman Brett 620.99 325,030.33</t>
  </si>
  <si>
    <t>1 of 2</t>
  </si>
  <si>
    <t>Please check all entries on this statement and notify CUA immediately of any errors or omissions. For transaction fee package information for all accounts, please refer to the Schedule of Fees brochure. For information</t>
  </si>
  <si>
    <r>
      <t>on our complaints and dispute resolution system, or in relation to your financial products, their benefits or fees and charges call 133 282 or drop into any of our branches.</t>
    </r>
    <r>
      <rPr>
        <sz val="12"/>
        <color rgb="FF5E6062"/>
        <rFont val="Helvetica"/>
        <family val="2"/>
      </rPr>
      <t>Credit Union Australia Limited</t>
    </r>
  </si>
  <si>
    <t>ABN 44 087 650 959</t>
  </si>
  <si>
    <t>AFSL and Australian credit licence 238317</t>
  </si>
  <si>
    <t>GPO Box 100, Brisbane QLD 4001</t>
  </si>
  <si>
    <t>Your details</t>
  </si>
  <si>
    <r>
      <t xml:space="preserve">Customer number: </t>
    </r>
    <r>
      <rPr>
        <sz val="12"/>
        <color rgb="FF000000"/>
        <rFont val="Helvetica"/>
        <family val="2"/>
      </rPr>
      <t>9018614</t>
    </r>
  </si>
  <si>
    <r>
      <t>BSB:</t>
    </r>
    <r>
      <rPr>
        <sz val="12"/>
        <color rgb="FF000000"/>
        <rFont val="Helvetica"/>
        <family val="2"/>
      </rPr>
      <t xml:space="preserve"> 814-282</t>
    </r>
  </si>
  <si>
    <r>
      <t xml:space="preserve">Issue date: </t>
    </r>
    <r>
      <rPr>
        <sz val="12"/>
        <color rgb="FF000000"/>
        <rFont val="Helvetica"/>
        <family val="2"/>
      </rPr>
      <t>21/07/2019</t>
    </r>
  </si>
  <si>
    <r>
      <t xml:space="preserve">Shareholder: </t>
    </r>
    <r>
      <rPr>
        <sz val="12"/>
        <color rgb="FF000000"/>
        <rFont val="Helvetica"/>
        <family val="2"/>
      </rPr>
      <t>1 x Member Share</t>
    </r>
  </si>
  <si>
    <r>
      <t xml:space="preserve">5,000.00 </t>
    </r>
    <r>
      <rPr>
        <sz val="12"/>
        <color rgb="FFFFFFFF"/>
        <rFont val="Helvetica"/>
        <family val="2"/>
      </rPr>
      <t xml:space="preserve">4,500.00 </t>
    </r>
    <r>
      <rPr>
        <sz val="12"/>
        <color rgb="FF000000"/>
        <rFont val="Helvetica"/>
        <family val="2"/>
      </rPr>
      <t>4,500.00 319,451.25</t>
    </r>
  </si>
  <si>
    <t>Date Description Debits Credits Balance</t>
  </si>
  <si>
    <t>1 Apr FREE TXNS UNLIMITED</t>
  </si>
  <si>
    <r>
      <t xml:space="preserve">1 May Auto Payment TRANSFER TO 814282 50503609 Hofman Brett 579.08 </t>
    </r>
    <r>
      <rPr>
        <sz val="12"/>
        <color rgb="FFFFFFFF"/>
        <rFont val="Helvetica"/>
        <family val="2"/>
      </rPr>
      <t>1 May FREE TXNS UNLIMITED</t>
    </r>
  </si>
  <si>
    <t>1 May FREE TXNS UNLIMITED</t>
  </si>
  <si>
    <r>
      <t xml:space="preserve">16 May Fast Pymt Out RWC Flights Brett W Hofman </t>
    </r>
    <r>
      <rPr>
        <sz val="12"/>
        <color rgb="FFFFFFFF"/>
        <rFont val="Helvetica"/>
        <family val="2"/>
      </rPr>
      <t xml:space="preserve">18 May Fast Pymt Out RWC Trip Brett W Hofman </t>
    </r>
    <r>
      <rPr>
        <sz val="12"/>
        <color rgb="FF000000"/>
        <rFont val="Helvetica"/>
        <family val="2"/>
      </rPr>
      <t xml:space="preserve">18 May Fast Pymt Out RWC Trip Brett W Hofman 1 Jun Auto Payment TRANSFER TO 814282 50503609 Hofman Brett 619.82 </t>
    </r>
    <r>
      <rPr>
        <sz val="12"/>
        <color rgb="FFFFFFFF"/>
        <rFont val="Helvetica"/>
        <family val="2"/>
      </rPr>
      <t>1 Jun FREE TXNS UNLIMITED</t>
    </r>
  </si>
  <si>
    <t>1 Jun FREE TXNS UNLIMITED</t>
  </si>
  <si>
    <r>
      <t xml:space="preserve">13 Jun Fast Pymt Out June behind Brett W Hofman </t>
    </r>
    <r>
      <rPr>
        <sz val="12"/>
        <color rgb="FFFFFFFF"/>
        <rFont val="Helvetica"/>
        <family val="2"/>
      </rPr>
      <t xml:space="preserve">1 Jul Auto Payment TRANSFER TO 814282 50503609 Hofman Brett 617.96 </t>
    </r>
    <r>
      <rPr>
        <sz val="12"/>
        <color rgb="FF000000"/>
        <rFont val="Helvetica"/>
        <family val="2"/>
      </rPr>
      <t>1 Jul Auto Payment TRANSFER TO 814282 50503609 Hofman Brett 617.96 1 Jul FREE TXNS UNLIMITED</t>
    </r>
  </si>
  <si>
    <r>
      <t xml:space="preserve">3 Jul </t>
    </r>
    <r>
      <rPr>
        <sz val="12"/>
        <color rgb="FF000000"/>
        <rFont val="Helvetica"/>
        <family val="2"/>
      </rPr>
      <t xml:space="preserve">3 Jul </t>
    </r>
    <r>
      <rPr>
        <sz val="12"/>
        <color rgb="FFFFFFFF"/>
        <rFont val="Helvetica"/>
        <family val="2"/>
      </rPr>
      <t>TXN INITIATED BY-9018614 TRANSFER TO 065125 10110962 Toop Real</t>
    </r>
  </si>
  <si>
    <t>TXN INITIATED BY-9018614 TRANSFER TO 065125 10110962 Toop Real</t>
  </si>
  <si>
    <t>4,331.43 310,000.00</t>
  </si>
  <si>
    <t>Estate S REF: 10 Arnold Parkside 112,500.00 196,882.04</t>
  </si>
  <si>
    <t>17 Jul Fast Pymt Out Car service Brett W Hofman 4,999.00 191,883.04</t>
  </si>
  <si>
    <t>21 Jul CLOSING BALANCE 191,883.04</t>
  </si>
  <si>
    <t>Credit Union Australia Limited</t>
  </si>
  <si>
    <t>For help or enquiries?</t>
  </si>
  <si>
    <t>133 282</t>
  </si>
  <si>
    <t>www.cua.com.au</t>
  </si>
  <si>
    <r>
      <t xml:space="preserve">Customer number: </t>
    </r>
    <r>
      <rPr>
        <sz val="9"/>
        <color rgb="FF000000"/>
        <rFont val="Helvetica"/>
        <family val="2"/>
      </rPr>
      <t>9018614</t>
    </r>
  </si>
  <si>
    <r>
      <t>BSB:</t>
    </r>
    <r>
      <rPr>
        <sz val="9"/>
        <color rgb="FF000000"/>
        <rFont val="Helvetica"/>
        <family val="2"/>
      </rPr>
      <t xml:space="preserve"> 814-282</t>
    </r>
  </si>
  <si>
    <r>
      <t xml:space="preserve">Issue date: </t>
    </r>
    <r>
      <rPr>
        <sz val="9"/>
        <color rgb="FF000000"/>
        <rFont val="Helvetica"/>
        <family val="2"/>
      </rPr>
      <t>21/07/2019</t>
    </r>
  </si>
  <si>
    <r>
      <t xml:space="preserve">Shareholder: </t>
    </r>
    <r>
      <rPr>
        <sz val="9"/>
        <color rgb="FF000000"/>
        <rFont val="Helvetica"/>
        <family val="2"/>
      </rPr>
      <t>1 x Member Share</t>
    </r>
  </si>
  <si>
    <t>Mr Brett William Hofman</t>
  </si>
  <si>
    <t>103/29 ALBANY ST</t>
  </si>
  <si>
    <t>CROWS NEST NSW 2065</t>
  </si>
  <si>
    <t>50455259 </t>
  </si>
  <si>
    <t>Prime Access $310,892.12 </t>
  </si>
  <si>
    <t>$21,000.00 </t>
  </si>
  <si>
    <t>$140,009.08 </t>
  </si>
  <si>
    <t>50456034 </t>
  </si>
  <si>
    <t>eSaver Plus $0.00 </t>
  </si>
  <si>
    <t>$0.00 </t>
  </si>
  <si>
    <t>50503609 Fresh Start Variable IO -$470,000.00 $3,678.65 $3,678.65 -$470,000.00</t>
  </si>
  <si>
    <r>
      <t xml:space="preserve">Statement period: </t>
    </r>
    <r>
      <rPr>
        <sz val="9"/>
        <color rgb="FF000000"/>
        <rFont val="Helvetica"/>
        <family val="2"/>
      </rPr>
      <t>22 JAN 2019 To 21 JUL 2019</t>
    </r>
  </si>
  <si>
    <r>
      <t xml:space="preserve">Account: </t>
    </r>
    <r>
      <rPr>
        <sz val="9"/>
        <color rgb="FF000000"/>
        <rFont val="Helvetica"/>
        <family val="2"/>
      </rPr>
      <t xml:space="preserve">50455259 Brett William Hofman, Laura Nicole Hofman </t>
    </r>
    <r>
      <rPr>
        <sz val="9"/>
        <color rgb="FF15A3B5"/>
        <rFont val="Helvetica"/>
        <family val="2"/>
      </rPr>
      <t xml:space="preserve">TFN Known: </t>
    </r>
    <r>
      <rPr>
        <sz val="9"/>
        <color rgb="FF000000"/>
        <rFont val="Helvetica"/>
        <family val="2"/>
      </rPr>
      <t>Y</t>
    </r>
  </si>
  <si>
    <t>22 Jan OPENING BALANCE 310,892.12</t>
  </si>
  <si>
    <r>
      <t xml:space="preserve">31 Jan Fast Pymt In </t>
    </r>
    <r>
      <rPr>
        <sz val="8"/>
        <color rgb="FF000000"/>
        <rFont val="Helvetica"/>
        <family val="2"/>
      </rPr>
      <t xml:space="preserve">31 Jan Fast Pymt In </t>
    </r>
    <r>
      <rPr>
        <sz val="8"/>
        <color rgb="FFFFFFFF"/>
        <rFont val="Helvetica"/>
        <family val="2"/>
      </rPr>
      <t>3,000.00 313,892.12</t>
    </r>
  </si>
  <si>
    <r>
      <t xml:space="preserve">1 Feb Auto Payment TRANSFER TO 814282 50503609 Hofman Brett 656.35 </t>
    </r>
    <r>
      <rPr>
        <sz val="8"/>
        <color rgb="FF000000"/>
        <rFont val="Helvetica"/>
        <family val="2"/>
      </rPr>
      <t xml:space="preserve">1 Feb Auto Payment TRANSFER TO 814282 50503609 Hofman Brett 656.35 </t>
    </r>
    <r>
      <rPr>
        <sz val="8"/>
        <color rgb="FFFFFFFF"/>
        <rFont val="Helvetica"/>
        <family val="2"/>
      </rPr>
      <t>313,235.77</t>
    </r>
  </si>
  <si>
    <r>
      <t xml:space="preserve">1 Mar Auto Payment TRANSFER TO 814282 50503609 Hofman Brett 584.45 </t>
    </r>
    <r>
      <rPr>
        <sz val="8"/>
        <color rgb="FF000000"/>
        <rFont val="Helvetica"/>
        <family val="2"/>
      </rPr>
      <t xml:space="preserve">1 Mar Auto Payment TRANSFER TO 814282 50503609 Hofman Brett 584.45 </t>
    </r>
    <r>
      <rPr>
        <sz val="8"/>
        <color rgb="FFFFFFFF"/>
        <rFont val="Helvetica"/>
        <family val="2"/>
      </rPr>
      <t>312,651.32</t>
    </r>
  </si>
  <si>
    <r>
      <t xml:space="preserve">10 Mar Fast Pymt Out March CC Brett W Hofman </t>
    </r>
    <r>
      <rPr>
        <sz val="8"/>
        <color rgb="FF000000"/>
        <rFont val="Helvetica"/>
        <family val="2"/>
      </rPr>
      <t xml:space="preserve">10 Mar Fast Pymt Out March CC Brett W Hofman </t>
    </r>
    <r>
      <rPr>
        <sz val="8"/>
        <color rgb="FFFFFFFF"/>
        <rFont val="Helvetica"/>
        <family val="2"/>
      </rPr>
      <t xml:space="preserve">5,000.00 </t>
    </r>
    <r>
      <rPr>
        <sz val="8"/>
        <color rgb="FF000000"/>
        <rFont val="Helvetica"/>
        <family val="2"/>
      </rPr>
      <t xml:space="preserve">5,000.00 14 Mar Fast Pymt In </t>
    </r>
    <r>
      <rPr>
        <sz val="8"/>
        <color rgb="FFFFFFFF"/>
        <rFont val="Helvetica"/>
        <family val="2"/>
      </rPr>
      <t>307,651.32</t>
    </r>
  </si>
  <si>
    <r>
      <t>on our complaints and dispute resolution system, or in relation to your financial products, their benefits or fees and charges call 133 282 or drop into any of our branches.</t>
    </r>
    <r>
      <rPr>
        <sz val="7"/>
        <color rgb="FF5E6062"/>
        <rFont val="Helvetica"/>
        <family val="2"/>
      </rPr>
      <t>Credit Union Australia Limited</t>
    </r>
  </si>
  <si>
    <r>
      <t xml:space="preserve">5,000.00 </t>
    </r>
    <r>
      <rPr>
        <sz val="8"/>
        <color rgb="FFFFFFFF"/>
        <rFont val="Helvetica"/>
        <family val="2"/>
      </rPr>
      <t xml:space="preserve">4,500.00 </t>
    </r>
    <r>
      <rPr>
        <sz val="8"/>
        <color rgb="FF000000"/>
        <rFont val="Helvetica"/>
        <family val="2"/>
      </rPr>
      <t>4,500.00 319,451.25</t>
    </r>
  </si>
  <si>
    <r>
      <t xml:space="preserve">1 May Auto Payment TRANSFER TO 814282 50503609 Hofman Brett 579.08 </t>
    </r>
    <r>
      <rPr>
        <sz val="8"/>
        <color rgb="FFFFFFFF"/>
        <rFont val="Helvetica"/>
        <family val="2"/>
      </rPr>
      <t>1 May FREE TXNS UNLIMITED</t>
    </r>
  </si>
  <si>
    <r>
      <t xml:space="preserve">16 May Fast Pymt Out RWC Flights Brett W Hofman </t>
    </r>
    <r>
      <rPr>
        <sz val="8"/>
        <color rgb="FFFFFFFF"/>
        <rFont val="Helvetica"/>
        <family val="2"/>
      </rPr>
      <t xml:space="preserve">18 May Fast Pymt Out RWC Trip Brett W Hofman </t>
    </r>
    <r>
      <rPr>
        <sz val="8"/>
        <color rgb="FF000000"/>
        <rFont val="Helvetica"/>
        <family val="2"/>
      </rPr>
      <t xml:space="preserve">18 May Fast Pymt Out RWC Trip Brett W Hofman 1 Jun Auto Payment TRANSFER TO 814282 50503609 Hofman Brett 619.82 </t>
    </r>
    <r>
      <rPr>
        <sz val="8"/>
        <color rgb="FFFFFFFF"/>
        <rFont val="Helvetica"/>
        <family val="2"/>
      </rPr>
      <t>1 Jun FREE TXNS UNLIMITED</t>
    </r>
  </si>
  <si>
    <r>
      <t xml:space="preserve">13 Jun Fast Pymt Out June behind Brett W Hofman </t>
    </r>
    <r>
      <rPr>
        <sz val="8"/>
        <color rgb="FFFFFFFF"/>
        <rFont val="Helvetica"/>
        <family val="2"/>
      </rPr>
      <t xml:space="preserve">1 Jul Auto Payment TRANSFER TO 814282 50503609 Hofman Brett 617.96 </t>
    </r>
    <r>
      <rPr>
        <sz val="8"/>
        <color rgb="FF000000"/>
        <rFont val="Helvetica"/>
        <family val="2"/>
      </rPr>
      <t>1 Jul Auto Payment TRANSFER TO 814282 50503609 Hofman Brett 617.96 1 Jul FREE TXNS UNLIMITED</t>
    </r>
  </si>
  <si>
    <r>
      <t xml:space="preserve">3 Jul </t>
    </r>
    <r>
      <rPr>
        <sz val="8"/>
        <color rgb="FF000000"/>
        <rFont val="Helvetica"/>
        <family val="2"/>
      </rPr>
      <t xml:space="preserve">3 Jul </t>
    </r>
    <r>
      <rPr>
        <sz val="8"/>
        <color rgb="FFFFFFFF"/>
        <rFont val="Helvetica"/>
        <family val="2"/>
      </rPr>
      <t>TXN INITIATED BY-9018614 TRANSFER TO 065125 10110962 Toop Real</t>
    </r>
  </si>
  <si>
    <r>
      <t xml:space="preserve">Account: </t>
    </r>
    <r>
      <rPr>
        <sz val="9"/>
        <color rgb="FF000000"/>
        <rFont val="Helvetica"/>
        <family val="2"/>
      </rPr>
      <t xml:space="preserve">50456034 Brett William Hofman, Laura Nicole Hofman </t>
    </r>
    <r>
      <rPr>
        <sz val="9"/>
        <color rgb="FF15A3B5"/>
        <rFont val="Helvetica"/>
        <family val="2"/>
      </rPr>
      <t xml:space="preserve">TFN Known: </t>
    </r>
    <r>
      <rPr>
        <sz val="9"/>
        <color rgb="FF000000"/>
        <rFont val="Helvetica"/>
        <family val="2"/>
      </rPr>
      <t>Y</t>
    </r>
  </si>
  <si>
    <t>22 Jan OPENING BALANCE 0.00</t>
  </si>
  <si>
    <t>21 Jul CLOSING BALANCE 0.00</t>
  </si>
  <si>
    <r>
      <t xml:space="preserve">TFN Known: </t>
    </r>
    <r>
      <rPr>
        <sz val="9"/>
        <color rgb="FF000000"/>
        <rFont val="Helvetica"/>
        <family val="2"/>
      </rPr>
      <t>Y</t>
    </r>
  </si>
  <si>
    <r>
      <t xml:space="preserve">Account: </t>
    </r>
    <r>
      <rPr>
        <sz val="9"/>
        <color rgb="FF000000"/>
        <rFont val="Helvetica"/>
        <family val="2"/>
      </rPr>
      <t xml:space="preserve">50503609 Brett William Hofman, Laura Nicole Hofman </t>
    </r>
    <r>
      <rPr>
        <sz val="8"/>
        <color rgb="FF000000"/>
        <rFont val="Helvetica"/>
        <family val="2"/>
      </rPr>
      <t>CURRENT INTEREST RATE 4.44% P.A.</t>
    </r>
  </si>
  <si>
    <t>22 Jan OPENING BALANCE 470,000.00</t>
  </si>
  <si>
    <t>31 Jan INT SAVED BY BALANCE OFFSET 1283.66</t>
  </si>
  <si>
    <t>31 Jan Interest Charged 656.35 470,656.35</t>
  </si>
  <si>
    <r>
      <t xml:space="preserve">1 Feb Auto Payment </t>
    </r>
    <r>
      <rPr>
        <sz val="8"/>
        <color rgb="FF000000"/>
        <rFont val="Helvetica"/>
        <family val="2"/>
      </rPr>
      <t xml:space="preserve">1 Feb Auto Payment </t>
    </r>
    <r>
      <rPr>
        <sz val="8"/>
        <color rgb="FFFFFFFF"/>
        <rFont val="Helvetica"/>
        <family val="2"/>
      </rPr>
      <t>656.35 470,000.00</t>
    </r>
  </si>
  <si>
    <t>656.35 470,000.00</t>
  </si>
  <si>
    <t>28 Feb INT SAVED BY BALANCE OFFSET 1167.81</t>
  </si>
  <si>
    <t>28 Feb Interest Charged 584.45 470,584.45</t>
  </si>
  <si>
    <t>1 Mar Auto Payment 584.45 470,000.00</t>
  </si>
  <si>
    <t>31 Mar INT SAVED BY BALANCE OFFSET 1319.02</t>
  </si>
  <si>
    <t>31 Mar Interest Charged 620.99 470,620.99</t>
  </si>
  <si>
    <r>
      <t xml:space="preserve">1 Apr Auto Payment </t>
    </r>
    <r>
      <rPr>
        <sz val="8"/>
        <color rgb="FF000000"/>
        <rFont val="Helvetica"/>
        <family val="2"/>
      </rPr>
      <t xml:space="preserve">1 Apr Auto Payment </t>
    </r>
    <r>
      <rPr>
        <sz val="8"/>
        <color rgb="FFFFFFFF"/>
        <rFont val="Helvetica"/>
        <family val="2"/>
      </rPr>
      <t>620.99 470,000.00</t>
    </r>
  </si>
  <si>
    <t>620.99 470,000.00</t>
  </si>
  <si>
    <t>30 Apr INT SAVED BY BALANCE OFFSET 1298.34</t>
  </si>
  <si>
    <t>30 Apr Interest Charged 579.08 470,579.08</t>
  </si>
  <si>
    <t>1 May Auto Payment 579.08 470,000.00</t>
  </si>
  <si>
    <t>31 May INT SAVED BY BALANCE OFFSET 1320.19</t>
  </si>
  <si>
    <t>31 May Interest Charged 619.82 470,619.82</t>
  </si>
  <si>
    <r>
      <t xml:space="preserve">1 Jun Auto Payment </t>
    </r>
    <r>
      <rPr>
        <sz val="8"/>
        <color rgb="FF000000"/>
        <rFont val="Helvetica"/>
        <family val="2"/>
      </rPr>
      <t xml:space="preserve">1 Jun Auto Payment </t>
    </r>
    <r>
      <rPr>
        <sz val="8"/>
        <color rgb="FFFFFFFF"/>
        <rFont val="Helvetica"/>
        <family val="2"/>
      </rPr>
      <t>619.82 470,000.00</t>
    </r>
  </si>
  <si>
    <t>619.82 470,000.00</t>
  </si>
  <si>
    <t>18 Jun RATE CHANGED FM 4.86 % TO 4.61 %</t>
  </si>
  <si>
    <t>30 Jun INT SAVED BY BALANCE OFFSET 1217.62</t>
  </si>
  <si>
    <t>30 Jun Interest Charged 617.96 470,617.96</t>
  </si>
  <si>
    <r>
      <t xml:space="preserve">1 Jul Auto Payment </t>
    </r>
    <r>
      <rPr>
        <sz val="8"/>
        <color rgb="FF000000"/>
        <rFont val="Helvetica"/>
        <family val="2"/>
      </rPr>
      <t xml:space="preserve">1 Jul Auto Payment </t>
    </r>
    <r>
      <rPr>
        <sz val="8"/>
        <color rgb="FFFFFFFF"/>
        <rFont val="Helvetica"/>
        <family val="2"/>
      </rPr>
      <t>617.96 470,000.00</t>
    </r>
  </si>
  <si>
    <t>617.96 470,000.00</t>
  </si>
  <si>
    <t>10 Jul RATE CHANGED FM 4.61 % TO 4.44 %</t>
  </si>
  <si>
    <t>21 Jul CLOSING BALANCE 470,000.00</t>
  </si>
  <si>
    <t>E-4470/S-145169/I-267064</t>
  </si>
  <si>
    <t>This Period Financial Year to date Last Financial Year</t>
  </si>
  <si>
    <t>Interest Charged $0.00 $0.00 -$7,716.52</t>
  </si>
  <si>
    <t>2 of 2</t>
  </si>
  <si>
    <t>on our complaints and dispute resolution system, or in relation to your financial products, their benefits or fees and charges call 133 282 or drop into any of our branches.</t>
  </si>
  <si>
    <r>
      <t>Customer number:</t>
    </r>
    <r>
      <rPr>
        <sz val="9"/>
        <color rgb="FF000000"/>
        <rFont val="Helvetica"/>
        <family val="2"/>
      </rPr>
      <t xml:space="preserve"> 9018614</t>
    </r>
  </si>
  <si>
    <r>
      <t>Issue date:</t>
    </r>
    <r>
      <rPr>
        <sz val="9"/>
        <color rgb="FF000000"/>
        <rFont val="Helvetica"/>
        <family val="2"/>
      </rPr>
      <t xml:space="preserve"> 21/01/2020</t>
    </r>
  </si>
  <si>
    <r>
      <t>Shareholder:</t>
    </r>
    <r>
      <rPr>
        <sz val="9"/>
        <color rgb="FF000000"/>
        <rFont val="Helvetica"/>
        <family val="2"/>
      </rPr>
      <t xml:space="preserve"> 1 x Member Share</t>
    </r>
  </si>
  <si>
    <t>Prime Access </t>
  </si>
  <si>
    <t>$191,883.04 </t>
  </si>
  <si>
    <t>$925,143.56 $1,116,933.51 </t>
  </si>
  <si>
    <t>eSaver Plus </t>
  </si>
  <si>
    <t>$0.00 $0.00 </t>
  </si>
  <si>
    <t>50503609 </t>
  </si>
  <si>
    <t>Fresh Start Variable IO </t>
  </si>
  <si>
    <t>-$470,000.00 </t>
  </si>
  <si>
    <t>$9,602.18 $9,602.18 </t>
  </si>
  <si>
    <t>51001645 Achieve Var Inv P&amp;I $0.00 $24,908.02 $917,760.39 -$892,852.37</t>
  </si>
  <si>
    <r>
      <t xml:space="preserve">Account name: </t>
    </r>
    <r>
      <rPr>
        <sz val="9"/>
        <color rgb="FF000000"/>
        <rFont val="Helvetica"/>
        <family val="2"/>
      </rPr>
      <t>Prime Access</t>
    </r>
  </si>
  <si>
    <r>
      <t xml:space="preserve">Product name: </t>
    </r>
    <r>
      <rPr>
        <sz val="9"/>
        <color rgb="FF000000"/>
        <rFont val="Helvetica"/>
        <family val="2"/>
      </rPr>
      <t>Prime Access</t>
    </r>
  </si>
  <si>
    <r>
      <t>Statement period:</t>
    </r>
    <r>
      <rPr>
        <sz val="9"/>
        <color rgb="FF000000"/>
        <rFont val="Helvetica"/>
        <family val="2"/>
      </rPr>
      <t xml:space="preserve"> 22 JUL 2019 To 21 JAN 2020</t>
    </r>
  </si>
  <si>
    <r>
      <t xml:space="preserve">Account: </t>
    </r>
    <r>
      <rPr>
        <sz val="9"/>
        <color rgb="FF000000"/>
        <rFont val="Helvetica"/>
        <family val="2"/>
      </rPr>
      <t xml:space="preserve">50455259 Brett William Hofman, Laura Nicole Hofman </t>
    </r>
    <r>
      <rPr>
        <sz val="6"/>
        <color rgb="FF000000"/>
        <rFont val="Helvetica"/>
        <family val="2"/>
      </rPr>
      <t>E-525/S-149329/I-277480EM. 525NNNNNN 9018614</t>
    </r>
  </si>
  <si>
    <t>22 Jul OPENING BALANCE 191,883.04</t>
  </si>
  <si>
    <r>
      <t xml:space="preserve">1 Aug Auto Payment TRANSFER TO 814282 50503609 Hofman Brett 1,022.07 </t>
    </r>
    <r>
      <rPr>
        <sz val="8"/>
        <color rgb="FF000000"/>
        <rFont val="Helvetica"/>
        <family val="2"/>
      </rPr>
      <t xml:space="preserve">1 Aug Auto Payment TRANSFER TO 814282 50503609 Hofman Brett 1,022.07 </t>
    </r>
    <r>
      <rPr>
        <sz val="8"/>
        <color rgb="FFFFFFFF"/>
        <rFont val="Helvetica"/>
        <family val="2"/>
      </rPr>
      <t>190,860.97</t>
    </r>
  </si>
  <si>
    <t>1 Aug FREE TXNS UNLIMITED</t>
  </si>
  <si>
    <r>
      <t xml:space="preserve">1 Aug </t>
    </r>
    <r>
      <rPr>
        <sz val="8"/>
        <color rgb="FF000000"/>
        <rFont val="Helvetica"/>
        <family val="2"/>
      </rPr>
      <t xml:space="preserve">1 Aug </t>
    </r>
    <r>
      <rPr>
        <sz val="8"/>
        <color rgb="FFFFFFFF"/>
        <rFont val="Helvetica"/>
        <family val="2"/>
      </rPr>
      <t>TXN INITIATED BY-9018614 TRANSFER TO 035006 192066 TUCKFIELD</t>
    </r>
  </si>
  <si>
    <t>TXN INITIATED BY-9018614 TRANSFER TO 035006 192066 TUCKFIELD</t>
  </si>
  <si>
    <t>CONVEYAN REF: KM25145 182,593.31 8,267.66</t>
  </si>
  <si>
    <t>5 Aug Credit Transfer From: Hofman Brett 900,000.00 908,267.66</t>
  </si>
  <si>
    <t>5 Aug Establish Fee 600.00 907,667.66</t>
  </si>
  <si>
    <t>5 Aug Sec Admin Fee 235.00 907,432.66</t>
  </si>
  <si>
    <t>1 of 3</t>
  </si>
  <si>
    <t>Date </t>
  </si>
  <si>
    <t>Description </t>
  </si>
  <si>
    <t>Debits </t>
  </si>
  <si>
    <t>Credits </t>
  </si>
  <si>
    <t>5 Aug 5 Aug </t>
  </si>
  <si>
    <t>Reg Fee Reg Fee </t>
  </si>
  <si>
    <t>340.00 340.00 </t>
  </si>
  <si>
    <t>5 Aug </t>
  </si>
  <si>
    <t>Advances Loan 51001645 </t>
  </si>
  <si>
    <t>898,655.00 </t>
  </si>
  <si>
    <t>1 Sep 1 Sep </t>
  </si>
  <si>
    <t>Auto Payment TRANSFER TO 814282 50503609 Hofman Brett Auto Payment TRANSFER TO 814282 50503609 Hofman Brett </t>
  </si>
  <si>
    <t>1,740.62 1,740.62 </t>
  </si>
  <si>
    <t>1 Sep </t>
  </si>
  <si>
    <t>FREE TXNS UNLIMITED</t>
  </si>
  <si>
    <t>Loan repayment TXN INITIATED BY-9018614 TRANSFER TO 814282</t>
  </si>
  <si>
    <t>51001645 Hofman Brett 51001645 Hofman Brett </t>
  </si>
  <si>
    <t>4,200.00 4,200.00 </t>
  </si>
  <si>
    <t>2 Sep </t>
  </si>
  <si>
    <t>ePayment From:Brett Hofman REF: In case mortgage </t>
  </si>
  <si>
    <t>2,000.00 </t>
  </si>
  <si>
    <t>5 Sep 5 Sep </t>
  </si>
  <si>
    <t>Auto Payment TRANSFER TO 814282 51001645 Hofman Brett Auto Payment TRANSFER TO 814282 51001645 Hofman Brett </t>
  </si>
  <si>
    <t>4,173.15 4,173.15 </t>
  </si>
  <si>
    <t>23 Sep </t>
  </si>
  <si>
    <t>From: Hofman Brett </t>
  </si>
  <si>
    <t>4,200.00 </t>
  </si>
  <si>
    <t>24 Sep 24 Sep </t>
  </si>
  <si>
    <t>ePayment From:Brett Hofman REF: Loan punish ePayment From:Brett Hofman REF: Loan punish </t>
  </si>
  <si>
    <t>2,000.00 2,000.00 </t>
  </si>
  <si>
    <t>1 Oct </t>
  </si>
  <si>
    <t>Auto Payment TRANSFER TO 814282 50503609 Hofman Brett </t>
  </si>
  <si>
    <t>1,707.13 </t>
  </si>
  <si>
    <t>1 Oct 1 Oct </t>
  </si>
  <si>
    <t>5 Oct </t>
  </si>
  <si>
    <t>Auto Payment TRANSFER TO 814282 51001645 Hofman Brett </t>
  </si>
  <si>
    <t>4,182.61 </t>
  </si>
  <si>
    <t>28 Oct 28 Oct </t>
  </si>
  <si>
    <t>ePayment From:Brett Hofman REF: Nov Loan ePayment From:Brett Hofman REF: Nov Loan </t>
  </si>
  <si>
    <t>5,500.00 5,500.00 </t>
  </si>
  <si>
    <t>1 Nov </t>
  </si>
  <si>
    <t>1,760.29 </t>
  </si>
  <si>
    <t>1 Nov 1 Nov </t>
  </si>
  <si>
    <t>5 Nov </t>
  </si>
  <si>
    <t>4,117.42 </t>
  </si>
  <si>
    <t>15 Nov 15 Nov </t>
  </si>
  <si>
    <t>Fast Pymt In Fast Pymt In </t>
  </si>
  <si>
    <t>1,000.00 1,000.00 </t>
  </si>
  <si>
    <t>15 Nov </t>
  </si>
  <si>
    <t>REF:Boom mofo</t>
  </si>
  <si>
    <t>25 Nov 25 Nov </t>
  </si>
  <si>
    <t>ePayment From:Brett Hofman REF: Dec mortgage ePayment From:Brett Hofman REF: Dec mortgage </t>
  </si>
  <si>
    <t>4,743.56 4,743.56 </t>
  </si>
  <si>
    <t>1 Dec </t>
  </si>
  <si>
    <t>1,657.16 </t>
  </si>
  <si>
    <t>1 Dec 1 Dec </t>
  </si>
  <si>
    <t>5 Dec </t>
  </si>
  <si>
    <t>27 Dec 27 Dec </t>
  </si>
  <si>
    <t>ePayment From:Brett Hofman REF: Jan 01 Appt ePayment From:Brett Hofman REF: Jan 01 Appt </t>
  </si>
  <si>
    <t>1,500.00 1,500.00 </t>
  </si>
  <si>
    <t>27 Dec </t>
  </si>
  <si>
    <t>Fast Pymt In </t>
  </si>
  <si>
    <t>1,600.00 </t>
  </si>
  <si>
    <t>REF:Loan</t>
  </si>
  <si>
    <t>ePayment From:Brett Hofman REF: CUA mortgage </t>
  </si>
  <si>
    <t>2,600.00 </t>
  </si>
  <si>
    <t>1 Jan 1 Jan </t>
  </si>
  <si>
    <t>1,714.91 1,714.91 </t>
  </si>
  <si>
    <t>1 Jan </t>
  </si>
  <si>
    <t>5 Jan 5 Jan </t>
  </si>
  <si>
    <t>4,117.42 4,117.42 </t>
  </si>
  <si>
    <t>21 Jan </t>
  </si>
  <si>
    <t>CLOSING BALANCE </t>
  </si>
  <si>
    <r>
      <t xml:space="preserve">Account name: </t>
    </r>
    <r>
      <rPr>
        <sz val="9"/>
        <color rgb="FF000000"/>
        <rFont val="Helvetica"/>
        <family val="2"/>
      </rPr>
      <t>eSaver Plus</t>
    </r>
  </si>
  <si>
    <r>
      <t xml:space="preserve">Product name: </t>
    </r>
    <r>
      <rPr>
        <sz val="9"/>
        <color rgb="FF000000"/>
        <rFont val="Helvetica"/>
        <family val="2"/>
      </rPr>
      <t>eSaver Plus</t>
    </r>
  </si>
  <si>
    <t>22 Jul OPENING BALANCE 0.00</t>
  </si>
  <si>
    <t>21 Jan CLOSING BALANCE 0.00</t>
  </si>
  <si>
    <t>E-525/S-149329/I-277481</t>
  </si>
  <si>
    <r>
      <t xml:space="preserve">Account name: </t>
    </r>
    <r>
      <rPr>
        <sz val="9"/>
        <color rgb="FF000000"/>
        <rFont val="Helvetica"/>
        <family val="2"/>
      </rPr>
      <t>Fresh Start Variable IO</t>
    </r>
  </si>
  <si>
    <r>
      <t xml:space="preserve">Product name: </t>
    </r>
    <r>
      <rPr>
        <sz val="9"/>
        <color rgb="FF000000"/>
        <rFont val="Helvetica"/>
        <family val="2"/>
      </rPr>
      <t>Fresh Start Variable IO</t>
    </r>
  </si>
  <si>
    <r>
      <t xml:space="preserve">Account: </t>
    </r>
    <r>
      <rPr>
        <sz val="9"/>
        <color rgb="FF000000"/>
        <rFont val="Helvetica"/>
        <family val="2"/>
      </rPr>
      <t xml:space="preserve">50503609 Brett William Hofman, Laura Nicole Hofman </t>
    </r>
    <r>
      <rPr>
        <sz val="9"/>
        <color rgb="FF15A3B5"/>
        <rFont val="Helvetica"/>
        <family val="2"/>
      </rPr>
      <t xml:space="preserve">TFN Known: </t>
    </r>
    <r>
      <rPr>
        <sz val="9"/>
        <color rgb="FF000000"/>
        <rFont val="Helvetica"/>
        <family val="2"/>
      </rPr>
      <t>Y</t>
    </r>
  </si>
  <si>
    <t>CURRENT INTEREST RATE 4.31% P.A.</t>
  </si>
  <si>
    <t>22 Jul OPENING BALANCE 470,000.00</t>
  </si>
  <si>
    <t>31 Jul INT SAVED BY BALANCE OFFSET 769.98</t>
  </si>
  <si>
    <t>31 Jul Interest Charged 1,022.07 471,022.07</t>
  </si>
  <si>
    <r>
      <t xml:space="preserve">1 Aug Auto Payment </t>
    </r>
    <r>
      <rPr>
        <sz val="8"/>
        <color rgb="FFFFFFFF"/>
        <rFont val="Helvetica"/>
        <family val="2"/>
      </rPr>
      <t xml:space="preserve">1 Aug Auto Payment </t>
    </r>
    <r>
      <rPr>
        <sz val="8"/>
        <color rgb="FF000000"/>
        <rFont val="Helvetica"/>
        <family val="2"/>
      </rPr>
      <t>1,022.07 470,000.00</t>
    </r>
  </si>
  <si>
    <t>1,022.07 470,000.00</t>
  </si>
  <si>
    <t>31 Aug INT SAVED BY BALANCE OFFSET 31.74</t>
  </si>
  <si>
    <t>31 Aug Interest Charged 1,740.62 471,740.62</t>
  </si>
  <si>
    <t>1 Sep Auto Payment 1,740.62 470,000.00</t>
  </si>
  <si>
    <t>30 Sep INT SAVED BY BALANCE OFFSET 8.05</t>
  </si>
  <si>
    <t>2 of 3</t>
  </si>
  <si>
    <t>30 Sep Interest Charged 1,707.13 471,707.13</t>
  </si>
  <si>
    <r>
      <t xml:space="preserve">1 Oct Auto Payment </t>
    </r>
    <r>
      <rPr>
        <sz val="8"/>
        <color rgb="FF000000"/>
        <rFont val="Helvetica"/>
        <family val="2"/>
      </rPr>
      <t xml:space="preserve">1 Oct Auto Payment </t>
    </r>
    <r>
      <rPr>
        <sz val="8"/>
        <color rgb="FFFFFFFF"/>
        <rFont val="Helvetica"/>
        <family val="2"/>
      </rPr>
      <t>1,707.13 470,000.00</t>
    </r>
  </si>
  <si>
    <t>1,707.13 470,000.00</t>
  </si>
  <si>
    <t>29 Oct RATE CHANGED FM 4.44 % TO 4.31 %</t>
  </si>
  <si>
    <t>31 Oct INT SAVED BY BALANCE OFFSET 7.04</t>
  </si>
  <si>
    <t>31 Oct Interest Charged 1,760.29 471,760.29</t>
  </si>
  <si>
    <r>
      <t xml:space="preserve">1 Nov Auto Payment </t>
    </r>
    <r>
      <rPr>
        <sz val="8"/>
        <color rgb="FF000000"/>
        <rFont val="Helvetica"/>
        <family val="2"/>
      </rPr>
      <t xml:space="preserve">1 Nov Auto Payment </t>
    </r>
    <r>
      <rPr>
        <sz val="8"/>
        <color rgb="FFFFFFFF"/>
        <rFont val="Helvetica"/>
        <family val="2"/>
      </rPr>
      <t>1,760.29 470,000.00</t>
    </r>
  </si>
  <si>
    <t>1,760.29 470,000.00</t>
  </si>
  <si>
    <t>30 Nov INT SAVED BY BALANCE OFFSET 7.80</t>
  </si>
  <si>
    <t>30 Nov Interest Charged 1,657.16 471,657.16</t>
  </si>
  <si>
    <t>1 Dec Auto Payment 1,657.16 470,000.00</t>
  </si>
  <si>
    <t>31 Dec INT SAVED BY BALANCE OFFSET 5.55</t>
  </si>
  <si>
    <t>31 Dec Interest Charged 1,714.91 471,714.91</t>
  </si>
  <si>
    <r>
      <t xml:space="preserve">1 Jan Auto Payment </t>
    </r>
    <r>
      <rPr>
        <sz val="8"/>
        <color rgb="FF000000"/>
        <rFont val="Helvetica"/>
        <family val="2"/>
      </rPr>
      <t xml:space="preserve">1 Jan Auto Payment </t>
    </r>
    <r>
      <rPr>
        <sz val="8"/>
        <color rgb="FFFFFFFF"/>
        <rFont val="Helvetica"/>
        <family val="2"/>
      </rPr>
      <t>1,714.91 470,000.00</t>
    </r>
  </si>
  <si>
    <t>1,714.91 470,000.00</t>
  </si>
  <si>
    <t>21 Jan CLOSING BALANCE 470,000.00</t>
  </si>
  <si>
    <t>Interest Charged $0.00 -$9,602.18 -$7,716.52</t>
  </si>
  <si>
    <r>
      <t xml:space="preserve">Account name: </t>
    </r>
    <r>
      <rPr>
        <sz val="9"/>
        <color rgb="FF000000"/>
        <rFont val="Helvetica"/>
        <family val="2"/>
      </rPr>
      <t>Achieve Var Inv P&amp;I</t>
    </r>
  </si>
  <si>
    <r>
      <t xml:space="preserve">Product name: </t>
    </r>
    <r>
      <rPr>
        <sz val="9"/>
        <color rgb="FF000000"/>
        <rFont val="Helvetica"/>
        <family val="2"/>
      </rPr>
      <t>Achieve Var Inv P&amp;I</t>
    </r>
  </si>
  <si>
    <r>
      <t>Statement period:</t>
    </r>
    <r>
      <rPr>
        <sz val="9"/>
        <color rgb="FF000000"/>
        <rFont val="Helvetica"/>
        <family val="2"/>
      </rPr>
      <t xml:space="preserve"> 15 JUL 2019 To 21 JAN 2020</t>
    </r>
  </si>
  <si>
    <r>
      <t xml:space="preserve">Account: </t>
    </r>
    <r>
      <rPr>
        <sz val="9"/>
        <color rgb="FF000000"/>
        <rFont val="Helvetica"/>
        <family val="2"/>
      </rPr>
      <t xml:space="preserve">51001645 Brett William Hofman, Laura Nicole Hofman </t>
    </r>
    <r>
      <rPr>
        <sz val="8"/>
        <color rgb="FF000000"/>
        <rFont val="Helvetica"/>
        <family val="2"/>
      </rPr>
      <t>CURRENT INTEREST RATE 3.63% P.A.</t>
    </r>
  </si>
  <si>
    <t>15 Jul OPENING BALANCE 0.00</t>
  </si>
  <si>
    <t>5 Aug Debit Transfer 900,000.00 900,000.00</t>
  </si>
  <si>
    <t>27 Aug REPAY CHG FM 4173.15 TO 4182.61 EFF. 01/10/2019</t>
  </si>
  <si>
    <t>31 Aug Interest Charged 2,503.23 902,503.23</t>
  </si>
  <si>
    <t>1 Sep REF: Loan repayment 4,200.00 898,303.23</t>
  </si>
  <si>
    <r>
      <t xml:space="preserve">5 Sep Auto Payment </t>
    </r>
    <r>
      <rPr>
        <sz val="8"/>
        <color rgb="FF000000"/>
        <rFont val="Helvetica"/>
        <family val="2"/>
      </rPr>
      <t xml:space="preserve">5 Sep Auto Payment </t>
    </r>
    <r>
      <rPr>
        <sz val="8"/>
        <color rgb="FFFFFFFF"/>
        <rFont val="Helvetica"/>
        <family val="2"/>
      </rPr>
      <t>4,173.15 894,130.08</t>
    </r>
  </si>
  <si>
    <t>4,173.15 894,130.08</t>
  </si>
  <si>
    <t>23 Sep 4,200.00 898,330.08</t>
  </si>
  <si>
    <t>30 Sep Interest Charged 2,768.41 901,098.49</t>
  </si>
  <si>
    <t>5 Oct Auto Payment 4,182.61 896,915.88</t>
  </si>
  <si>
    <r>
      <t xml:space="preserve">29 Oct </t>
    </r>
    <r>
      <rPr>
        <sz val="8"/>
        <color rgb="FF000000"/>
        <rFont val="Helvetica"/>
        <family val="2"/>
      </rPr>
      <t xml:space="preserve">29 Oct </t>
    </r>
    <r>
      <rPr>
        <sz val="8"/>
        <color rgb="FFFFFFFF"/>
        <rFont val="Helvetica"/>
        <family val="2"/>
      </rPr>
      <t>RATE CHANGED FM 3.76 % TO 3.63 %</t>
    </r>
  </si>
  <si>
    <t>RATE CHANGED FM 3.76 % TO 3.63 %</t>
  </si>
  <si>
    <t>29 Oct REPAY CHG FM 4182.61 TO 4117.42 EFF. 29/10/2019</t>
  </si>
  <si>
    <t>31 Oct Interest Charged 2,856.37 899,772.25</t>
  </si>
  <si>
    <t>5 Nov Auto Payment 4,117.42 895,654.83</t>
  </si>
  <si>
    <t>30 Nov Interest Charged 2,673.88 898,328.71</t>
  </si>
  <si>
    <t>5 Dec Auto Payment 4,117.42 894,211.29</t>
  </si>
  <si>
    <t>31 Dec Interest Charged 2,758.50 896,969.79</t>
  </si>
  <si>
    <t>5 Jan Auto Payment 4,117.42 892,852.37</t>
  </si>
  <si>
    <t>21 Jan CLOSING BALANCE 892,852.37</t>
  </si>
  <si>
    <t>Interest Charged $0.00 -$13,560.39 $0.00</t>
  </si>
  <si>
    <t>E-525/S-149330/I-277482</t>
  </si>
  <si>
    <t>3 of 3</t>
  </si>
  <si>
    <t>cua.com.au</t>
  </si>
  <si>
    <t>iM CUA app</t>
  </si>
  <si>
    <t>Member number: 9018614</t>
  </si>
  <si>
    <t>BSB: 814-282</t>
  </si>
  <si>
    <t>Issue date: 21/07/2020</t>
  </si>
  <si>
    <t>Shareholder: 1 x Member Share</t>
  </si>
  <si>
    <t>10 Arnold St</t>
  </si>
  <si>
    <t>PARKSIDE SA 5063</t>
  </si>
  <si>
    <t>My statement</t>
  </si>
  <si>
    <t>$93.09 </t>
  </si>
  <si>
    <t>$46,809.96 $31,895.80 </t>
  </si>
  <si>
    <t>Accelerate Var Inv IO </t>
  </si>
  <si>
    <t>$7,900.60 $9,456.38 </t>
  </si>
  <si>
    <t>51001645 Achieve Variable OO P&amp;I -$892,852.37 $22,945.20 $13,568.60 -$883,475.77</t>
  </si>
  <si>
    <r>
      <t xml:space="preserve">Statement period: </t>
    </r>
    <r>
      <rPr>
        <sz val="9"/>
        <color rgb="FF000000"/>
        <rFont val="Helvetica"/>
        <family val="2"/>
      </rPr>
      <t>22 JAN 2020 To 21 JUL 2020</t>
    </r>
  </si>
  <si>
    <r>
      <t xml:space="preserve">Account: </t>
    </r>
    <r>
      <rPr>
        <sz val="9"/>
        <color rgb="FF000000"/>
        <rFont val="Helvetica"/>
        <family val="2"/>
      </rPr>
      <t xml:space="preserve">50455259 Brett William Hofman, Laura Nicole Hofman </t>
    </r>
    <r>
      <rPr>
        <sz val="6"/>
        <color rgb="FF000000"/>
        <rFont val="Helvetica"/>
        <family val="2"/>
      </rPr>
      <t>E-154/S-315736/I-584258EM. 154NNNNNN 9018614</t>
    </r>
  </si>
  <si>
    <t>22 Jan OPENING BALANCE 93.09</t>
  </si>
  <si>
    <t>31 Jan ePayment From:Brett Hofman REF: Mortgage 6,000.00 6,093.09</t>
  </si>
  <si>
    <t>1 Feb Auto Payment TRANSFER TO 814282 50503609 Hofman Brett 1,713.06 4,380.03</t>
  </si>
  <si>
    <r>
      <t xml:space="preserve">5 Feb Auto Payment TRANSFER TO 814282 51001645 Hofman Brett 4,117.42 8 Feb Fast Pymt Out Brett W Hofman </t>
    </r>
    <r>
      <rPr>
        <sz val="8"/>
        <color rgb="FFFFFFFF"/>
        <rFont val="Helvetica"/>
        <family val="2"/>
      </rPr>
      <t xml:space="preserve">8 Feb Fast Pymt Out Brett W Hofman 250.00 </t>
    </r>
    <r>
      <rPr>
        <sz val="8"/>
        <color rgb="FF000000"/>
        <rFont val="Helvetica"/>
        <family val="2"/>
      </rPr>
      <t>250.00 11 Feb Fast Pymt In 200.00 212.61</t>
    </r>
  </si>
  <si>
    <r>
      <t xml:space="preserve">11 Feb Fast Pymt Out Brett W Hofman </t>
    </r>
    <r>
      <rPr>
        <sz val="8"/>
        <color rgb="FFFFFFFF"/>
        <rFont val="Helvetica"/>
        <family val="2"/>
      </rPr>
      <t xml:space="preserve">11 Feb Fast Pymt Out Brett W Hofman 200.00 </t>
    </r>
    <r>
      <rPr>
        <sz val="8"/>
        <color rgb="FF000000"/>
        <rFont val="Helvetica"/>
        <family val="2"/>
      </rPr>
      <t>200.00 262.61</t>
    </r>
  </si>
  <si>
    <r>
      <t>on our complaints and dispute resolution system, or in relation to your financial products, their benefits or fees and charges call 133 282 or drop into any of our branches.</t>
    </r>
    <r>
      <rPr>
        <sz val="9"/>
        <color rgb="FF424342"/>
        <rFont val="Helvetica"/>
        <family val="2"/>
      </rPr>
      <t>Member number: 9018614</t>
    </r>
  </si>
  <si>
    <t>Credits Balance</t>
  </si>
  <si>
    <t>27 Feb </t>
  </si>
  <si>
    <t>ePayment From:Brett Hofman REF: Mortgage </t>
  </si>
  <si>
    <t>7,000.00 7,012.61</t>
  </si>
  <si>
    <t>1 Mar 1 Mar </t>
  </si>
  <si>
    <t>5 Mar </t>
  </si>
  <si>
    <t>11 Mar 11 Mar </t>
  </si>
  <si>
    <t>VARIATION FEE switch fee VARIATION FEE switch fee </t>
  </si>
  <si>
    <t>300.00 300.00 </t>
  </si>
  <si>
    <t>12 Mar </t>
  </si>
  <si>
    <t>ePayment From:Brett Hofman REF: March STI </t>
  </si>
  <si>
    <t>20,000.00 22,595.19</t>
  </si>
  <si>
    <t>17 Mar 17 Mar </t>
  </si>
  <si>
    <t>1 Apr </t>
  </si>
  <si>
    <t>1,591.55 </t>
  </si>
  <si>
    <t>1 Apr 1 Apr </t>
  </si>
  <si>
    <t>5 Apr </t>
  </si>
  <si>
    <t>3,677.59 </t>
  </si>
  <si>
    <t>24 Apr 24 Apr </t>
  </si>
  <si>
    <t>ePayment From:Brett Hofman REF: May Mortgage ePayment From:Brett Hofman REF: May Mortgage </t>
  </si>
  <si>
    <t>3,243.09 20,269.14</t>
  </si>
  <si>
    <t>1 May </t>
  </si>
  <si>
    <t>1,515.16 </t>
  </si>
  <si>
    <t>1 May 1 May </t>
  </si>
  <si>
    <t>5 May </t>
  </si>
  <si>
    <t>18 May 18 May </t>
  </si>
  <si>
    <t>367.70 15,444.09</t>
  </si>
  <si>
    <t>18 May </t>
  </si>
  <si>
    <t>REF:Medicare - Casse</t>
  </si>
  <si>
    <t>28 May 28 May </t>
  </si>
  <si>
    <t>1,000.00 16,444.09</t>
  </si>
  <si>
    <t>28 May </t>
  </si>
  <si>
    <t>REF:June loan</t>
  </si>
  <si>
    <t>1 Jun 1 Jun </t>
  </si>
  <si>
    <t>1,565.67 1,565.67 </t>
  </si>
  <si>
    <t>1 Jun </t>
  </si>
  <si>
    <t>5 Jun 5 Jun </t>
  </si>
  <si>
    <t>3,677.59 3,677.59 </t>
  </si>
  <si>
    <t>5 Jun </t>
  </si>
  <si>
    <t>999.99 12,200.82</t>
  </si>
  <si>
    <t>REF:Jun loan</t>
  </si>
  <si>
    <t>999.99 13,200.81</t>
  </si>
  <si>
    <t>13 Jun </t>
  </si>
  <si>
    <t>999.99 14,200.80</t>
  </si>
  <si>
    <t>13 Jun 13 Jun </t>
  </si>
  <si>
    <t>REF:June pay</t>
  </si>
  <si>
    <t>15 Jun </t>
  </si>
  <si>
    <t>799.20 15,000.00</t>
  </si>
  <si>
    <t>15 Jun 15 Jun </t>
  </si>
  <si>
    <t>REF:June 15K</t>
  </si>
  <si>
    <t>1 Jul </t>
  </si>
  <si>
    <t>1 Jul 1 Jul </t>
  </si>
  <si>
    <t>5 Jul </t>
  </si>
  <si>
    <t>14 Jul 14 Jul </t>
  </si>
  <si>
    <t>1,000.00 10,807.25</t>
  </si>
  <si>
    <t>14 Jul </t>
  </si>
  <si>
    <t>REF:July 1</t>
  </si>
  <si>
    <t>15 Jul 15 Jul </t>
  </si>
  <si>
    <t>ePayment From:Brett Hofman REF: July 2 ePayment From:Brett Hofman REF: July 2 </t>
  </si>
  <si>
    <t>3,200.00 14,007.25</t>
  </si>
  <si>
    <t>17 Jul </t>
  </si>
  <si>
    <t>1,000.00 15,007.25</t>
  </si>
  <si>
    <t>17 Jul 17 Jul </t>
  </si>
  <si>
    <t>REF:Jul LH Sal</t>
  </si>
  <si>
    <t>21 Jul </t>
  </si>
  <si>
    <t>E-154/S-315736/I-584259</t>
  </si>
  <si>
    <r>
      <t xml:space="preserve">Account name: </t>
    </r>
    <r>
      <rPr>
        <sz val="9"/>
        <color rgb="FF000000"/>
        <rFont val="Helvetica"/>
        <family val="2"/>
      </rPr>
      <t>Accelerate Var Inv IO</t>
    </r>
  </si>
  <si>
    <r>
      <t xml:space="preserve">Product name: </t>
    </r>
    <r>
      <rPr>
        <sz val="9"/>
        <color rgb="FF000000"/>
        <rFont val="Helvetica"/>
        <family val="2"/>
      </rPr>
      <t>Accelerate Var Inv IO</t>
    </r>
  </si>
  <si>
    <t>CURRENT INTEREST RATE 3.92% P.A.</t>
  </si>
  <si>
    <t>31 Jan INT SAVED BY BALANCE OFFSET 2.70</t>
  </si>
  <si>
    <t>31 Jan Interest Charged 1,713.06 471,713.06</t>
  </si>
  <si>
    <r>
      <t xml:space="preserve">1 Feb Auto Payment </t>
    </r>
    <r>
      <rPr>
        <sz val="8"/>
        <color rgb="FFFFFFFF"/>
        <rFont val="Helvetica"/>
        <family val="2"/>
      </rPr>
      <t xml:space="preserve">1 Feb Auto Payment </t>
    </r>
    <r>
      <rPr>
        <sz val="8"/>
        <color rgb="FF000000"/>
        <rFont val="Helvetica"/>
        <family val="2"/>
      </rPr>
      <t>1,713.06 470,000.00</t>
    </r>
  </si>
  <si>
    <t>1,713.06 470,000.00</t>
  </si>
  <si>
    <t>20 Feb </t>
  </si>
  <si>
    <t>ACT TYPE CHG Standard Var IO TO Standard VarP&amp;I</t>
  </si>
  <si>
    <t>20 Feb 20 Feb </t>
  </si>
  <si>
    <t>RATE CHANGED FM 4.31 % TO 3.96 %</t>
  </si>
  <si>
    <t>29 Feb </t>
  </si>
  <si>
    <t>INT SAVED BY BALANCE OFFSET 4.34</t>
  </si>
  <si>
    <t>29 Feb 29 Feb </t>
  </si>
  <si>
    <t>Interest Charged Interest Charged </t>
  </si>
  <si>
    <t>1,555.78 1,555.78 </t>
  </si>
  <si>
    <t>17 Mar </t>
  </si>
  <si>
    <t>ACT TYPE CHG Standard VarP&amp;I TO Accelerate Var</t>
  </si>
  <si>
    <t>RATE CHANGED FM 3.96 % TO 4.17 %</t>
  </si>
  <si>
    <t>24 Mar </t>
  </si>
  <si>
    <t>RATE CHANGED FM 4.17 % TO 3.92 %</t>
  </si>
  <si>
    <t>31 Mar 31 Mar </t>
  </si>
  <si>
    <t>INT SAVED BY BALANCE OFFSET 4.91</t>
  </si>
  <si>
    <t>31 Mar </t>
  </si>
  <si>
    <t>Interest Charged </t>
  </si>
  <si>
    <t>Auto Payment Auto Payment </t>
  </si>
  <si>
    <t>1,591.55 471,555.78</t>
  </si>
  <si>
    <t>30 Apr </t>
  </si>
  <si>
    <t>1,515.16 471,555.78</t>
  </si>
  <si>
    <t>31 May </t>
  </si>
  <si>
    <t>1,565.67 </t>
  </si>
  <si>
    <t>1,565.67 471,555.78</t>
  </si>
  <si>
    <t>30 Jun </t>
  </si>
  <si>
    <t>21 Jul CLOSING BALANCE 471,555.78</t>
  </si>
  <si>
    <t>Interest Charged $0.00 $0.00 -$19,058.56</t>
  </si>
  <si>
    <r>
      <t xml:space="preserve">Account name: </t>
    </r>
    <r>
      <rPr>
        <sz val="9"/>
        <color rgb="FF000000"/>
        <rFont val="Helvetica"/>
        <family val="2"/>
      </rPr>
      <t>Achieve Variable OO P&amp;I</t>
    </r>
  </si>
  <si>
    <r>
      <t xml:space="preserve">Product name: </t>
    </r>
    <r>
      <rPr>
        <sz val="9"/>
        <color rgb="FF000000"/>
        <rFont val="Helvetica"/>
        <family val="2"/>
      </rPr>
      <t>Achieve Variable OO P&amp;I</t>
    </r>
  </si>
  <si>
    <r>
      <t xml:space="preserve">Account: </t>
    </r>
    <r>
      <rPr>
        <sz val="9"/>
        <color rgb="FF000000"/>
        <rFont val="Helvetica"/>
        <family val="2"/>
      </rPr>
      <t xml:space="preserve">51001645 Brett William Hofman, Laura Nicole Hofman </t>
    </r>
    <r>
      <rPr>
        <sz val="9"/>
        <color rgb="FF15A3B5"/>
        <rFont val="Helvetica"/>
        <family val="2"/>
      </rPr>
      <t xml:space="preserve">TFN Known: </t>
    </r>
    <r>
      <rPr>
        <sz val="9"/>
        <color rgb="FF000000"/>
        <rFont val="Helvetica"/>
        <family val="2"/>
      </rPr>
      <t>Y</t>
    </r>
  </si>
  <si>
    <t>CURRENT INTEREST RATE 2.73% P.A.</t>
  </si>
  <si>
    <t>22 Jan OPENING BALANCE 892,852.37</t>
  </si>
  <si>
    <t>31 Jan Interest Charged 2,746.79 895,599.16</t>
  </si>
  <si>
    <t>5 Feb Auto Payment 4,117.42 891,481.74</t>
  </si>
  <si>
    <t>29 Feb Interest Charged 2,565.74 894,047.48</t>
  </si>
  <si>
    <t>5 Mar Auto Payment 4,117.42 889,930.06</t>
  </si>
  <si>
    <r>
      <t xml:space="preserve">11 Mar </t>
    </r>
    <r>
      <rPr>
        <sz val="8"/>
        <color rgb="FFFFFFFF"/>
        <rFont val="Helvetica"/>
        <family val="2"/>
      </rPr>
      <t xml:space="preserve">11 Mar </t>
    </r>
    <r>
      <rPr>
        <sz val="8"/>
        <color rgb="FF000000"/>
        <rFont val="Helvetica"/>
        <family val="2"/>
      </rPr>
      <t>ACT TYPE CHG Achieve InvP&amp;I TO Achieve OO P&amp;I</t>
    </r>
  </si>
  <si>
    <t>ACT TYPE CHG Achieve InvP&amp;I TO Achieve OO P&amp;I</t>
  </si>
  <si>
    <t>11 Mar RATE CHANGED FM 3.63 % TO 2.98 %</t>
  </si>
  <si>
    <r>
      <t xml:space="preserve">24 Mar </t>
    </r>
    <r>
      <rPr>
        <sz val="8"/>
        <color rgb="FFFFFFFF"/>
        <rFont val="Helvetica"/>
        <family val="2"/>
      </rPr>
      <t xml:space="preserve">24 Mar </t>
    </r>
    <r>
      <rPr>
        <sz val="8"/>
        <color rgb="FF000000"/>
        <rFont val="Helvetica"/>
        <family val="2"/>
      </rPr>
      <t>RATE CHANGED FM 2.98 % TO 2.73 %</t>
    </r>
  </si>
  <si>
    <t>RATE CHANGED FM 2.98 % TO 2.73 %</t>
  </si>
  <si>
    <t>24 Mar REPAY CHG FM 3792.16 TO 3677.59 EFF. 24/03/2020</t>
  </si>
  <si>
    <t>31 Mar INT SAVED BY BALANCE OFFSET 23.82</t>
  </si>
  <si>
    <t>31 Mar Interest Charged 2,333.46 892,263.52</t>
  </si>
  <si>
    <r>
      <t xml:space="preserve">5 Apr Auto Payment </t>
    </r>
    <r>
      <rPr>
        <sz val="8"/>
        <color rgb="FFFFFFFF"/>
        <rFont val="Helvetica"/>
        <family val="2"/>
      </rPr>
      <t xml:space="preserve">5 Apr Auto Payment </t>
    </r>
    <r>
      <rPr>
        <sz val="8"/>
        <color rgb="FF000000"/>
        <rFont val="Helvetica"/>
        <family val="2"/>
      </rPr>
      <t>3,677.59 888,585.93</t>
    </r>
  </si>
  <si>
    <t>3,677.59 888,585.93</t>
  </si>
  <si>
    <t>30 Apr INT SAVED BY BALANCE OFFSET 33.57</t>
  </si>
  <si>
    <t>30 Apr Interest Charged 1,955.92 890,541.85</t>
  </si>
  <si>
    <t>5 May Auto Payment 3,677.59 886,864.26</t>
  </si>
  <si>
    <t>31 May INT SAVED BY BALANCE OFFSET 34.68</t>
  </si>
  <si>
    <t>31 May Interest Charged 2,017.10 888,881.36</t>
  </si>
  <si>
    <r>
      <t xml:space="preserve">5 Jun Auto Payment </t>
    </r>
    <r>
      <rPr>
        <sz val="8"/>
        <color rgb="FFFFFFFF"/>
        <rFont val="Helvetica"/>
        <family val="2"/>
      </rPr>
      <t xml:space="preserve">5 Jun Auto Payment </t>
    </r>
    <r>
      <rPr>
        <sz val="8"/>
        <color rgb="FF000000"/>
        <rFont val="Helvetica"/>
        <family val="2"/>
      </rPr>
      <t>3,677.59 885,203.77</t>
    </r>
  </si>
  <si>
    <t>3,677.59 885,203.77</t>
  </si>
  <si>
    <t>30 Jun INT SAVED BY BALANCE OFFSET 32.34</t>
  </si>
  <si>
    <t>30 Jun Interest Charged 1,949.59 887,153.36</t>
  </si>
  <si>
    <t>5 Jul Auto Payment 3,677.59 883,475.77</t>
  </si>
  <si>
    <t>21 Jul CLOSING BALANCE 883,475.77</t>
  </si>
  <si>
    <t>E-154/S-315737/I-584260</t>
  </si>
  <si>
    <t>Interest Charged $0.00 $0.00 -$27,129.01</t>
  </si>
  <si>
    <t>Issue date: 21/01/2021</t>
  </si>
  <si>
    <t>$15,007.25 </t>
  </si>
  <si>
    <t>$28,637.69 $31,541.10 </t>
  </si>
  <si>
    <t>Achieve Var Inv IO </t>
  </si>
  <si>
    <t>-$471,555.78 </t>
  </si>
  <si>
    <t>$9,036.86 $9,036.86 </t>
  </si>
  <si>
    <t>51001645 Achieve Variable OO P&amp;I -$883,475.77 $22,304.24 $11,796.51 -$872,968.04</t>
  </si>
  <si>
    <t>E-2612/S-350124/I-649283 EM. 2612NNNNNN 9018614</t>
  </si>
  <si>
    <r>
      <t>Statement period:</t>
    </r>
    <r>
      <rPr>
        <sz val="9"/>
        <color rgb="FF000000"/>
        <rFont val="Helvetica"/>
        <family val="2"/>
      </rPr>
      <t xml:space="preserve"> 22 JUL 2020 To 21 JAN 2021</t>
    </r>
  </si>
  <si>
    <r>
      <t xml:space="preserve">Account: </t>
    </r>
    <r>
      <rPr>
        <sz val="9"/>
        <color rgb="FF000000"/>
        <rFont val="Helvetica"/>
        <family val="2"/>
      </rPr>
      <t xml:space="preserve">50455259 Brett William Hofman, Laura Nicole Hofman </t>
    </r>
    <r>
      <rPr>
        <sz val="8"/>
        <color rgb="FF15A3B5"/>
        <rFont val="Helvetica"/>
        <family val="2"/>
      </rPr>
      <t xml:space="preserve">Date Description </t>
    </r>
    <r>
      <rPr>
        <sz val="8"/>
        <color rgb="FF000000"/>
        <rFont val="Helvetica"/>
        <family val="2"/>
      </rPr>
      <t xml:space="preserve">22 Jul OPENING BALANCE </t>
    </r>
    <r>
      <rPr>
        <sz val="8"/>
        <color rgb="FFFFFFFF"/>
        <rFont val="Helvetica"/>
        <family val="2"/>
      </rPr>
      <t xml:space="preserve">22 Jul Fast Pymt In </t>
    </r>
    <r>
      <rPr>
        <sz val="8"/>
        <color rgb="FF000000"/>
        <rFont val="Helvetica"/>
        <family val="2"/>
      </rPr>
      <t xml:space="preserve">22 Jul Fast Pymt In 1 Aug Auto Payment TRANSFER TO 814282 50503609 Hofman Brett </t>
    </r>
    <r>
      <rPr>
        <sz val="8"/>
        <color rgb="FFFFFFFF"/>
        <rFont val="Helvetica"/>
        <family val="2"/>
      </rPr>
      <t>1 Aug FREE TXNS UNLIMITED</t>
    </r>
  </si>
  <si>
    <r>
      <t xml:space="preserve">5 Aug Auto Payment TRANSFER TO 814282 51001645 Hofman Brett </t>
    </r>
    <r>
      <rPr>
        <sz val="8"/>
        <color rgb="FFFFFFFF"/>
        <rFont val="Helvetica"/>
        <family val="2"/>
      </rPr>
      <t xml:space="preserve">14 Aug ePayment From:Brett Hofman REF: Salary </t>
    </r>
    <r>
      <rPr>
        <sz val="8"/>
        <color rgb="FF000000"/>
        <rFont val="Helvetica"/>
        <family val="2"/>
      </rPr>
      <t xml:space="preserve">14 Aug ePayment From:Brett Hofman REF: Salary 15 Aug Fast Pymt In </t>
    </r>
    <r>
      <rPr>
        <sz val="8"/>
        <color rgb="FFFFFFFF"/>
        <rFont val="Helvetica"/>
        <family val="2"/>
      </rPr>
      <t xml:space="preserve">27 Aug Fast Pymt In </t>
    </r>
    <r>
      <rPr>
        <sz val="8"/>
        <color rgb="FF000000"/>
        <rFont val="Helvetica"/>
        <family val="2"/>
      </rPr>
      <t>27 Aug Fast Pymt In </t>
    </r>
  </si>
  <si>
    <t>TFN Known: Y</t>
  </si>
  <si>
    <t>50.01 50.01 </t>
  </si>
  <si>
    <t>3,000.00 3,000.00 </t>
  </si>
  <si>
    <t>227.05 </t>
  </si>
  <si>
    <t>1,000.00 14,041.05</t>
  </si>
  <si>
    <t>1 of 4</t>
  </si>
  <si>
    <t>27 Aug REF:LH Salary end Aug</t>
  </si>
  <si>
    <r>
      <t xml:space="preserve">28 Aug Fast Pymt In </t>
    </r>
    <r>
      <rPr>
        <sz val="8"/>
        <color rgb="FFFFFFFF"/>
        <rFont val="Helvetica"/>
        <family val="2"/>
      </rPr>
      <t xml:space="preserve">28 Aug Fast Pymt In </t>
    </r>
    <r>
      <rPr>
        <sz val="8"/>
        <color rgb="FF000000"/>
        <rFont val="Helvetica"/>
        <family val="2"/>
      </rPr>
      <t xml:space="preserve">1 Sep Auto Payment TRANSFER TO 814282 50503609 Hofman Brett 1,565.67 </t>
    </r>
    <r>
      <rPr>
        <sz val="8"/>
        <color rgb="FFFFFFFF"/>
        <rFont val="Helvetica"/>
        <family val="2"/>
      </rPr>
      <t>960.00 15,001.05</t>
    </r>
  </si>
  <si>
    <t>960.00 15,001.05</t>
  </si>
  <si>
    <t>1 Sep FREE TXNS UNLIMITED</t>
  </si>
  <si>
    <r>
      <t xml:space="preserve">5 Sep Auto Payment TRANSFER TO 814282 51001645 Hofman Brett 3,677.59 8 Sep </t>
    </r>
    <r>
      <rPr>
        <sz val="8"/>
        <color rgb="FFFFFFFF"/>
        <rFont val="Helvetica"/>
        <family val="2"/>
      </rPr>
      <t xml:space="preserve">8 Sep </t>
    </r>
    <r>
      <rPr>
        <sz val="8"/>
        <color rgb="FF000000"/>
        <rFont val="Helvetica"/>
        <family val="2"/>
      </rPr>
      <t>Sept top up TXN INITIATED BY-9018614 TRANSFER TO 814282 51001645</t>
    </r>
  </si>
  <si>
    <t>Sept top up TXN INITIATED BY-9018614 TRANSFER TO 814282 51001645</t>
  </si>
  <si>
    <t>6,332.26 11,497.30</t>
  </si>
  <si>
    <t>1,000.00 12,497.30</t>
  </si>
  <si>
    <t>4,068.37 15,000.00</t>
  </si>
  <si>
    <t>1,000.00 12,322.41</t>
  </si>
  <si>
    <t>1,000.00 13,322.41</t>
  </si>
  <si>
    <t>1,000.00 14,322.41</t>
  </si>
  <si>
    <t>Hofman Brett 400.00 9,357.79</t>
  </si>
  <si>
    <t>1,000.00 10,357.79</t>
  </si>
  <si>
    <r>
      <t xml:space="preserve">30 Sep Fast Pymt In </t>
    </r>
    <r>
      <rPr>
        <sz val="8"/>
        <color rgb="FFFFFFFF"/>
        <rFont val="Helvetica"/>
        <family val="2"/>
      </rPr>
      <t>30 Sep REF:Oct mortgage</t>
    </r>
  </si>
  <si>
    <t>30 Sep REF:Oct mortgage</t>
  </si>
  <si>
    <r>
      <t xml:space="preserve">1 Oct Auto Payment TRANSFER TO 814282 50503609 Hofman Brett 1,515.16 </t>
    </r>
    <r>
      <rPr>
        <sz val="8"/>
        <color rgb="FFFFFFFF"/>
        <rFont val="Helvetica"/>
        <family val="2"/>
      </rPr>
      <t>1 Oct FREE TXNS UNLIMITED</t>
    </r>
  </si>
  <si>
    <t>1 Oct FREE TXNS UNLIMITED</t>
  </si>
  <si>
    <r>
      <t xml:space="preserve">5 Oct Auto Payment TRANSFER TO 814282 51001645 Hofman Brett 3,677.59 </t>
    </r>
    <r>
      <rPr>
        <sz val="8"/>
        <color rgb="FFFFFFFF"/>
        <rFont val="Helvetica"/>
        <family val="2"/>
      </rPr>
      <t xml:space="preserve">14 Oct ePayment From:Brett Hofman REF: Nov Mort </t>
    </r>
    <r>
      <rPr>
        <sz val="8"/>
        <color rgb="FF000000"/>
        <rFont val="Helvetica"/>
        <family val="2"/>
      </rPr>
      <t xml:space="preserve">14 Oct ePayment From:Brett Hofman REF: Nov Mort 19 Oct Fast Pymt In </t>
    </r>
    <r>
      <rPr>
        <sz val="8"/>
        <color rgb="FFFFFFFF"/>
        <rFont val="Helvetica"/>
        <family val="2"/>
      </rPr>
      <t>19 Oct REF:C U A</t>
    </r>
  </si>
  <si>
    <t>19 Oct REF:C U A</t>
  </si>
  <si>
    <r>
      <t xml:space="preserve">1 Nov Auto Payment TRANSFER TO 814282 50503609 Hofman Brett 1,565.67 </t>
    </r>
    <r>
      <rPr>
        <sz val="8"/>
        <color rgb="FFFFFFFF"/>
        <rFont val="Helvetica"/>
        <family val="2"/>
      </rPr>
      <t>1 Nov FREE TXNS UNLIMITED</t>
    </r>
  </si>
  <si>
    <t>1 Nov FREE TXNS UNLIMITED</t>
  </si>
  <si>
    <r>
      <t xml:space="preserve">4 Nov Fast Pymt In </t>
    </r>
    <r>
      <rPr>
        <sz val="8"/>
        <color rgb="FFFFFFFF"/>
        <rFont val="Helvetica"/>
        <family val="2"/>
      </rPr>
      <t xml:space="preserve">5 Nov Auto Payment TRANSFER TO 814282 51001645 Hofman Brett 3,677.59 </t>
    </r>
    <r>
      <rPr>
        <sz val="8"/>
        <color rgb="FF000000"/>
        <rFont val="Helvetica"/>
        <family val="2"/>
      </rPr>
      <t xml:space="preserve">5 Nov Auto Payment TRANSFER TO 814282 51001645 Hofman Brett 3,677.59 12 Nov Fast Pymt In </t>
    </r>
    <r>
      <rPr>
        <sz val="8"/>
        <color rgb="FFFFFFFF"/>
        <rFont val="Helvetica"/>
        <family val="2"/>
      </rPr>
      <t>12 Nov REF:NOV Pay</t>
    </r>
  </si>
  <si>
    <t>12 Nov REF:NOV Pay</t>
  </si>
  <si>
    <r>
      <t xml:space="preserve">21 Nov Fast Pymt In </t>
    </r>
    <r>
      <rPr>
        <sz val="8"/>
        <color rgb="FFFFFFFF"/>
        <rFont val="Helvetica"/>
        <family val="2"/>
      </rPr>
      <t>21 Nov REF:Up to 15k</t>
    </r>
  </si>
  <si>
    <t>21 Nov REF:Up to 15k</t>
  </si>
  <si>
    <r>
      <t xml:space="preserve">22 Nov Fast Pymt In </t>
    </r>
    <r>
      <rPr>
        <sz val="8"/>
        <color rgb="FFFFFFFF"/>
        <rFont val="Helvetica"/>
        <family val="2"/>
      </rPr>
      <t>22 Nov REF:Buffet pymt 2</t>
    </r>
  </si>
  <si>
    <t>22 Nov REF:Buffet pymt 2</t>
  </si>
  <si>
    <r>
      <t xml:space="preserve">1 Dec Auto Payment TRANSFER TO 814282 50503609 Hofman Brett 1,515.16 </t>
    </r>
    <r>
      <rPr>
        <sz val="8"/>
        <color rgb="FFFFFFFF"/>
        <rFont val="Helvetica"/>
        <family val="2"/>
      </rPr>
      <t>1 Dec FREE TXNS UNLIMITED</t>
    </r>
  </si>
  <si>
    <t>1 Dec FREE TXNS UNLIMITED</t>
  </si>
  <si>
    <t>4 Dec VARIATION FEE Switch Fee 100.00 12,707.25</t>
  </si>
  <si>
    <t>4 Dec VARIATION FEE Variation Fee 100.00 12,607.25</t>
  </si>
  <si>
    <t>5 Dec Auto Payment TRANSFER TO 814282 51001645 Hofman Brett 3,596.94 9,010.31</t>
  </si>
  <si>
    <r>
      <t xml:space="preserve">20 Dec Fast Pymt In </t>
    </r>
    <r>
      <rPr>
        <sz val="8"/>
        <color rgb="FF000000"/>
        <rFont val="Helvetica"/>
        <family val="2"/>
      </rPr>
      <t xml:space="preserve">20 Dec Fast Pymt In </t>
    </r>
    <r>
      <rPr>
        <sz val="8"/>
        <color rgb="FFFFFFFF"/>
        <rFont val="Helvetica"/>
        <family val="2"/>
      </rPr>
      <t>1,000.00 10,010.31</t>
    </r>
  </si>
  <si>
    <t>1,000.00 10,010.31</t>
  </si>
  <si>
    <t>20 Dec REF:Dec 1</t>
  </si>
  <si>
    <r>
      <t xml:space="preserve">29 Dec Fast Pymt In </t>
    </r>
    <r>
      <rPr>
        <sz val="8"/>
        <color rgb="FF000000"/>
        <rFont val="Helvetica"/>
        <family val="2"/>
      </rPr>
      <t>29 Dec Fast Pymt In 1,000.00 11,010.31</t>
    </r>
  </si>
  <si>
    <t>1,000.00 11,010.31</t>
  </si>
  <si>
    <t>29 Dec REF:Top up</t>
  </si>
  <si>
    <r>
      <t xml:space="preserve">31 Dec Fast Pymt In </t>
    </r>
    <r>
      <rPr>
        <sz val="8"/>
        <color rgb="FF000000"/>
        <rFont val="Helvetica"/>
        <family val="2"/>
      </rPr>
      <t>31 Dec Fast Pymt In 1,000.00 12,010.31</t>
    </r>
  </si>
  <si>
    <t>1,000.00 12,010.31</t>
  </si>
  <si>
    <t>31 Dec REF:Jan bills</t>
  </si>
  <si>
    <r>
      <t xml:space="preserve">1 Jan Auto Payment TRANSFER TO 814282 50503609 Hofman Brett 1,309.53 </t>
    </r>
    <r>
      <rPr>
        <sz val="8"/>
        <color rgb="FF000000"/>
        <rFont val="Helvetica"/>
        <family val="2"/>
      </rPr>
      <t>1 Jan Auto Payment TRANSFER TO 814282 50503609 Hofman Brett 1,309.53 10,700.78</t>
    </r>
  </si>
  <si>
    <t>1 Jan FREE TXNS UNLIMITED</t>
  </si>
  <si>
    <r>
      <t xml:space="preserve">1 Jan Fast Pymt In </t>
    </r>
    <r>
      <rPr>
        <sz val="8"/>
        <color rgb="FF000000"/>
        <rFont val="Helvetica"/>
        <family val="2"/>
      </rPr>
      <t>1 Jan Fast Pymt In 1,000.00 11,700.78</t>
    </r>
  </si>
  <si>
    <t>1,000.00 11,700.78</t>
  </si>
  <si>
    <t>4 Jan Fast Pymt In 1,000.00 12,700.78</t>
  </si>
  <si>
    <t>4 Jan REF:Jan mort</t>
  </si>
  <si>
    <t>5 Jan Auto Payment TRANSFER TO 814282 51001645 Hofman Brett 3,596.94 9,103.84</t>
  </si>
  <si>
    <r>
      <t xml:space="preserve">18 Jan Fast Pymt In </t>
    </r>
    <r>
      <rPr>
        <sz val="8"/>
        <color rgb="FF000000"/>
        <rFont val="Helvetica"/>
        <family val="2"/>
      </rPr>
      <t>18 Jan Fast Pymt In 1,000.00 10,103.84</t>
    </r>
  </si>
  <si>
    <t>1,000.00 10,103.84</t>
  </si>
  <si>
    <t>19 Jan Fast Pymt In 1,000.00 11,103.84</t>
  </si>
  <si>
    <r>
      <t xml:space="preserve">21 Jan Fast Pymt In </t>
    </r>
    <r>
      <rPr>
        <sz val="8"/>
        <color rgb="FF000000"/>
        <rFont val="Helvetica"/>
        <family val="2"/>
      </rPr>
      <t>21 Jan Fast Pymt In 1,000.00 12,103.84</t>
    </r>
  </si>
  <si>
    <t>1,000.00 12,103.84</t>
  </si>
  <si>
    <t>21 Jan CLOSING BALANCE 12,103.84</t>
  </si>
  <si>
    <t>2 Sep CR RT CHG 0.20% - 0.15%</t>
  </si>
  <si>
    <t>18 Dec CR RT CHG 0.15% - 0.05%</t>
  </si>
  <si>
    <t>E-2612/S-350124/I-649284</t>
  </si>
  <si>
    <t>2 of 4</t>
  </si>
  <si>
    <r>
      <t xml:space="preserve">Account name: </t>
    </r>
    <r>
      <rPr>
        <sz val="9"/>
        <color rgb="FF000000"/>
        <rFont val="Helvetica"/>
        <family val="2"/>
      </rPr>
      <t>Achieve Var Inv IO</t>
    </r>
  </si>
  <si>
    <r>
      <t xml:space="preserve">Product name: </t>
    </r>
    <r>
      <rPr>
        <sz val="9"/>
        <color rgb="FF000000"/>
        <rFont val="Helvetica"/>
        <family val="2"/>
      </rPr>
      <t>Achieve Var Inv IO</t>
    </r>
  </si>
  <si>
    <r>
      <t xml:space="preserve">Account: </t>
    </r>
    <r>
      <rPr>
        <sz val="9"/>
        <color rgb="FF000000"/>
        <rFont val="Helvetica"/>
        <family val="2"/>
      </rPr>
      <t xml:space="preserve">50503609 Brett William Hofman, Laura Nicole Hofman </t>
    </r>
    <r>
      <rPr>
        <sz val="8"/>
        <color rgb="FF000000"/>
        <rFont val="Helvetica"/>
        <family val="2"/>
      </rPr>
      <t>CURRENT INTEREST RATE 3.21% P.A.</t>
    </r>
  </si>
  <si>
    <t>22 Jul OPENING BALANCE 471,555.78</t>
  </si>
  <si>
    <t>31 Jul Interest Charged 1,565.67 473,121.45</t>
  </si>
  <si>
    <t>1 Aug Auto Payment 1,565.67 471,555.78</t>
  </si>
  <si>
    <t>31 Aug Interest Charged 1,565.67 473,121.45</t>
  </si>
  <si>
    <t>1 Sep Auto Payment 1,565.67 471,555.78</t>
  </si>
  <si>
    <t>30 Sep Interest Charged 1,515.16 473,070.94</t>
  </si>
  <si>
    <t>1 Oct Auto Payment 1,515.16 471,555.78</t>
  </si>
  <si>
    <t>31 Oct Interest Charged 1,565.67 473,121.45</t>
  </si>
  <si>
    <t>1 Nov Auto Payment 1,565.67 471,555.78</t>
  </si>
  <si>
    <t>30 Nov Interest Charged 1,515.16 473,070.94</t>
  </si>
  <si>
    <t>1 Dec Auto Payment 1,515.16 471,555.78</t>
  </si>
  <si>
    <r>
      <t xml:space="preserve">4 Dec </t>
    </r>
    <r>
      <rPr>
        <sz val="8"/>
        <color rgb="FF000000"/>
        <rFont val="Helvetica"/>
        <family val="2"/>
      </rPr>
      <t xml:space="preserve">4 Dec </t>
    </r>
    <r>
      <rPr>
        <sz val="8"/>
        <color rgb="FFFFFFFF"/>
        <rFont val="Helvetica"/>
        <family val="2"/>
      </rPr>
      <t>ACT TYPE CHG Accelerate Var TO Standard Variab</t>
    </r>
  </si>
  <si>
    <t>ACT TYPE CHG Accelerate Var TO Standard Variab</t>
  </si>
  <si>
    <t>4 Dec RATE CHANGED FM 3.92 % TO 4.99 %</t>
  </si>
  <si>
    <r>
      <t xml:space="preserve">4 Dec </t>
    </r>
    <r>
      <rPr>
        <sz val="8"/>
        <color rgb="FF000000"/>
        <rFont val="Helvetica"/>
        <family val="2"/>
      </rPr>
      <t xml:space="preserve">4 Dec </t>
    </r>
    <r>
      <rPr>
        <sz val="8"/>
        <color rgb="FFFFFFFF"/>
        <rFont val="Helvetica"/>
        <family val="2"/>
      </rPr>
      <t xml:space="preserve">ACT TYPE CHG </t>
    </r>
    <r>
      <rPr>
        <sz val="8"/>
        <color rgb="FF000000"/>
        <rFont val="Helvetica"/>
        <family val="2"/>
      </rPr>
      <t xml:space="preserve">ACT TYPE CHG </t>
    </r>
    <r>
      <rPr>
        <sz val="8"/>
        <color rgb="FFFFFFFF"/>
        <rFont val="Helvetica"/>
        <family val="2"/>
      </rPr>
      <t>Standard Variab TO Achieve Inv IO</t>
    </r>
  </si>
  <si>
    <t>Standard Variab TO Achieve Inv IO</t>
  </si>
  <si>
    <t>4 Dec RATE CHANGED FM 4.99 % TO 3.21 %</t>
  </si>
  <si>
    <t>31 Dec Interest Charged 1,309.53 472,865.31</t>
  </si>
  <si>
    <t>1 Jan Auto Payment 1,309.53 471,555.78</t>
  </si>
  <si>
    <t>21 Jan CLOSING BALANCE 471,555.78</t>
  </si>
  <si>
    <t>Interest Charged $0.00 -$9,036.86 -$19,058.56</t>
  </si>
  <si>
    <t>E-2612/S-350125/I-649285</t>
  </si>
  <si>
    <r>
      <t xml:space="preserve">Account: </t>
    </r>
    <r>
      <rPr>
        <sz val="9"/>
        <color rgb="FF000000"/>
        <rFont val="Helvetica"/>
        <family val="2"/>
      </rPr>
      <t xml:space="preserve">51001645 Brett William Hofman, Laura Nicole Hofman </t>
    </r>
    <r>
      <rPr>
        <sz val="8"/>
        <color rgb="FF000000"/>
        <rFont val="Helvetica"/>
        <family val="2"/>
      </rPr>
      <t>CURRENT INTEREST RATE 2.55% P.A.</t>
    </r>
  </si>
  <si>
    <t>22 Jul OPENING BALANCE 883,475.77</t>
  </si>
  <si>
    <t>31 Jul INT SAVED BY BALANCE OFFSET 30.29</t>
  </si>
  <si>
    <t>31 Jul Interest Charged 2,013.67 885,489.44</t>
  </si>
  <si>
    <r>
      <t xml:space="preserve">5 Aug Auto Payment </t>
    </r>
    <r>
      <rPr>
        <sz val="8"/>
        <color rgb="FF000000"/>
        <rFont val="Helvetica"/>
        <family val="2"/>
      </rPr>
      <t xml:space="preserve">5 Aug Auto Payment </t>
    </r>
    <r>
      <rPr>
        <sz val="8"/>
        <color rgb="FFFFFFFF"/>
        <rFont val="Helvetica"/>
        <family val="2"/>
      </rPr>
      <t>3,677.59 881,811.85</t>
    </r>
  </si>
  <si>
    <t>3,677.59 881,811.85</t>
  </si>
  <si>
    <t>31 Aug INT SAVED BY BALANCE OFFSET 28.76</t>
  </si>
  <si>
    <t>31 Aug Interest Charged 2,011.34 883,823.19</t>
  </si>
  <si>
    <t>5 Sep Auto Payment 3,677.59 880,145.60</t>
  </si>
  <si>
    <r>
      <t xml:space="preserve">8 Sep REF: Sept top up </t>
    </r>
    <r>
      <rPr>
        <sz val="8"/>
        <color rgb="FF000000"/>
        <rFont val="Helvetica"/>
        <family val="2"/>
      </rPr>
      <t xml:space="preserve">8 Sep REF: Sept top up </t>
    </r>
    <r>
      <rPr>
        <sz val="8"/>
        <color rgb="FFFFFFFF"/>
        <rFont val="Helvetica"/>
        <family val="2"/>
      </rPr>
      <t>400.00 879,745.60</t>
    </r>
  </si>
  <si>
    <t>400.00 879,745.60</t>
  </si>
  <si>
    <t>30 Sep INT SAVED BY BALANCE OFFSET 22.32</t>
  </si>
  <si>
    <t>30 Sep Interest Charged 1,947.60 881,693.20</t>
  </si>
  <si>
    <t>5 Oct Auto Payment 3,677.59 878,015.61</t>
  </si>
  <si>
    <t>31 Oct INT SAVED BY BALANCE OFFSET 22.51</t>
  </si>
  <si>
    <t>31 Oct Interest Charged 2,008.82 880,024.43</t>
  </si>
  <si>
    <r>
      <t xml:space="preserve">5 Nov Auto Payment </t>
    </r>
    <r>
      <rPr>
        <sz val="8"/>
        <color rgb="FF000000"/>
        <rFont val="Helvetica"/>
        <family val="2"/>
      </rPr>
      <t xml:space="preserve">5 Nov Auto Payment </t>
    </r>
    <r>
      <rPr>
        <sz val="8"/>
        <color rgb="FFFFFFFF"/>
        <rFont val="Helvetica"/>
        <family val="2"/>
      </rPr>
      <t>3,677.59 876,346.84</t>
    </r>
  </si>
  <si>
    <t>3,677.59 876,346.84</t>
  </si>
  <si>
    <t>30 Nov INT SAVED BY BALANCE OFFSET 28.36</t>
  </si>
  <si>
    <t>30 Nov Interest Charged 1,933.75 878,280.59</t>
  </si>
  <si>
    <t>ACT TYPE CHG Achieve OO P&amp;I TO Achieve OO P&amp;I</t>
  </si>
  <si>
    <t>RATE CHANGED FM 2.73 % TO 2.55 %</t>
  </si>
  <si>
    <r>
      <t xml:space="preserve">4 Dec </t>
    </r>
    <r>
      <rPr>
        <sz val="8"/>
        <color rgb="FFFFFFFF"/>
        <rFont val="Helvetica"/>
        <family val="2"/>
      </rPr>
      <t xml:space="preserve">4 Dec </t>
    </r>
    <r>
      <rPr>
        <sz val="8"/>
        <color rgb="FF000000"/>
        <rFont val="Helvetica"/>
        <family val="2"/>
      </rPr>
      <t xml:space="preserve">4 Dec </t>
    </r>
    <r>
      <rPr>
        <sz val="7"/>
        <color rgb="FF000000"/>
        <rFont val="Helvetica"/>
        <family val="2"/>
      </rPr>
      <t>3 of 4</t>
    </r>
  </si>
  <si>
    <t>3,596.94 874,683.65</t>
  </si>
  <si>
    <r>
      <t xml:space="preserve">5 Dec Auto Payment </t>
    </r>
    <r>
      <rPr>
        <sz val="8"/>
        <color rgb="FFFFFFFF"/>
        <rFont val="Helvetica"/>
        <family val="2"/>
      </rPr>
      <t>31 Dec INT SAVED BY BALANCE OFFSET 21.81</t>
    </r>
  </si>
  <si>
    <t>31 Dec INT SAVED BY BALANCE OFFSET 21.81</t>
  </si>
  <si>
    <t>31 Dec Interest Charged 1,881.33 876,564.98</t>
  </si>
  <si>
    <r>
      <t xml:space="preserve">5 Jan Auto Payment </t>
    </r>
    <r>
      <rPr>
        <sz val="8"/>
        <color rgb="FF000000"/>
        <rFont val="Helvetica"/>
        <family val="2"/>
      </rPr>
      <t xml:space="preserve">5 Jan Auto Payment </t>
    </r>
    <r>
      <rPr>
        <sz val="8"/>
        <color rgb="FFFFFFFF"/>
        <rFont val="Helvetica"/>
        <family val="2"/>
      </rPr>
      <t>3,596.94 872,968.04</t>
    </r>
  </si>
  <si>
    <t>3,596.94 872,968.04</t>
  </si>
  <si>
    <t>21 Jan CLOSING BALANCE 872,968.04</t>
  </si>
  <si>
    <t>Interest Charged $0.00 -$11,796.51 -$27,129.01</t>
  </si>
  <si>
    <t>E-2612/S-350125/I-649286</t>
  </si>
  <si>
    <t>4 of 4</t>
  </si>
  <si>
    <t>Great Southern Bank</t>
  </si>
  <si>
    <t>A business name of Credit Union Australia Limited</t>
  </si>
  <si>
    <t>greatsouthernbank.com.au</t>
  </si>
  <si>
    <t>Issue date: 21/07/2021</t>
  </si>
  <si>
    <t>50455259 Prime Access $12,103.84 $37,427.34 $32,431.18 $17,100.00</t>
  </si>
  <si>
    <t>50456034 eSaver Plus $0.00 $0.00 $0.00 $0.00</t>
  </si>
  <si>
    <t>50503609 Achieve Var Inv IO -$471,555.78 $8,574.13 $7,499.90 -$470,481.55</t>
  </si>
  <si>
    <t>51001645 Achieve Variable OO P&amp;I -$872,968.04 $23,857.05 $10,805.12 -$859,916.11</t>
  </si>
  <si>
    <r>
      <t>Statement period:</t>
    </r>
    <r>
      <rPr>
        <sz val="9"/>
        <color rgb="FF000000"/>
        <rFont val="Helvetica"/>
        <family val="2"/>
      </rPr>
      <t xml:space="preserve"> 22 JAN 2021 To 21 JUL 2021</t>
    </r>
  </si>
  <si>
    <t>E-3074/S-437731/I-690521 EM. 3074NNNNNN 9018614</t>
  </si>
  <si>
    <t>22 Jan OPENING BALANCE 12,103.84</t>
  </si>
  <si>
    <r>
      <t xml:space="preserve">1 Feb Auto Payment TRANSFER TO 814282 50503609 Hofman Brett 1,285.60 </t>
    </r>
    <r>
      <rPr>
        <sz val="8"/>
        <color rgb="FFFFFFFF"/>
        <rFont val="Helvetica"/>
        <family val="2"/>
      </rPr>
      <t xml:space="preserve">1 Feb Auto Payment TRANSFER TO 814282 50503609 Hofman Brett 1,285.60 </t>
    </r>
    <r>
      <rPr>
        <sz val="8"/>
        <color rgb="FF000000"/>
        <rFont val="Helvetica"/>
        <family val="2"/>
      </rPr>
      <t>10,818.24</t>
    </r>
  </si>
  <si>
    <r>
      <t xml:space="preserve">5 Feb Auto Payment TRANSFER TO 814282 51001645 Hofman Brett 3,596.94 </t>
    </r>
    <r>
      <rPr>
        <sz val="8"/>
        <color rgb="FFFFFFFF"/>
        <rFont val="Helvetica"/>
        <family val="2"/>
      </rPr>
      <t xml:space="preserve">5 Feb Auto Payment TRANSFER TO 814282 51001645 Hofman Brett 3,596.94 </t>
    </r>
    <r>
      <rPr>
        <sz val="8"/>
        <color rgb="FF000000"/>
        <rFont val="Helvetica"/>
        <family val="2"/>
      </rPr>
      <t xml:space="preserve">5 Feb Fast Pymt In </t>
    </r>
    <r>
      <rPr>
        <sz val="8"/>
        <color rgb="FFFFFFFF"/>
        <rFont val="Helvetica"/>
        <family val="2"/>
      </rPr>
      <t>7,221.30</t>
    </r>
  </si>
  <si>
    <t>1,000.00 8,221.30</t>
  </si>
  <si>
    <t>5 Feb REF:Feb</t>
  </si>
  <si>
    <r>
      <t xml:space="preserve">13 Feb Fast Pymt In 16 Feb Fast Pymt In </t>
    </r>
    <r>
      <rPr>
        <sz val="8"/>
        <color rgb="FFFFFFFF"/>
        <rFont val="Helvetica"/>
        <family val="2"/>
      </rPr>
      <t xml:space="preserve">16 Feb Fast Pymt In </t>
    </r>
    <r>
      <rPr>
        <sz val="8"/>
        <color rgb="FF000000"/>
        <rFont val="Helvetica"/>
        <family val="2"/>
      </rPr>
      <t xml:space="preserve">17 Feb Fast Pymt In 25 Feb Fast Pymt In </t>
    </r>
    <r>
      <rPr>
        <sz val="8"/>
        <color rgb="FFFFFFFF"/>
        <rFont val="Helvetica"/>
        <family val="2"/>
      </rPr>
      <t xml:space="preserve">25 Feb Fast Pymt In </t>
    </r>
    <r>
      <rPr>
        <sz val="8"/>
        <color rgb="FF000000"/>
        <rFont val="Helvetica"/>
        <family val="2"/>
      </rPr>
      <t>25 Feb REF:Home top up</t>
    </r>
  </si>
  <si>
    <r>
      <t xml:space="preserve">27 Feb Fast Pymt In </t>
    </r>
    <r>
      <rPr>
        <sz val="8"/>
        <color rgb="FFFFFFFF"/>
        <rFont val="Helvetica"/>
        <family val="2"/>
      </rPr>
      <t xml:space="preserve">27 Feb Fast Pymt In </t>
    </r>
    <r>
      <rPr>
        <sz val="8"/>
        <color rgb="FF000000"/>
        <rFont val="Helvetica"/>
        <family val="2"/>
      </rPr>
      <t>28 Feb Fast Pymt In 1,000.00 9,221.30</t>
    </r>
  </si>
  <si>
    <t>1,000.00 10,221.30</t>
  </si>
  <si>
    <t>1,000.00 11,221.30</t>
  </si>
  <si>
    <t>1,000.00 12,221.30</t>
  </si>
  <si>
    <t>1,000.00 13,221.30</t>
  </si>
  <si>
    <t>1,000.00 14,221.30</t>
  </si>
  <si>
    <t>Please check all entries on this statement and notify us immediately of any errors or omissions. For transaction fee package information for all accounts, please refer to the Schedule of Fees brochure. For information</t>
  </si>
  <si>
    <r>
      <t>on our complaints and dispute resolution system, or in relation to your financial products, their benefits or fees and charges call 133 282 or drop into any of our branches.</t>
    </r>
    <r>
      <rPr>
        <sz val="7"/>
        <color rgb="FF9A9A9A"/>
        <rFont val="Helvetica"/>
        <family val="2"/>
      </rPr>
      <t>Great Southern Bank</t>
    </r>
  </si>
  <si>
    <t>1,000.00 17,000.00</t>
  </si>
  <si>
    <r>
      <t xml:space="preserve">1 Mar Auto Payment TRANSFER TO 814282 50503609 Hofman Brett 1,161.19 </t>
    </r>
    <r>
      <rPr>
        <sz val="8"/>
        <color rgb="FFFFFFFF"/>
        <rFont val="Helvetica"/>
        <family val="2"/>
      </rPr>
      <t>1 Mar Auto Payment TRANSFER TO 814282 50503609 Hofman Brett 1,161.19 13,060.11</t>
    </r>
  </si>
  <si>
    <r>
      <t xml:space="preserve">5 Mar Auto Payment TRANSFER TO 814282 51001645 Hofman Brett 3,596.94 </t>
    </r>
    <r>
      <rPr>
        <sz val="8"/>
        <color rgb="FFFFFFFF"/>
        <rFont val="Helvetica"/>
        <family val="2"/>
      </rPr>
      <t>5 Mar Auto Payment TRANSFER TO 814282 51001645 Hofman Brett 3,596.94 9,463.17</t>
    </r>
  </si>
  <si>
    <t>5 Mar TXN INITIATED BY-9018614 TRANSFER TO 814282 51001645 Hofman</t>
  </si>
  <si>
    <t>Brett REF: ExtraMarch21 463.17 9,000.00</t>
  </si>
  <si>
    <r>
      <t xml:space="preserve">7 Mar Fast Pymt In </t>
    </r>
    <r>
      <rPr>
        <sz val="8"/>
        <color rgb="FFFFFFFF"/>
        <rFont val="Helvetica"/>
        <family val="2"/>
      </rPr>
      <t xml:space="preserve">7 Mar Fast Pymt In </t>
    </r>
    <r>
      <rPr>
        <sz val="8"/>
        <color rgb="FF000000"/>
        <rFont val="Helvetica"/>
        <family val="2"/>
      </rPr>
      <t>1,000.00 10,000.00</t>
    </r>
  </si>
  <si>
    <t>1,000.00 10,000.00</t>
  </si>
  <si>
    <t>7 Mar REF:Part of 6k</t>
  </si>
  <si>
    <r>
      <t xml:space="preserve">8 Mar ePayment From:Brett Hofman REF: 15K CUA </t>
    </r>
    <r>
      <rPr>
        <sz val="8"/>
        <color rgb="FFFFFFFF"/>
        <rFont val="Helvetica"/>
        <family val="2"/>
      </rPr>
      <t xml:space="preserve">8 Mar ePayment From:Brett Hofman REF: 15K CUA </t>
    </r>
    <r>
      <rPr>
        <sz val="8"/>
        <color rgb="FF000000"/>
        <rFont val="Helvetica"/>
        <family val="2"/>
      </rPr>
      <t xml:space="preserve">12 Mar Fast Pymt In </t>
    </r>
    <r>
      <rPr>
        <sz val="8"/>
        <color rgb="FFFFFFFF"/>
        <rFont val="Helvetica"/>
        <family val="2"/>
      </rPr>
      <t>5,000.00 15,000.00</t>
    </r>
  </si>
  <si>
    <t>5,000.00 15,000.00</t>
  </si>
  <si>
    <t>1,000.00 16,000.00</t>
  </si>
  <si>
    <t>12 Mar REF:Mortgage</t>
  </si>
  <si>
    <t>14 Mar Fast Pymt In 14 Mar REF:Bonus to mortgage</t>
  </si>
  <si>
    <t>14 Mar REF:Bonus to mortgage</t>
  </si>
  <si>
    <t>15 Mar Loan Repay TRANSFER TO 814282 50503609 Hofman Brett REF:</t>
  </si>
  <si>
    <t>WeeklyIO WeeklyIO 300.00 16,700.00</t>
  </si>
  <si>
    <r>
      <t xml:space="preserve">15 Mar Fast Pymt In </t>
    </r>
    <r>
      <rPr>
        <sz val="8"/>
        <color rgb="FFFFFFFF"/>
        <rFont val="Helvetica"/>
        <family val="2"/>
      </rPr>
      <t xml:space="preserve">15 Mar Fast Pymt In </t>
    </r>
    <r>
      <rPr>
        <sz val="8"/>
        <color rgb="FF000000"/>
        <rFont val="Helvetica"/>
        <family val="2"/>
      </rPr>
      <t>1,000.00 17,700.00</t>
    </r>
  </si>
  <si>
    <t>1,000.00 17,700.00</t>
  </si>
  <si>
    <t>15 Mar REF:Mortgage bonus bab</t>
  </si>
  <si>
    <r>
      <t xml:space="preserve">15 Mar Fast Pymt In </t>
    </r>
    <r>
      <rPr>
        <sz val="8"/>
        <color rgb="FFFFFFFF"/>
        <rFont val="Helvetica"/>
        <family val="2"/>
      </rPr>
      <t xml:space="preserve">15 Mar Fast Pymt In </t>
    </r>
    <r>
      <rPr>
        <sz val="8"/>
        <color rgb="FF000000"/>
        <rFont val="Helvetica"/>
        <family val="2"/>
      </rPr>
      <t xml:space="preserve">17 Mar Fast Pymt In </t>
    </r>
    <r>
      <rPr>
        <sz val="8"/>
        <color rgb="FFFFFFFF"/>
        <rFont val="Helvetica"/>
        <family val="2"/>
      </rPr>
      <t>96.63 17,796.63</t>
    </r>
  </si>
  <si>
    <t>96.63 17,796.63</t>
  </si>
  <si>
    <t>1,000.00 18,796.63</t>
  </si>
  <si>
    <t>17 Mar REF:Mortgage</t>
  </si>
  <si>
    <t>20 Mar Fast Pymt In 20 Mar REF:Mortgage</t>
  </si>
  <si>
    <t>20 Mar REF:Mortgage</t>
  </si>
  <si>
    <t>22 Mar Loan Repay TRANSFER TO 814282 51001645 Hofman Brett REF:</t>
  </si>
  <si>
    <t>Fortnightly Fortnightly 1,800.00 17,996.63</t>
  </si>
  <si>
    <r>
      <t xml:space="preserve">22 Mar </t>
    </r>
    <r>
      <rPr>
        <sz val="8"/>
        <color rgb="FF000000"/>
        <rFont val="Helvetica"/>
        <family val="2"/>
      </rPr>
      <t>22 Mar Loan Repay TRANSFER TO 814282 50503609 Hofman Brett REF:</t>
    </r>
  </si>
  <si>
    <t>Loan Repay TRANSFER TO 814282 50503609 Hofman Brett REF:</t>
  </si>
  <si>
    <t>1,000.00 19,796.63</t>
  </si>
  <si>
    <t>WeeklyIO WeeklyIO 300.00 17,696.63</t>
  </si>
  <si>
    <t>29 Mar Loan Repay TRANSFER TO 814282 50503609 Hofman Brett REF:</t>
  </si>
  <si>
    <t>WeeklyIO WeeklyIO 300.00 17,396.63</t>
  </si>
  <si>
    <r>
      <t xml:space="preserve">2 Apr Arrear Chase TRANSFER TO 814282 50503609 Hofman Brett 384.81 5 Apr </t>
    </r>
    <r>
      <rPr>
        <sz val="8"/>
        <color rgb="FFFFFFFF"/>
        <rFont val="Helvetica"/>
        <family val="2"/>
      </rPr>
      <t xml:space="preserve">5 Apr </t>
    </r>
    <r>
      <rPr>
        <sz val="8"/>
        <color rgb="FF000000"/>
        <rFont val="Helvetica"/>
        <family val="2"/>
      </rPr>
      <t>Loan Repay TRANSFER TO 814282 50503609 Hofman Brett REF:</t>
    </r>
  </si>
  <si>
    <t>WeeklyIO WeeklyIO 300.00 16,711.82</t>
  </si>
  <si>
    <t>5 Apr Loan Repay TRANSFER TO 814282 51001645 Hofman Brett REF:</t>
  </si>
  <si>
    <t>Fortnightly Fortnightly 1,800.00 14,911.82</t>
  </si>
  <si>
    <r>
      <t xml:space="preserve">6 Apr Fast Pymt In </t>
    </r>
    <r>
      <rPr>
        <sz val="8"/>
        <color rgb="FFFFFFFF"/>
        <rFont val="Helvetica"/>
        <family val="2"/>
      </rPr>
      <t xml:space="preserve">6 Apr Fast Pymt In </t>
    </r>
    <r>
      <rPr>
        <sz val="8"/>
        <color rgb="FF000000"/>
        <rFont val="Helvetica"/>
        <family val="2"/>
      </rPr>
      <t>350.00 15,261.82</t>
    </r>
  </si>
  <si>
    <t>350.00 15,261.82</t>
  </si>
  <si>
    <t>8 Apr Fast Pymt In 1,000.00 16,261.82</t>
  </si>
  <si>
    <t>8 Apr REF:Mortgage</t>
  </si>
  <si>
    <t>10 Apr Fast Pymt In 10 Apr REF:Mortgage</t>
  </si>
  <si>
    <t>10 Apr REF:Mortgage</t>
  </si>
  <si>
    <t>12 Apr Loan Repay TRANSFER TO 814282 50503609 Hofman Brett REF:</t>
  </si>
  <si>
    <t>WeeklyIO WeeklyIO 300.00 16,793.02</t>
  </si>
  <si>
    <r>
      <t xml:space="preserve">19 Apr </t>
    </r>
    <r>
      <rPr>
        <sz val="8"/>
        <color rgb="FF000000"/>
        <rFont val="Helvetica"/>
        <family val="2"/>
      </rPr>
      <t>19 Apr Loan Repay TRANSFER TO 814282 51001645 Hofman Brett REF:</t>
    </r>
  </si>
  <si>
    <t>Loan Repay TRANSFER TO 814282 51001645 Hofman Brett REF:</t>
  </si>
  <si>
    <t>831.20 17,093.02</t>
  </si>
  <si>
    <t>Fortnightly Fortnightly 1,800.00 14,993.02</t>
  </si>
  <si>
    <t>19 Apr Loan Repay TRANSFER TO 814282 50503609 Hofman Brett REF:</t>
  </si>
  <si>
    <t>WeeklyIO WeeklyIO 300.00 14,693.02</t>
  </si>
  <si>
    <r>
      <t xml:space="preserve">19 Apr Fast Pymt In </t>
    </r>
    <r>
      <rPr>
        <sz val="8"/>
        <color rgb="FFFFFFFF"/>
        <rFont val="Helvetica"/>
        <family val="2"/>
      </rPr>
      <t xml:space="preserve">19 Apr Fast Pymt In </t>
    </r>
    <r>
      <rPr>
        <sz val="8"/>
        <color rgb="FF000000"/>
        <rFont val="Helvetica"/>
        <family val="2"/>
      </rPr>
      <t>306.98 15,000.00</t>
    </r>
  </si>
  <si>
    <t>306.98 15,000.00</t>
  </si>
  <si>
    <t>19 Apr REF:Top up</t>
  </si>
  <si>
    <r>
      <t xml:space="preserve">22 Apr Fast Pymt In </t>
    </r>
    <r>
      <rPr>
        <sz val="8"/>
        <color rgb="FFFFFFFF"/>
        <rFont val="Helvetica"/>
        <family val="2"/>
      </rPr>
      <t>22 Apr Fast Pymt In 300.00 15,300.00</t>
    </r>
  </si>
  <si>
    <t>300.00 15,300.00</t>
  </si>
  <si>
    <t>22 Apr REF:Loan IO</t>
  </si>
  <si>
    <r>
      <t xml:space="preserve">26 Apr </t>
    </r>
    <r>
      <rPr>
        <sz val="8"/>
        <color rgb="FFFFFFFF"/>
        <rFont val="Helvetica"/>
        <family val="2"/>
      </rPr>
      <t>26 Apr Loan Repay TRANSFER TO 814282 50503609 Hofman Brett REF:</t>
    </r>
  </si>
  <si>
    <t>WeeklyIO WeeklyIO 300.00 15,000.00</t>
  </si>
  <si>
    <t>29 Apr Fast Pymt In 29 Apr REF:Loan</t>
  </si>
  <si>
    <t>29 Apr REF:Loan</t>
  </si>
  <si>
    <r>
      <t xml:space="preserve">1 May Fast Pymt In </t>
    </r>
    <r>
      <rPr>
        <sz val="8"/>
        <color rgb="FFFFFFFF"/>
        <rFont val="Helvetica"/>
        <family val="2"/>
      </rPr>
      <t xml:space="preserve">1 May Fast Pymt In </t>
    </r>
    <r>
      <rPr>
        <sz val="8"/>
        <color rgb="FF000000"/>
        <rFont val="Helvetica"/>
        <family val="2"/>
      </rPr>
      <t>1 May REF:Loan</t>
    </r>
  </si>
  <si>
    <r>
      <t xml:space="preserve">2 May Arrear Chase TRANSFER TO 814282 50503609 Hofman Brett </t>
    </r>
    <r>
      <rPr>
        <sz val="8"/>
        <color rgb="FFFFFFFF"/>
        <rFont val="Helvetica"/>
        <family val="2"/>
      </rPr>
      <t xml:space="preserve">2 May Arrear Chase TRANSFER TO 814282 50503609 Hofman Brett </t>
    </r>
    <r>
      <rPr>
        <sz val="8"/>
        <color rgb="FF000000"/>
        <rFont val="Helvetica"/>
        <family val="2"/>
      </rPr>
      <t>2 May Fast Pymt In 2 May REF:Loan</t>
    </r>
  </si>
  <si>
    <t>2 May REF:Loan</t>
  </si>
  <si>
    <t>3 May Loan Repay TRANSFER TO 814282 50503609 Hofman Brett REF:</t>
  </si>
  <si>
    <t>WeeklyIO WeeklyIO 300.00 16,957.47</t>
  </si>
  <si>
    <r>
      <t xml:space="preserve">3 May </t>
    </r>
    <r>
      <rPr>
        <sz val="8"/>
        <color rgb="FF000000"/>
        <rFont val="Helvetica"/>
        <family val="2"/>
      </rPr>
      <t>3 May Loan Repay TRANSFER TO 814282 51001645 Hofman Brett REF:</t>
    </r>
  </si>
  <si>
    <r>
      <t xml:space="preserve">42.53 </t>
    </r>
    <r>
      <rPr>
        <sz val="8"/>
        <color rgb="FF000000"/>
        <rFont val="Helvetica"/>
        <family val="2"/>
      </rPr>
      <t xml:space="preserve">42.53 </t>
    </r>
    <r>
      <rPr>
        <sz val="8"/>
        <color rgb="FFFFFFFF"/>
        <rFont val="Helvetica"/>
        <family val="2"/>
      </rPr>
      <t>1,000.00 17,000.00</t>
    </r>
  </si>
  <si>
    <t>300.00 17,257.47</t>
  </si>
  <si>
    <t>E-3074/S-437731/I-690522</t>
  </si>
  <si>
    <t>Fortnightly Fortnightly 1,800.00 15,157.47</t>
  </si>
  <si>
    <t>142.53 15,300.00</t>
  </si>
  <si>
    <r>
      <t xml:space="preserve">7 May Fast Pymt In </t>
    </r>
    <r>
      <rPr>
        <sz val="8"/>
        <color rgb="FFFFFFFF"/>
        <rFont val="Helvetica"/>
        <family val="2"/>
      </rPr>
      <t>7 May REF:Loan IO</t>
    </r>
  </si>
  <si>
    <t>7 May REF:Loan IO</t>
  </si>
  <si>
    <t>10 May Loan Repay TRANSFER TO 814282 50503609 Hofman Brett REF:</t>
  </si>
  <si>
    <r>
      <t xml:space="preserve">13 May Fast Pymt In </t>
    </r>
    <r>
      <rPr>
        <sz val="8"/>
        <color rgb="FFFFFFFF"/>
        <rFont val="Helvetica"/>
        <family val="2"/>
      </rPr>
      <t xml:space="preserve">13 May Fast Pymt In </t>
    </r>
    <r>
      <rPr>
        <sz val="8"/>
        <color rgb="FF000000"/>
        <rFont val="Helvetica"/>
        <family val="2"/>
      </rPr>
      <t>1,000.00 16,000.00</t>
    </r>
  </si>
  <si>
    <t>13 May REF:May mortgage</t>
  </si>
  <si>
    <r>
      <t xml:space="preserve">14 May Fast Pymt In </t>
    </r>
    <r>
      <rPr>
        <sz val="8"/>
        <color rgb="FFFFFFFF"/>
        <rFont val="Helvetica"/>
        <family val="2"/>
      </rPr>
      <t xml:space="preserve">14 May Fast Pymt In </t>
    </r>
    <r>
      <rPr>
        <sz val="8"/>
        <color rgb="FF000000"/>
        <rFont val="Helvetica"/>
        <family val="2"/>
      </rPr>
      <t xml:space="preserve">15 May Fast Pymt In </t>
    </r>
    <r>
      <rPr>
        <sz val="8"/>
        <color rgb="FFFFFFFF"/>
        <rFont val="Helvetica"/>
        <family val="2"/>
      </rPr>
      <t>1,000.00 17,000.00</t>
    </r>
  </si>
  <si>
    <t>100.00 17,100.00</t>
  </si>
  <si>
    <r>
      <t xml:space="preserve">17 May </t>
    </r>
    <r>
      <rPr>
        <sz val="8"/>
        <color rgb="FFFFFFFF"/>
        <rFont val="Helvetica"/>
        <family val="2"/>
      </rPr>
      <t>17 May Loan Repay TRANSFER TO 814282 50503609 Hofman Brett REF:</t>
    </r>
  </si>
  <si>
    <t>WeeklyIO WeeklyIO 300.00 16,800.00</t>
  </si>
  <si>
    <t>17 May Loan Repay TRANSFER TO 814282 51001645 Hofman Brett REF:</t>
  </si>
  <si>
    <t>Fortnightly Fortnightly 1,800.00 15,000.00</t>
  </si>
  <si>
    <r>
      <t xml:space="preserve">21 May Fast Pymt In </t>
    </r>
    <r>
      <rPr>
        <sz val="8"/>
        <color rgb="FFFFFFFF"/>
        <rFont val="Helvetica"/>
        <family val="2"/>
      </rPr>
      <t xml:space="preserve">21 May Fast Pymt In </t>
    </r>
    <r>
      <rPr>
        <sz val="8"/>
        <color rgb="FF000000"/>
        <rFont val="Helvetica"/>
        <family val="2"/>
      </rPr>
      <t>153.96 15,153.96</t>
    </r>
  </si>
  <si>
    <t>153.96 15,153.96</t>
  </si>
  <si>
    <t>21 May REF:Weekly Mortgage</t>
  </si>
  <si>
    <t>21 May ePayment From:BWH REF: CUA SAVE 146.04 15,300.00</t>
  </si>
  <si>
    <t>24 May Loan Repay TRANSFER TO 814282 50503609 Hofman Brett REF:</t>
  </si>
  <si>
    <r>
      <t xml:space="preserve">29 May Fast Pymt In </t>
    </r>
    <r>
      <rPr>
        <sz val="8"/>
        <color rgb="FFFFFFFF"/>
        <rFont val="Helvetica"/>
        <family val="2"/>
      </rPr>
      <t xml:space="preserve">29 May Fast Pymt In </t>
    </r>
    <r>
      <rPr>
        <sz val="8"/>
        <color rgb="FF000000"/>
        <rFont val="Helvetica"/>
        <family val="2"/>
      </rPr>
      <t>1,000.00 16,000.00</t>
    </r>
  </si>
  <si>
    <t>29 May REF:May 31mortgage</t>
  </si>
  <si>
    <r>
      <t xml:space="preserve">30 May Fast Pymt In </t>
    </r>
    <r>
      <rPr>
        <sz val="8"/>
        <color rgb="FFFFFFFF"/>
        <rFont val="Helvetica"/>
        <family val="2"/>
      </rPr>
      <t>30 May Fast Pymt In 1,000.00 17,000.00</t>
    </r>
  </si>
  <si>
    <t>30 May REF:Mortgage 2</t>
  </si>
  <si>
    <r>
      <t xml:space="preserve">31 May </t>
    </r>
    <r>
      <rPr>
        <sz val="8"/>
        <color rgb="FFFFFFFF"/>
        <rFont val="Helvetica"/>
        <family val="2"/>
      </rPr>
      <t xml:space="preserve">31 May </t>
    </r>
    <r>
      <rPr>
        <sz val="8"/>
        <color rgb="FF000000"/>
        <rFont val="Helvetica"/>
        <family val="2"/>
      </rPr>
      <t>Loan Repay TRANSFER TO 814282 51001645 Hofman Brett REF:</t>
    </r>
  </si>
  <si>
    <t>Fortnightly Fortnightly 1,800.00 15,200.00</t>
  </si>
  <si>
    <t>31 May Loan Repay TRANSFER TO 814282 50503609 Hofman Brett REF:</t>
  </si>
  <si>
    <t>WeeklyIO WeeklyIO 300.00 14,900.00</t>
  </si>
  <si>
    <r>
      <t xml:space="preserve">31 May Fast Pymt In </t>
    </r>
    <r>
      <rPr>
        <sz val="8"/>
        <color rgb="FFFFFFFF"/>
        <rFont val="Helvetica"/>
        <family val="2"/>
      </rPr>
      <t xml:space="preserve">31 May Fast Pymt In </t>
    </r>
    <r>
      <rPr>
        <sz val="8"/>
        <color rgb="FF000000"/>
        <rFont val="Helvetica"/>
        <family val="2"/>
      </rPr>
      <t>100.00 15,000.00</t>
    </r>
  </si>
  <si>
    <t>100.00 15,000.00</t>
  </si>
  <si>
    <t>31 May REF:Mort May</t>
  </si>
  <si>
    <t>5 Jun Fast Pymt In 5 Jun REF:Mort</t>
  </si>
  <si>
    <t>5 Jun REF:Mort</t>
  </si>
  <si>
    <t>7 Jun Loan Repay TRANSFER TO 814282 50503609 Hofman Brett REF:</t>
  </si>
  <si>
    <r>
      <t xml:space="preserve">10 Jun Fast Pymt In </t>
    </r>
    <r>
      <rPr>
        <sz val="8"/>
        <color rgb="FFFFFFFF"/>
        <rFont val="Helvetica"/>
        <family val="2"/>
      </rPr>
      <t xml:space="preserve">10 Jun Fast Pymt In </t>
    </r>
    <r>
      <rPr>
        <sz val="8"/>
        <color rgb="FF000000"/>
        <rFont val="Helvetica"/>
        <family val="2"/>
      </rPr>
      <t>850.00 15,850.00</t>
    </r>
  </si>
  <si>
    <t>850.00 15,850.00</t>
  </si>
  <si>
    <t>10 Jun Fast Pymt In 1,000.00 16,850.00</t>
  </si>
  <si>
    <t>10 Jun REF:Cua mortgage</t>
  </si>
  <si>
    <t>11 Jun Fast Pymt In 11 Jun REF:Mortgage</t>
  </si>
  <si>
    <t>11 Jun REF:Mortgage</t>
  </si>
  <si>
    <t>12 Jun Fast Pymt In 12 Jun REF:Mort</t>
  </si>
  <si>
    <t>12 Jun REF:Mort</t>
  </si>
  <si>
    <t>14 Jun Loan Repay TRANSFER TO 814282 50503609 Hofman Brett REF:</t>
  </si>
  <si>
    <t>WeeklyIO WeeklyIO 300.00 17,800.00</t>
  </si>
  <si>
    <r>
      <t xml:space="preserve">14 Jun </t>
    </r>
    <r>
      <rPr>
        <sz val="8"/>
        <color rgb="FF000000"/>
        <rFont val="Helvetica"/>
        <family val="2"/>
      </rPr>
      <t>14 Jun Loan Repay TRANSFER TO 814282 51001645 Hofman Brett REF:</t>
    </r>
  </si>
  <si>
    <t>1,000.00 17,850.00</t>
  </si>
  <si>
    <t>250.00 18,100.00</t>
  </si>
  <si>
    <t>Fortnightly Fortnightly 1,800.00 16,000.00</t>
  </si>
  <si>
    <t>21 Jun Loan Repay TRANSFER TO 814282 50503609 Hofman Brett REF:</t>
  </si>
  <si>
    <t>WeeklyIO WeeklyIO 300.00 15,700.00</t>
  </si>
  <si>
    <r>
      <t xml:space="preserve">27 Jun Fast Pymt In </t>
    </r>
    <r>
      <rPr>
        <sz val="8"/>
        <color rgb="FFFFFFFF"/>
        <rFont val="Helvetica"/>
        <family val="2"/>
      </rPr>
      <t xml:space="preserve">27 Jun Fast Pymt In </t>
    </r>
    <r>
      <rPr>
        <sz val="8"/>
        <color rgb="FF000000"/>
        <rFont val="Helvetica"/>
        <family val="2"/>
      </rPr>
      <t>1,000.00 16,700.00</t>
    </r>
  </si>
  <si>
    <t>1,000.00 16,700.00</t>
  </si>
  <si>
    <t>27 Jun REF:BWH</t>
  </si>
  <si>
    <r>
      <t xml:space="preserve">28 Jun </t>
    </r>
    <r>
      <rPr>
        <sz val="8"/>
        <color rgb="FFFFFFFF"/>
        <rFont val="Helvetica"/>
        <family val="2"/>
      </rPr>
      <t>28 Jun Loan Repay TRANSFER TO 814282 51001645 Hofman Brett REF:</t>
    </r>
  </si>
  <si>
    <t>Fortnightly Fortnightly 1,800.00 14,900.00</t>
  </si>
  <si>
    <t>28 Jun Loan Repay TRANSFER TO 814282 50503609 Hofman Brett REF:</t>
  </si>
  <si>
    <t>WeeklyIO WeeklyIO 300.00 14,600.00</t>
  </si>
  <si>
    <r>
      <t xml:space="preserve">28 Jun Fast Pymt In </t>
    </r>
    <r>
      <rPr>
        <sz val="8"/>
        <color rgb="FFFFFFFF"/>
        <rFont val="Helvetica"/>
        <family val="2"/>
      </rPr>
      <t xml:space="preserve">28 Jun Fast Pymt In </t>
    </r>
    <r>
      <rPr>
        <sz val="8"/>
        <color rgb="FF000000"/>
        <rFont val="Helvetica"/>
        <family val="2"/>
      </rPr>
      <t>400.00 15,000.00</t>
    </r>
  </si>
  <si>
    <t>400.00 15,000.00</t>
  </si>
  <si>
    <t>28 Jun REF:Top up to 15K</t>
  </si>
  <si>
    <t>1 Jul FREE TXNS UNLIMITED</t>
  </si>
  <si>
    <r>
      <t xml:space="preserve">2 Jul Fast Pymt In 5 Jul </t>
    </r>
    <r>
      <rPr>
        <sz val="8"/>
        <color rgb="FFFFFFFF"/>
        <rFont val="Helvetica"/>
        <family val="2"/>
      </rPr>
      <t>5 Jul Loan Repay TRANSFER TO 814282 50503609 Hofman Brett REF:</t>
    </r>
  </si>
  <si>
    <r>
      <t xml:space="preserve">9 Jul Fast Pymt In </t>
    </r>
    <r>
      <rPr>
        <sz val="8"/>
        <color rgb="FFFFFFFF"/>
        <rFont val="Helvetica"/>
        <family val="2"/>
      </rPr>
      <t>9 Jul REF:Mortgage</t>
    </r>
  </si>
  <si>
    <t>9 Jul REF:Mortgage</t>
  </si>
  <si>
    <r>
      <t xml:space="preserve">10 Jul Fast Pymt In </t>
    </r>
    <r>
      <rPr>
        <sz val="8"/>
        <color rgb="FFFFFFFF"/>
        <rFont val="Helvetica"/>
        <family val="2"/>
      </rPr>
      <t xml:space="preserve">12 Jul </t>
    </r>
    <r>
      <rPr>
        <sz val="8"/>
        <color rgb="FF000000"/>
        <rFont val="Helvetica"/>
        <family val="2"/>
      </rPr>
      <t xml:space="preserve">12 Jul </t>
    </r>
    <r>
      <rPr>
        <sz val="8"/>
        <color rgb="FFFFFFFF"/>
        <rFont val="Helvetica"/>
        <family val="2"/>
      </rPr>
      <t>Loan Repay TRANSFER TO 814282 51001645 Hofman Brett REF:</t>
    </r>
  </si>
  <si>
    <t>E-3074/S-437732/I-690523</t>
  </si>
  <si>
    <t>12 Jul Loan Repay TRANSFER TO 814282 50503609 Hofman Brett REF:</t>
  </si>
  <si>
    <r>
      <t xml:space="preserve">12 Jul Fast Pymt In </t>
    </r>
    <r>
      <rPr>
        <sz val="8"/>
        <color rgb="FFFFFFFF"/>
        <rFont val="Helvetica"/>
        <family val="2"/>
      </rPr>
      <t xml:space="preserve">12 Jul Fast Pymt In </t>
    </r>
    <r>
      <rPr>
        <sz val="8"/>
        <color rgb="FF000000"/>
        <rFont val="Helvetica"/>
        <family val="2"/>
      </rPr>
      <t>100.00 15,000.00</t>
    </r>
  </si>
  <si>
    <t>14 Jul Fast Pymt In 1,000.00 16,000.00</t>
  </si>
  <si>
    <t>14 Jul REF:Mort</t>
  </si>
  <si>
    <t>3 of 4</t>
  </si>
  <si>
    <r>
      <t xml:space="preserve">15 Jul Fast Pymt In </t>
    </r>
    <r>
      <rPr>
        <sz val="8"/>
        <color rgb="FFFFFFFF"/>
        <rFont val="Helvetica"/>
        <family val="2"/>
      </rPr>
      <t>15 Jul REF:Mort</t>
    </r>
  </si>
  <si>
    <t>15 Jul REF:Mort</t>
  </si>
  <si>
    <r>
      <t xml:space="preserve">16 Jul Fast Pymt In </t>
    </r>
    <r>
      <rPr>
        <sz val="8"/>
        <color rgb="FFFFFFFF"/>
        <rFont val="Helvetica"/>
        <family val="2"/>
      </rPr>
      <t xml:space="preserve">19 Jul </t>
    </r>
    <r>
      <rPr>
        <sz val="8"/>
        <color rgb="FF000000"/>
        <rFont val="Helvetica"/>
        <family val="2"/>
      </rPr>
      <t xml:space="preserve">19 Jul </t>
    </r>
    <r>
      <rPr>
        <sz val="8"/>
        <color rgb="FFFFFFFF"/>
        <rFont val="Helvetica"/>
        <family val="2"/>
      </rPr>
      <t>Loan Repay TRANSFER TO 814282 50503609 Hofman Brett REF:</t>
    </r>
  </si>
  <si>
    <t>300.00 17,100.00</t>
  </si>
  <si>
    <r>
      <t xml:space="preserve">20 Jul Fast Pymt In </t>
    </r>
    <r>
      <rPr>
        <sz val="8"/>
        <color rgb="FFFFFFFF"/>
        <rFont val="Helvetica"/>
        <family val="2"/>
      </rPr>
      <t>20 Jul REF:Mortgage</t>
    </r>
  </si>
  <si>
    <t>20 Jul REF:Mortgage</t>
  </si>
  <si>
    <t>21 Jul CLOSING BALANCE 17,100.00</t>
  </si>
  <si>
    <t>E-3074/S-437732/I-690524</t>
  </si>
  <si>
    <t>22 Jan OPENING BALANCE 471,555.78</t>
  </si>
  <si>
    <t>31 Jan Interest Charged 1,285.60 472,841.38</t>
  </si>
  <si>
    <t>1 Feb Auto Payment 1,285.60 471,555.78</t>
  </si>
  <si>
    <t>28 Feb Interest Charged 1,161.19 472,716.97</t>
  </si>
  <si>
    <t>1 Mar Auto Payment 1,161.19 471,555.78</t>
  </si>
  <si>
    <r>
      <t xml:space="preserve">15 Mar Loan Repay REF: WeeklyIO WeeklyIO From: Hofman Brett </t>
    </r>
    <r>
      <rPr>
        <sz val="8"/>
        <color rgb="FF000000"/>
        <rFont val="Helvetica"/>
        <family val="2"/>
      </rPr>
      <t xml:space="preserve">15 Mar Loan Repay REF: WeeklyIO WeeklyIO From: Hofman Brett </t>
    </r>
    <r>
      <rPr>
        <sz val="8"/>
        <color rgb="FFFFFFFF"/>
        <rFont val="Helvetica"/>
        <family val="2"/>
      </rPr>
      <t>300.00 471,255.78</t>
    </r>
  </si>
  <si>
    <t>300.00 471,255.78</t>
  </si>
  <si>
    <t>22 Mar Loan Repay REF: WeeklyIO WeeklyIO From: Hofman Brett 300.00 470,955.78</t>
  </si>
  <si>
    <r>
      <t xml:space="preserve">29 Mar Loan Repay REF: WeeklyIO WeeklyIO From: Hofman Brett </t>
    </r>
    <r>
      <rPr>
        <sz val="8"/>
        <color rgb="FF000000"/>
        <rFont val="Helvetica"/>
        <family val="2"/>
      </rPr>
      <t xml:space="preserve">29 Mar Loan Repay REF: WeeklyIO WeeklyIO From: Hofman Brett </t>
    </r>
    <r>
      <rPr>
        <sz val="8"/>
        <color rgb="FFFFFFFF"/>
        <rFont val="Helvetica"/>
        <family val="2"/>
      </rPr>
      <t>300.00 470,655.78</t>
    </r>
  </si>
  <si>
    <t>300.00 470,655.78</t>
  </si>
  <si>
    <t>31 Mar Interest Charged 1,284.81 471,940.59</t>
  </si>
  <si>
    <r>
      <t xml:space="preserve">2 Apr Arrear Chase </t>
    </r>
    <r>
      <rPr>
        <sz val="8"/>
        <color rgb="FF000000"/>
        <rFont val="Helvetica"/>
        <family val="2"/>
      </rPr>
      <t xml:space="preserve">2 Apr Arrear Chase </t>
    </r>
    <r>
      <rPr>
        <sz val="8"/>
        <color rgb="FFFFFFFF"/>
        <rFont val="Helvetica"/>
        <family val="2"/>
      </rPr>
      <t>384.81 471,555.78</t>
    </r>
  </si>
  <si>
    <t>384.81 471,555.78</t>
  </si>
  <si>
    <t>5 Apr Loan Repay REF: WeeklyIO WeeklyIO From: Hofman Brett 300.00 471,255.78</t>
  </si>
  <si>
    <r>
      <t xml:space="preserve">12 Apr Loan Repay REF: WeeklyIO WeeklyIO From: Hofman Brett </t>
    </r>
    <r>
      <rPr>
        <sz val="8"/>
        <color rgb="FF000000"/>
        <rFont val="Helvetica"/>
        <family val="2"/>
      </rPr>
      <t xml:space="preserve">12 Apr Loan Repay REF: WeeklyIO WeeklyIO From: Hofman Brett </t>
    </r>
    <r>
      <rPr>
        <sz val="8"/>
        <color rgb="FFFFFFFF"/>
        <rFont val="Helvetica"/>
        <family val="2"/>
      </rPr>
      <t>300.00 470,955.78</t>
    </r>
  </si>
  <si>
    <t>300.00 470,955.78</t>
  </si>
  <si>
    <t>19 Apr Loan Repay REF: WeeklyIO WeeklyIO From: Hofman Brett 300.00 470,655.78</t>
  </si>
  <si>
    <r>
      <t xml:space="preserve">26 Apr Loan Repay REF: WeeklyIO WeeklyIO From: Hofman Brett </t>
    </r>
    <r>
      <rPr>
        <sz val="8"/>
        <color rgb="FF000000"/>
        <rFont val="Helvetica"/>
        <family val="2"/>
      </rPr>
      <t xml:space="preserve">26 Apr Loan Repay REF: WeeklyIO WeeklyIO From: Hofman Brett </t>
    </r>
    <r>
      <rPr>
        <sz val="8"/>
        <color rgb="FFFFFFFF"/>
        <rFont val="Helvetica"/>
        <family val="2"/>
      </rPr>
      <t>300.00 470,355.78</t>
    </r>
  </si>
  <si>
    <t>300.00 470,355.78</t>
  </si>
  <si>
    <t>30 Apr Interest Charged 1,242.53 471,598.31</t>
  </si>
  <si>
    <r>
      <t xml:space="preserve">2 May Arrear Chase </t>
    </r>
    <r>
      <rPr>
        <sz val="8"/>
        <color rgb="FF000000"/>
        <rFont val="Helvetica"/>
        <family val="2"/>
      </rPr>
      <t xml:space="preserve">2 May Arrear Chase </t>
    </r>
    <r>
      <rPr>
        <sz val="8"/>
        <color rgb="FFFFFFFF"/>
        <rFont val="Helvetica"/>
        <family val="2"/>
      </rPr>
      <t>42.53 471,555.78</t>
    </r>
  </si>
  <si>
    <t>42.53 471,555.78</t>
  </si>
  <si>
    <t>3 May Loan Repay REF: WeeklyIO WeeklyIO From: Hofman Brett 300.00 471,255.78</t>
  </si>
  <si>
    <r>
      <t xml:space="preserve">10 May Loan Repay REF: WeeklyIO WeeklyIO From: Hofman Brett </t>
    </r>
    <r>
      <rPr>
        <sz val="8"/>
        <color rgb="FF000000"/>
        <rFont val="Helvetica"/>
        <family val="2"/>
      </rPr>
      <t xml:space="preserve">10 May Loan Repay REF: WeeklyIO WeeklyIO From: Hofman Brett </t>
    </r>
    <r>
      <rPr>
        <sz val="8"/>
        <color rgb="FFFFFFFF"/>
        <rFont val="Helvetica"/>
        <family val="2"/>
      </rPr>
      <t>300.00 470,955.78</t>
    </r>
  </si>
  <si>
    <t>17 May Loan Repay REF: WeeklyIO WeeklyIO From: Hofman Brett 300.00 470,655.78</t>
  </si>
  <si>
    <r>
      <t xml:space="preserve">24 May Loan Repay REF: WeeklyIO WeeklyIO From: Hofman Brett </t>
    </r>
    <r>
      <rPr>
        <sz val="8"/>
        <color rgb="FF000000"/>
        <rFont val="Helvetica"/>
        <family val="2"/>
      </rPr>
      <t xml:space="preserve">24 May Loan Repay REF: WeeklyIO WeeklyIO From: Hofman Brett </t>
    </r>
    <r>
      <rPr>
        <sz val="8"/>
        <color rgb="FFFFFFFF"/>
        <rFont val="Helvetica"/>
        <family val="2"/>
      </rPr>
      <t>300.00 470,355.78</t>
    </r>
  </si>
  <si>
    <t>31 May Loan Repay REF: WeeklyIO WeeklyIO From: Hofman Brett 300.00 470,055.78</t>
  </si>
  <si>
    <t>31 May Interest Charged 1,283.63 471,339.41</t>
  </si>
  <si>
    <t>7 Jun Loan Repay REF: WeeklyIO WeeklyIO From: Hofman Brett 300.00 471,039.41</t>
  </si>
  <si>
    <r>
      <t xml:space="preserve">14 Jun Loan Repay REF: WeeklyIO WeeklyIO From: Hofman Brett </t>
    </r>
    <r>
      <rPr>
        <sz val="8"/>
        <color rgb="FF000000"/>
        <rFont val="Helvetica"/>
        <family val="2"/>
      </rPr>
      <t xml:space="preserve">14 Jun Loan Repay REF: WeeklyIO WeeklyIO From: Hofman Brett </t>
    </r>
    <r>
      <rPr>
        <sz val="8"/>
        <color rgb="FFFFFFFF"/>
        <rFont val="Helvetica"/>
        <family val="2"/>
      </rPr>
      <t>300.00 470,739.41</t>
    </r>
  </si>
  <si>
    <t>300.00 470,739.41</t>
  </si>
  <si>
    <t>21 Jun Loan Repay REF: WeeklyIO WeeklyIO From: Hofman Brett 300.00 470,439.41</t>
  </si>
  <si>
    <r>
      <t xml:space="preserve">28 Jun Loan Repay REF: WeeklyIO WeeklyIO From: Hofman Brett </t>
    </r>
    <r>
      <rPr>
        <sz val="8"/>
        <color rgb="FF000000"/>
        <rFont val="Helvetica"/>
        <family val="2"/>
      </rPr>
      <t xml:space="preserve">28 Jun Loan Repay REF: WeeklyIO WeeklyIO From: Hofman Brett </t>
    </r>
    <r>
      <rPr>
        <sz val="8"/>
        <color rgb="FFFFFFFF"/>
        <rFont val="Helvetica"/>
        <family val="2"/>
      </rPr>
      <t>300.00 470,139.41</t>
    </r>
  </si>
  <si>
    <t>300.00 470,139.41</t>
  </si>
  <si>
    <t>30 Jun Interest Charged 1,242.14 471,381.55</t>
  </si>
  <si>
    <r>
      <t xml:space="preserve">5 Jul Loan Repay REF: WeeklyIO WeeklyIO From: Hofman Brett </t>
    </r>
    <r>
      <rPr>
        <sz val="8"/>
        <color rgb="FF000000"/>
        <rFont val="Helvetica"/>
        <family val="2"/>
      </rPr>
      <t xml:space="preserve">5 Jul Loan Repay REF: WeeklyIO WeeklyIO From: Hofman Brett </t>
    </r>
    <r>
      <rPr>
        <sz val="8"/>
        <color rgb="FFFFFFFF"/>
        <rFont val="Helvetica"/>
        <family val="2"/>
      </rPr>
      <t>300.00 471,081.55</t>
    </r>
  </si>
  <si>
    <t>300.00 471,081.55</t>
  </si>
  <si>
    <t>12 Jul Loan Repay REF: WeeklyIO WeeklyIO From: Hofman Brett 300.00 470,781.55</t>
  </si>
  <si>
    <r>
      <t xml:space="preserve">19 Jul Loan Repay REF: WeeklyIO WeeklyIO From: Hofman Brett </t>
    </r>
    <r>
      <rPr>
        <sz val="8"/>
        <color rgb="FF000000"/>
        <rFont val="Helvetica"/>
        <family val="2"/>
      </rPr>
      <t xml:space="preserve">19 Jul Loan Repay REF: WeeklyIO WeeklyIO From: Hofman Brett </t>
    </r>
    <r>
      <rPr>
        <sz val="8"/>
        <color rgb="FFFFFFFF"/>
        <rFont val="Helvetica"/>
        <family val="2"/>
      </rPr>
      <t>300.00 470,481.55</t>
    </r>
  </si>
  <si>
    <t>300.00 470,481.55</t>
  </si>
  <si>
    <t>21 Jul CLOSING BALANCE 470,481.55</t>
  </si>
  <si>
    <t>Interest Charged $0.00 $0.00 -$16,536.76</t>
  </si>
  <si>
    <t>22 Jan OPENING BALANCE 872,968.04</t>
  </si>
  <si>
    <t>31 Jan INT SAVED BY BALANCE OFFSET 23.17</t>
  </si>
  <si>
    <t>31 Jan Interest Charged 1,868.47 874,836.51</t>
  </si>
  <si>
    <r>
      <t xml:space="preserve">5 Feb Auto Payment </t>
    </r>
    <r>
      <rPr>
        <sz val="8"/>
        <color rgb="FF000000"/>
        <rFont val="Helvetica"/>
        <family val="2"/>
      </rPr>
      <t xml:space="preserve">5 Feb Auto Payment </t>
    </r>
    <r>
      <rPr>
        <sz val="8"/>
        <color rgb="FFFFFFFF"/>
        <rFont val="Helvetica"/>
        <family val="2"/>
      </rPr>
      <t>3,596.94 871,239.57</t>
    </r>
  </si>
  <si>
    <t>3,596.94 871,239.57</t>
  </si>
  <si>
    <t>28 Feb INT SAVED BY BALANCE OFFSET 20.16</t>
  </si>
  <si>
    <t>28 Feb Interest Charged 1,685.13 872,924.70</t>
  </si>
  <si>
    <t>5 Mar Auto Payment 3,596.94 869,327.76</t>
  </si>
  <si>
    <r>
      <t xml:space="preserve">5 Mar REF: ExtraMarch21 </t>
    </r>
    <r>
      <rPr>
        <sz val="8"/>
        <color rgb="FF000000"/>
        <rFont val="Helvetica"/>
        <family val="2"/>
      </rPr>
      <t xml:space="preserve">5 Mar REF: ExtraMarch21 </t>
    </r>
    <r>
      <rPr>
        <sz val="8"/>
        <color rgb="FFFFFFFF"/>
        <rFont val="Helvetica"/>
        <family val="2"/>
      </rPr>
      <t>463.17 868,864.59</t>
    </r>
  </si>
  <si>
    <t>463.17 868,864.59</t>
  </si>
  <si>
    <t>22 Mar Loan Repay REF: Fortnightly Fortnightly From: Hofman Brett 1,800.00 867,064.59</t>
  </si>
  <si>
    <t>31 Mar INT SAVED BY BALANCE OFFSET 30.76</t>
  </si>
  <si>
    <t>31 Mar Interest Charged 1,850.87 868,915.46</t>
  </si>
  <si>
    <r>
      <t xml:space="preserve">5 Apr Loan Repay REF: Fortnightly Fortnightly From: Hofman Brett </t>
    </r>
    <r>
      <rPr>
        <sz val="8"/>
        <color rgb="FF000000"/>
        <rFont val="Helvetica"/>
        <family val="2"/>
      </rPr>
      <t xml:space="preserve">5 Apr Loan Repay REF: Fortnightly Fortnightly From: Hofman Brett </t>
    </r>
    <r>
      <rPr>
        <sz val="8"/>
        <color rgb="FFFFFFFF"/>
        <rFont val="Helvetica"/>
        <family val="2"/>
      </rPr>
      <t>1,800.00 867,115.46</t>
    </r>
  </si>
  <si>
    <t>1,800.00 867,115.46</t>
  </si>
  <si>
    <t>19 Apr Loan Repay REF: Fortnightly Fortnightly From: Hofman Brett 1,800.00 865,315.46</t>
  </si>
  <si>
    <t>30 Apr INT SAVED BY BALANCE OFFSET 31.43</t>
  </si>
  <si>
    <t>30 Apr Interest Charged 1,784.94 867,100.40</t>
  </si>
  <si>
    <r>
      <t xml:space="preserve">3 May Loan Repay REF: Fortnightly Fortnightly From: Hofman Brett </t>
    </r>
    <r>
      <rPr>
        <sz val="8"/>
        <color rgb="FF000000"/>
        <rFont val="Helvetica"/>
        <family val="2"/>
      </rPr>
      <t xml:space="preserve">3 May Loan Repay REF: Fortnightly Fortnightly From: Hofman Brett </t>
    </r>
    <r>
      <rPr>
        <sz val="8"/>
        <color rgb="FFFFFFFF"/>
        <rFont val="Helvetica"/>
        <family val="2"/>
      </rPr>
      <t>1,800.00 865,300.40</t>
    </r>
  </si>
  <si>
    <t>1,800.00 865,300.40</t>
  </si>
  <si>
    <t>17 May Loan Repay REF: Fortnightly Fortnightly From: Hofman Brett 1,800.00 863,500.40</t>
  </si>
  <si>
    <r>
      <t xml:space="preserve">31 May Loan Repay REF: Fortnightly Fortnightly From: Hofman Brett </t>
    </r>
    <r>
      <rPr>
        <sz val="8"/>
        <color rgb="FF000000"/>
        <rFont val="Helvetica"/>
        <family val="2"/>
      </rPr>
      <t xml:space="preserve">31 May Loan Repay REF: Fortnightly Fortnightly From: Hofman Brett </t>
    </r>
    <r>
      <rPr>
        <sz val="8"/>
        <color rgb="FFFFFFFF"/>
        <rFont val="Helvetica"/>
        <family val="2"/>
      </rPr>
      <t>1,800.00 861,700.40</t>
    </r>
  </si>
  <si>
    <t>1,800.00 861,700.40</t>
  </si>
  <si>
    <t>31 May INT SAVED BY BALANCE OFFSET 32.49</t>
  </si>
  <si>
    <t>31 May Interest Charged 1,839.78 863,540.18</t>
  </si>
  <si>
    <t>14 Jun Loan Repay REF: Fortnightly Fortnightly From: Hofman Brett 1,800.00 861,740.18</t>
  </si>
  <si>
    <r>
      <t xml:space="preserve">28 Jun Loan Repay REF: Fortnightly Fortnightly From: Hofman Brett </t>
    </r>
    <r>
      <rPr>
        <sz val="8"/>
        <color rgb="FF000000"/>
        <rFont val="Helvetica"/>
        <family val="2"/>
      </rPr>
      <t xml:space="preserve">28 Jun Loan Repay REF: Fortnightly Fortnightly From: Hofman Brett </t>
    </r>
    <r>
      <rPr>
        <sz val="8"/>
        <color rgb="FFFFFFFF"/>
        <rFont val="Helvetica"/>
        <family val="2"/>
      </rPr>
      <t>1,800.00 859,940.18</t>
    </r>
  </si>
  <si>
    <t>1,800.00 859,940.18</t>
  </si>
  <si>
    <t>30 Jun INT SAVED BY BALANCE OFFSET 31.44</t>
  </si>
  <si>
    <t>30 Jun Interest Charged 1,775.93 861,716.11</t>
  </si>
  <si>
    <t>12 Jul Loan Repay REF: Fortnightly Fortnightly From: Hofman Brett 1,800.00 859,916.11</t>
  </si>
  <si>
    <t>21 Jul CLOSING BALANCE 859,916.11</t>
  </si>
  <si>
    <t>Interest Charged $0.00 $0.00 -$22,601.63</t>
  </si>
  <si>
    <t>E-3074/S-437733/I-690525</t>
  </si>
  <si>
    <t>5 of 4</t>
  </si>
  <si>
    <t>Customer number: 9018614</t>
  </si>
  <si>
    <t>Issue date: 21/01/2022</t>
  </si>
  <si>
    <t>50455259 Prime Access $17,100.00 $29,974.42 $42,479.15 $4,595.27</t>
  </si>
  <si>
    <t>50503609 Basic Variable Inv IO -$470,481.55 $6,508.32 $7,395.94 -$471,369.17</t>
  </si>
  <si>
    <t>51001645 3 Year Fixed OO P&amp;I -$859,916.11 $34,970.83 $10,117.46 -$835,062.74</t>
  </si>
  <si>
    <r>
      <t xml:space="preserve">Statement period: </t>
    </r>
    <r>
      <rPr>
        <sz val="9"/>
        <color rgb="FF000000"/>
        <rFont val="Helvetica"/>
        <family val="2"/>
      </rPr>
      <t>22 JUL 2021 To 21 JAN 2022</t>
    </r>
  </si>
  <si>
    <t>E-2034/S-406273/I-744375 EM. 2034NNNNNN 9018614</t>
  </si>
  <si>
    <t>22 Jul OPENING BALANCE 17,100.00</t>
  </si>
  <si>
    <r>
      <t xml:space="preserve">26 Jul </t>
    </r>
    <r>
      <rPr>
        <sz val="8"/>
        <color rgb="FF000000"/>
        <rFont val="Helvetica"/>
        <family val="2"/>
      </rPr>
      <t>26 Jul Loan Repay TRANSFER TO 814282 50503609 Hofman Brett REF:</t>
    </r>
  </si>
  <si>
    <t>26 Jul Loan Repay TRANSFER TO 814282 51001645 Hofman Brett REF:</t>
  </si>
  <si>
    <r>
      <t xml:space="preserve">28 Jul Fast Pymt In </t>
    </r>
    <r>
      <rPr>
        <sz val="8"/>
        <color rgb="FFFFFFFF"/>
        <rFont val="Helvetica"/>
        <family val="2"/>
      </rPr>
      <t xml:space="preserve">28 Jul Fast Pymt In </t>
    </r>
    <r>
      <rPr>
        <sz val="8"/>
        <color rgb="FF000000"/>
        <rFont val="Helvetica"/>
        <family val="2"/>
      </rPr>
      <t>1,000.00 16,000.00</t>
    </r>
  </si>
  <si>
    <t>28 Jul REF:Mortgage</t>
  </si>
  <si>
    <r>
      <t xml:space="preserve">29 Jul Fast Pymt In </t>
    </r>
    <r>
      <rPr>
        <sz val="8"/>
        <color rgb="FFFFFFFF"/>
        <rFont val="Helvetica"/>
        <family val="2"/>
      </rPr>
      <t>29 Jul Fast Pymt In 1,000.00 17,000.00</t>
    </r>
  </si>
  <si>
    <t>29 Jul REF:Mortgagee</t>
  </si>
  <si>
    <r>
      <t xml:space="preserve">29 Jul Fast Pymt In </t>
    </r>
    <r>
      <rPr>
        <sz val="8"/>
        <color rgb="FFFFFFFF"/>
        <rFont val="Helvetica"/>
        <family val="2"/>
      </rPr>
      <t>29 Jul Fast Pymt In 560.00 17,560.00</t>
    </r>
  </si>
  <si>
    <t>560.00 17,560.00</t>
  </si>
  <si>
    <r>
      <t xml:space="preserve">2 Aug </t>
    </r>
    <r>
      <rPr>
        <sz val="8"/>
        <color rgb="FFFFFFFF"/>
        <rFont val="Helvetica"/>
        <family val="2"/>
      </rPr>
      <t xml:space="preserve">2 Aug </t>
    </r>
    <r>
      <rPr>
        <sz val="8"/>
        <color rgb="FF000000"/>
        <rFont val="Helvetica"/>
        <family val="2"/>
      </rPr>
      <t>Loan Repay TRANSFER TO 814282 50503609 Hofman Brett REF:</t>
    </r>
  </si>
  <si>
    <t>WeeklyIO WeeklyIO 300.00 17,260.00</t>
  </si>
  <si>
    <t>1 of 5</t>
  </si>
  <si>
    <t>9 Aug Loan Repay TRANSFER TO 814282 50503609 Hofman Brett REF:</t>
  </si>
  <si>
    <t>WeeklyIO WeeklyIO 300.00 16,960.00</t>
  </si>
  <si>
    <r>
      <t xml:space="preserve">9 Aug </t>
    </r>
    <r>
      <rPr>
        <sz val="8"/>
        <color rgb="FF000000"/>
        <rFont val="Helvetica"/>
        <family val="2"/>
      </rPr>
      <t xml:space="preserve">9 Aug </t>
    </r>
    <r>
      <rPr>
        <sz val="8"/>
        <color rgb="FFFFFFFF"/>
        <rFont val="Helvetica"/>
        <family val="2"/>
      </rPr>
      <t>Loan Repay TRANSFER TO 814282 51001645 Hofman Brett REF:</t>
    </r>
  </si>
  <si>
    <t>Fortnightly Fortnightly 1,800.00 15,160.00</t>
  </si>
  <si>
    <t>140.00 15,300.00</t>
  </si>
  <si>
    <r>
      <t xml:space="preserve">23 Aug </t>
    </r>
    <r>
      <rPr>
        <sz val="8"/>
        <color rgb="FFFFFFFF"/>
        <rFont val="Helvetica"/>
        <family val="2"/>
      </rPr>
      <t xml:space="preserve">23 Aug </t>
    </r>
    <r>
      <rPr>
        <sz val="8"/>
        <color rgb="FF000000"/>
        <rFont val="Helvetica"/>
        <family val="2"/>
      </rPr>
      <t>23 Aug 13 Aug Fast Pymt In 13 Aug REF:Mort</t>
    </r>
  </si>
  <si>
    <t>13 Aug REF:Mort</t>
  </si>
  <si>
    <t>16 Aug Loan Repay TRANSFER TO 814282 50503609 Hofman Brett REF:</t>
  </si>
  <si>
    <r>
      <t xml:space="preserve">17 Aug Fast Pymt In </t>
    </r>
    <r>
      <rPr>
        <sz val="8"/>
        <color rgb="FFFFFFFF"/>
        <rFont val="Helvetica"/>
        <family val="2"/>
      </rPr>
      <t xml:space="preserve">17 Aug Fast Pymt In </t>
    </r>
    <r>
      <rPr>
        <sz val="8"/>
        <color rgb="FF000000"/>
        <rFont val="Helvetica"/>
        <family val="2"/>
      </rPr>
      <t>1,000.00 16,000.00</t>
    </r>
  </si>
  <si>
    <t>17 Aug REF:Mortgage</t>
  </si>
  <si>
    <r>
      <t xml:space="preserve">17 Aug Fast Pymt In </t>
    </r>
    <r>
      <rPr>
        <sz val="8"/>
        <color rgb="FFFFFFFF"/>
        <rFont val="Helvetica"/>
        <family val="2"/>
      </rPr>
      <t>17 Aug Fast Pymt In 950.00 16,950.00</t>
    </r>
  </si>
  <si>
    <t>950.00 16,950.00</t>
  </si>
  <si>
    <t>18 Aug ePayment From:Brett Hofman REF: Mortgage 150.00 17,100.00</t>
  </si>
  <si>
    <t>26 Aug Fast Pymt In 26 Aug REF:Mortgage</t>
  </si>
  <si>
    <t>26 Aug REF:Mortgage</t>
  </si>
  <si>
    <t>30 Aug Loan Repay TRANSFER TO 814282 50503609 Hofman Brett REF:</t>
  </si>
  <si>
    <t>2 Sep Fast Pymt In 2 Sep REF:Mortgage</t>
  </si>
  <si>
    <t>2 Sep REF:Mortgage</t>
  </si>
  <si>
    <r>
      <t xml:space="preserve">4 Sep Fast Pymt In 5 Sep Fast Pymt In </t>
    </r>
    <r>
      <rPr>
        <sz val="8"/>
        <color rgb="FFFFFFFF"/>
        <rFont val="Helvetica"/>
        <family val="2"/>
      </rPr>
      <t xml:space="preserve">5 Sep Fast Pymt In </t>
    </r>
    <r>
      <rPr>
        <sz val="8"/>
        <color rgb="FF000000"/>
        <rFont val="Helvetica"/>
        <family val="2"/>
      </rPr>
      <t>1,000.00 17,000.00</t>
    </r>
  </si>
  <si>
    <t>6 Sep Loan Repay TRANSFER TO 814282 50503609 Hofman Brett REF:</t>
  </si>
  <si>
    <r>
      <t xml:space="preserve">6 Sep </t>
    </r>
    <r>
      <rPr>
        <sz val="8"/>
        <color rgb="FF000000"/>
        <rFont val="Helvetica"/>
        <family val="2"/>
      </rPr>
      <t>6 Sep Loan Repay TRANSFER TO 814282 51001645 Hofman Brett REF:</t>
    </r>
  </si>
  <si>
    <t>153.95 15,153.95</t>
  </si>
  <si>
    <t>1,000.00 16,153.95</t>
  </si>
  <si>
    <t>1,000.00 17,153.95</t>
  </si>
  <si>
    <r>
      <t xml:space="preserve">7 Sep Fast Pymt In </t>
    </r>
    <r>
      <rPr>
        <sz val="8"/>
        <color rgb="FFFFFFFF"/>
        <rFont val="Helvetica"/>
        <family val="2"/>
      </rPr>
      <t xml:space="preserve">10 Sep Fast Pymt In </t>
    </r>
    <r>
      <rPr>
        <sz val="8"/>
        <color rgb="FF000000"/>
        <rFont val="Helvetica"/>
        <family val="2"/>
      </rPr>
      <t>10 Sep Fast Pymt In 10 Sep REF:Mort</t>
    </r>
  </si>
  <si>
    <r>
      <t xml:space="preserve">11 Sep Fast Pymt In </t>
    </r>
    <r>
      <rPr>
        <sz val="8"/>
        <color rgb="FF000000"/>
        <rFont val="Helvetica"/>
        <family val="2"/>
      </rPr>
      <t>11 Sep Fast Pymt In 11 Sep REF:Mortgage</t>
    </r>
  </si>
  <si>
    <r>
      <t xml:space="preserve">13 Sep </t>
    </r>
    <r>
      <rPr>
        <sz val="8"/>
        <color rgb="FF000000"/>
        <rFont val="Helvetica"/>
        <family val="2"/>
      </rPr>
      <t xml:space="preserve">13 Sep </t>
    </r>
    <r>
      <rPr>
        <sz val="8"/>
        <color rgb="FFFFFFFF"/>
        <rFont val="Helvetica"/>
        <family val="2"/>
      </rPr>
      <t>Loan Repay TRANSFER TO 814282 50503609 Hofman Brett REF:</t>
    </r>
  </si>
  <si>
    <r>
      <t xml:space="preserve">20 Sep </t>
    </r>
    <r>
      <rPr>
        <sz val="8"/>
        <color rgb="FFFFFFFF"/>
        <rFont val="Helvetica"/>
        <family val="2"/>
      </rPr>
      <t xml:space="preserve">20 Sep </t>
    </r>
    <r>
      <rPr>
        <sz val="8"/>
        <color rgb="FF000000"/>
        <rFont val="Helvetica"/>
        <family val="2"/>
      </rPr>
      <t xml:space="preserve">20 Sep </t>
    </r>
    <r>
      <rPr>
        <sz val="8"/>
        <color rgb="FFFFFFFF"/>
        <rFont val="Helvetica"/>
        <family val="2"/>
      </rPr>
      <t>WeeklyIO WeeklyIO 300.00 16,853.95</t>
    </r>
  </si>
  <si>
    <t>WeeklyIO WeeklyIO 300.00 16,853.95</t>
  </si>
  <si>
    <t>WeeklyIO WeeklyIO 300.00 16,553.95</t>
  </si>
  <si>
    <r>
      <t xml:space="preserve">24 Sep Fast Pymt In 24 Sep Fast Pymt In </t>
    </r>
    <r>
      <rPr>
        <sz val="8"/>
        <color rgb="FFFFFFFF"/>
        <rFont val="Helvetica"/>
        <family val="2"/>
      </rPr>
      <t xml:space="preserve">24 Sep Fast Pymt In </t>
    </r>
    <r>
      <rPr>
        <sz val="8"/>
        <color rgb="FF000000"/>
        <rFont val="Helvetica"/>
        <family val="2"/>
      </rPr>
      <t xml:space="preserve">25 Sep Fast Pymt In 26 Sep Fast Pymt In </t>
    </r>
    <r>
      <rPr>
        <sz val="8"/>
        <color rgb="FFFFFFFF"/>
        <rFont val="Helvetica"/>
        <family val="2"/>
      </rPr>
      <t>26 Sep Fast Pymt In Fortnightly Fortnightly 1,800.00 14,753.95</t>
    </r>
  </si>
  <si>
    <t>Fortnightly Fortnightly 1,800.00 14,753.95</t>
  </si>
  <si>
    <t>1,000.00 15,753.95</t>
  </si>
  <si>
    <t>1,000.00 16,753.95</t>
  </si>
  <si>
    <t>346.05 17,100.00</t>
  </si>
  <si>
    <t>100.00 17,200.00</t>
  </si>
  <si>
    <t>27 Sep Loan Repay TRANSFER TO 814282 50503609 Hofman Brett REF:</t>
  </si>
  <si>
    <t>WeeklyIO WeeklyIO 300.00 16,900.00</t>
  </si>
  <si>
    <r>
      <t xml:space="preserve">29 Sep Fast Pymt Out RWC Brett W Hofman </t>
    </r>
    <r>
      <rPr>
        <sz val="8"/>
        <color rgb="FFFFFFFF"/>
        <rFont val="Helvetica"/>
        <family val="2"/>
      </rPr>
      <t>29 Sep Fast Pymt Out RWC Brett W Hofman 15,900.00</t>
    </r>
  </si>
  <si>
    <r>
      <t xml:space="preserve">4 Oct </t>
    </r>
    <r>
      <rPr>
        <sz val="8"/>
        <color rgb="FFFFFFFF"/>
        <rFont val="Helvetica"/>
        <family val="2"/>
      </rPr>
      <t xml:space="preserve">4 Oct </t>
    </r>
    <r>
      <rPr>
        <sz val="8"/>
        <color rgb="FF000000"/>
        <rFont val="Helvetica"/>
        <family val="2"/>
      </rPr>
      <t>Loan Repay TRANSFER TO 814282 50503609 Hofman Brett REF:</t>
    </r>
  </si>
  <si>
    <r>
      <t xml:space="preserve">1,000.00 </t>
    </r>
    <r>
      <rPr>
        <sz val="8"/>
        <color rgb="FF000000"/>
        <rFont val="Helvetica"/>
        <family val="2"/>
      </rPr>
      <t xml:space="preserve">1,000.00 </t>
    </r>
    <r>
      <rPr>
        <sz val="6"/>
        <color rgb="FF000000"/>
        <rFont val="Helvetica"/>
        <family val="2"/>
      </rPr>
      <t>E-2034/S-406273/I-744376</t>
    </r>
  </si>
  <si>
    <t>WeeklyIO WeeklyIO 300.00 15,600.00</t>
  </si>
  <si>
    <t>4 Oct Loan Repay TRANSFER TO 814282 51001645 Hofman Brett REF:</t>
  </si>
  <si>
    <t>Fortnightly Fortnightly 1,800.00 13,800.00</t>
  </si>
  <si>
    <r>
      <t xml:space="preserve">7 Oct Fast Pymt In </t>
    </r>
    <r>
      <rPr>
        <sz val="8"/>
        <color rgb="FFFFFFFF"/>
        <rFont val="Helvetica"/>
        <family val="2"/>
      </rPr>
      <t xml:space="preserve">7 Oct Fast Pymt In </t>
    </r>
    <r>
      <rPr>
        <sz val="8"/>
        <color rgb="FF000000"/>
        <rFont val="Helvetica"/>
        <family val="2"/>
      </rPr>
      <t>200.00 14,000.00</t>
    </r>
  </si>
  <si>
    <t>200.00 14,000.00</t>
  </si>
  <si>
    <t>7 Oct Fast Pymt In 75.00 14,075.00</t>
  </si>
  <si>
    <r>
      <t xml:space="preserve">7 Oct Fast Pymt In </t>
    </r>
    <r>
      <rPr>
        <sz val="8"/>
        <color rgb="FFFFFFFF"/>
        <rFont val="Helvetica"/>
        <family val="2"/>
      </rPr>
      <t xml:space="preserve">7 Oct Fast Pymt In </t>
    </r>
    <r>
      <rPr>
        <sz val="8"/>
        <color rgb="FF000000"/>
        <rFont val="Helvetica"/>
        <family val="2"/>
      </rPr>
      <t>97.63 14,172.63</t>
    </r>
  </si>
  <si>
    <t>97.63 14,172.63</t>
  </si>
  <si>
    <t>11 Oct Loan Repay TRANSFER TO 814282 50503609 Hofman Brett REF:</t>
  </si>
  <si>
    <t>WeeklyIO WeeklyIO 300.00 13,872.63</t>
  </si>
  <si>
    <r>
      <t xml:space="preserve">14 Oct Fast Pymt In </t>
    </r>
    <r>
      <rPr>
        <sz val="8"/>
        <color rgb="FFFFFFFF"/>
        <rFont val="Helvetica"/>
        <family val="2"/>
      </rPr>
      <t xml:space="preserve">14 Oct Fast Pymt In </t>
    </r>
    <r>
      <rPr>
        <sz val="8"/>
        <color rgb="FF000000"/>
        <rFont val="Helvetica"/>
        <family val="2"/>
      </rPr>
      <t>1,000.00 14,872.63</t>
    </r>
  </si>
  <si>
    <t>1,000.00 14,872.63</t>
  </si>
  <si>
    <t>14 Oct REF:Mortgage</t>
  </si>
  <si>
    <r>
      <t xml:space="preserve">15 Oct Fast Pymt In </t>
    </r>
    <r>
      <rPr>
        <sz val="8"/>
        <color rgb="FFFFFFFF"/>
        <rFont val="Helvetica"/>
        <family val="2"/>
      </rPr>
      <t xml:space="preserve">15 Oct Fast Pymt In </t>
    </r>
    <r>
      <rPr>
        <sz val="8"/>
        <color rgb="FF000000"/>
        <rFont val="Helvetica"/>
        <family val="2"/>
      </rPr>
      <t xml:space="preserve">16 Oct Fast Pymt In 17 Oct Fast Pymt In </t>
    </r>
    <r>
      <rPr>
        <sz val="8"/>
        <color rgb="FFFFFFFF"/>
        <rFont val="Helvetica"/>
        <family val="2"/>
      </rPr>
      <t>17 Oct Fast Pymt In 1,000.00 15,872.63</t>
    </r>
  </si>
  <si>
    <t>1,000.00 15,872.63</t>
  </si>
  <si>
    <t>1,000.00 16,872.63</t>
  </si>
  <si>
    <t>227.37 17,100.00</t>
  </si>
  <si>
    <t>18 Oct Loan Repay TRANSFER TO 814282 50503609 Hofman Brett REF:</t>
  </si>
  <si>
    <t>2 of 5</t>
  </si>
  <si>
    <r>
      <t xml:space="preserve">18 Oct </t>
    </r>
    <r>
      <rPr>
        <sz val="8"/>
        <color rgb="FF000000"/>
        <rFont val="Helvetica"/>
        <family val="2"/>
      </rPr>
      <t xml:space="preserve">18 Oct </t>
    </r>
    <r>
      <rPr>
        <sz val="8"/>
        <color rgb="FFFFFFFF"/>
        <rFont val="Helvetica"/>
        <family val="2"/>
      </rPr>
      <t>Loan Repay TRANSFER TO 814282 51001645 Hofman Brett REF:</t>
    </r>
  </si>
  <si>
    <r>
      <t xml:space="preserve">23 Oct Fast Pymt In </t>
    </r>
    <r>
      <rPr>
        <sz val="8"/>
        <color rgb="FFFFFFFF"/>
        <rFont val="Helvetica"/>
        <family val="2"/>
      </rPr>
      <t xml:space="preserve">25 Oct </t>
    </r>
    <r>
      <rPr>
        <sz val="8"/>
        <color rgb="FF000000"/>
        <rFont val="Helvetica"/>
        <family val="2"/>
      </rPr>
      <t xml:space="preserve">25 Oct </t>
    </r>
    <r>
      <rPr>
        <sz val="8"/>
        <color rgb="FFFFFFFF"/>
        <rFont val="Helvetica"/>
        <family val="2"/>
      </rPr>
      <t>Loan Repay TRANSFER TO 814282 50503609 Hofman Brett REF:</t>
    </r>
  </si>
  <si>
    <r>
      <t xml:space="preserve">1 Nov </t>
    </r>
    <r>
      <rPr>
        <sz val="8"/>
        <color rgb="FFFFFFFF"/>
        <rFont val="Helvetica"/>
        <family val="2"/>
      </rPr>
      <t xml:space="preserve">1 Nov </t>
    </r>
    <r>
      <rPr>
        <sz val="8"/>
        <color rgb="FF000000"/>
        <rFont val="Helvetica"/>
        <family val="2"/>
      </rPr>
      <t xml:space="preserve">1 Nov </t>
    </r>
    <r>
      <rPr>
        <sz val="8"/>
        <color rgb="FFFFFFFF"/>
        <rFont val="Helvetica"/>
        <family val="2"/>
      </rPr>
      <t>WeeklyIO WeeklyIO 300.00 15,000.00</t>
    </r>
  </si>
  <si>
    <t>Fortnightly Fortnightly 1,800.00 13,200.00</t>
  </si>
  <si>
    <t>WeeklyIO WeeklyIO 300.00 12,900.00</t>
  </si>
  <si>
    <r>
      <t xml:space="preserve">1 Nov Fast Pymt In </t>
    </r>
    <r>
      <rPr>
        <sz val="8"/>
        <color rgb="FFFFFFFF"/>
        <rFont val="Helvetica"/>
        <family val="2"/>
      </rPr>
      <t xml:space="preserve">1 Nov Fast Pymt In </t>
    </r>
    <r>
      <rPr>
        <sz val="8"/>
        <color rgb="FF000000"/>
        <rFont val="Helvetica"/>
        <family val="2"/>
      </rPr>
      <t xml:space="preserve">2 Nov Fast Pymt In 3 Nov Fast Pymt In </t>
    </r>
    <r>
      <rPr>
        <sz val="8"/>
        <color rgb="FFFFFFFF"/>
        <rFont val="Helvetica"/>
        <family val="2"/>
      </rPr>
      <t>3 Nov Fast Pymt In 1,000.00 13,900.00</t>
    </r>
  </si>
  <si>
    <t>1,000.00 13,900.00</t>
  </si>
  <si>
    <t>1,000.00 14,900.00</t>
  </si>
  <si>
    <t>3 Nov TXN INITIATED BY-9018614 TRANSFER TO 814282 51001645 Hofman</t>
  </si>
  <si>
    <t>Brett 10,000.00 5,000.00</t>
  </si>
  <si>
    <r>
      <t xml:space="preserve">8 Nov </t>
    </r>
    <r>
      <rPr>
        <sz val="8"/>
        <color rgb="FF000000"/>
        <rFont val="Helvetica"/>
        <family val="2"/>
      </rPr>
      <t>8 Nov Loan Repay TRANSFER TO 814282 50503609 Hofman Brett REF:</t>
    </r>
  </si>
  <si>
    <t>WeeklyIO WeeklyIO 300.00 4,700.00</t>
  </si>
  <si>
    <t>1,000.00 5,700.00</t>
  </si>
  <si>
    <r>
      <t xml:space="preserve">10 Nov Fast Pymt In </t>
    </r>
    <r>
      <rPr>
        <sz val="8"/>
        <color rgb="FFFFFFFF"/>
        <rFont val="Helvetica"/>
        <family val="2"/>
      </rPr>
      <t xml:space="preserve">10 Nov </t>
    </r>
    <r>
      <rPr>
        <sz val="8"/>
        <color rgb="FF000000"/>
        <rFont val="Helvetica"/>
        <family val="2"/>
      </rPr>
      <t xml:space="preserve">10 Nov </t>
    </r>
    <r>
      <rPr>
        <sz val="8"/>
        <color rgb="FFFFFFFF"/>
        <rFont val="Helvetica"/>
        <family val="2"/>
      </rPr>
      <t>TXN INITIATED BY-9018614 TRANSFER TO 814282 51001645 Hofman</t>
    </r>
  </si>
  <si>
    <t>TXN INITIATED BY-9018614 TRANSFER TO 814282 51001645 Hofman</t>
  </si>
  <si>
    <t>Brett 1,000.00 4,700.00</t>
  </si>
  <si>
    <t>11 Nov Loyalty bonus LOYALTY BONUS 2,000.00 6,700.00</t>
  </si>
  <si>
    <r>
      <t xml:space="preserve">12 Nov </t>
    </r>
    <r>
      <rPr>
        <sz val="8"/>
        <color rgb="FF000000"/>
        <rFont val="Helvetica"/>
        <family val="2"/>
      </rPr>
      <t>12 Nov TXN INITIATED BY-9018614 TRANSFER TO 814282 51001645 Hofman</t>
    </r>
  </si>
  <si>
    <r>
      <t xml:space="preserve">12 Nov </t>
    </r>
    <r>
      <rPr>
        <sz val="8"/>
        <color rgb="FFFFFFFF"/>
        <rFont val="Helvetica"/>
        <family val="2"/>
      </rPr>
      <t xml:space="preserve">30 Nov </t>
    </r>
    <r>
      <rPr>
        <sz val="8"/>
        <color rgb="FF000000"/>
        <rFont val="Helvetica"/>
        <family val="2"/>
      </rPr>
      <t xml:space="preserve">30 Nov </t>
    </r>
    <r>
      <rPr>
        <sz val="8"/>
        <color rgb="FFFFFFFF"/>
        <rFont val="Helvetica"/>
        <family val="2"/>
      </rPr>
      <t>Brett 1,000.00 5,700.00</t>
    </r>
  </si>
  <si>
    <t>Brett 1,000.00 5,700.00</t>
  </si>
  <si>
    <t>Brett 752.85 4,947.15</t>
  </si>
  <si>
    <t>TXN INITIATED BY-9018614 TRANSFER TO 814282 50503609 Hofman</t>
  </si>
  <si>
    <t>Brett REF: Dec Mthly pymt 462.77 4,484.38</t>
  </si>
  <si>
    <r>
      <t xml:space="preserve">5 Dec </t>
    </r>
    <r>
      <rPr>
        <sz val="8"/>
        <color rgb="FF000000"/>
        <rFont val="Helvetica"/>
        <family val="2"/>
      </rPr>
      <t>5 Dec Loan Repay TRANSFER TO 814282 51001645 Hofman Brett REF:</t>
    </r>
  </si>
  <si>
    <r>
      <t xml:space="preserve">6 Dec </t>
    </r>
    <r>
      <rPr>
        <sz val="8"/>
        <color rgb="FFFFFFFF"/>
        <rFont val="Helvetica"/>
        <family val="2"/>
      </rPr>
      <t xml:space="preserve">6 Dec </t>
    </r>
    <r>
      <rPr>
        <sz val="8"/>
        <color rgb="FF000000"/>
        <rFont val="Helvetica"/>
        <family val="2"/>
      </rPr>
      <t xml:space="preserve">6 Dec </t>
    </r>
    <r>
      <rPr>
        <sz val="8"/>
        <color rgb="FFFFFFFF"/>
        <rFont val="Helvetica"/>
        <family val="2"/>
      </rPr>
      <t>OO_Monthly OO_Monthly 3,338.84 1,145.54</t>
    </r>
  </si>
  <si>
    <t>OO_Monthly OO_Monthly 3,338.84 1,145.54</t>
  </si>
  <si>
    <t>Brett 539.50 606.04</t>
  </si>
  <si>
    <t>10 Dec Brett 20.00 586.04</t>
  </si>
  <si>
    <t>Brett 20.00 586.04</t>
  </si>
  <si>
    <t>Brett 580.80 5.24</t>
  </si>
  <si>
    <t>15 Dec ePayment From:Brett Hofman REF: 4,584.39 4,589.63</t>
  </si>
  <si>
    <t>31 Dec Interest Paid 0.03 4,589.66</t>
  </si>
  <si>
    <r>
      <t xml:space="preserve">1 Jan </t>
    </r>
    <r>
      <rPr>
        <sz val="8"/>
        <color rgb="FFFFFFFF"/>
        <rFont val="Helvetica"/>
        <family val="2"/>
      </rPr>
      <t>1 Jan Loan Repay TRANSFER TO 814282 50503609 Hofman Brett REF:</t>
    </r>
  </si>
  <si>
    <t>IO_Monthly IO_Monthly 1,245.55 3,344.11</t>
  </si>
  <si>
    <r>
      <t xml:space="preserve">5 Jan </t>
    </r>
    <r>
      <rPr>
        <sz val="8"/>
        <color rgb="FF000000"/>
        <rFont val="Helvetica"/>
        <family val="2"/>
      </rPr>
      <t>5 Jan Loan Repay TRANSFER TO 814282 51001645 Hofman Brett REF:</t>
    </r>
  </si>
  <si>
    <t>OO_Monthly OO_Monthly 3,338.84 5.27</t>
  </si>
  <si>
    <t>17 Jan ePayment From:Brett Hofman REF: 4,590.00 4,595.27</t>
  </si>
  <si>
    <t>21 Jan CLOSING BALANCE 4,595.27</t>
  </si>
  <si>
    <t>Interest Paid $0.03 $0.03 $0.00</t>
  </si>
  <si>
    <r>
      <t xml:space="preserve">Account: </t>
    </r>
    <r>
      <rPr>
        <sz val="9"/>
        <color rgb="FF000000"/>
        <rFont val="Helvetica"/>
        <family val="2"/>
      </rPr>
      <t xml:space="preserve">50456034 Brett William Hofman, Laura Nicole Hofman </t>
    </r>
    <r>
      <rPr>
        <sz val="6"/>
        <color rgb="FF000000"/>
        <rFont val="Helvetica"/>
        <family val="2"/>
      </rPr>
      <t>E-2034/S-406274/I-744377</t>
    </r>
  </si>
  <si>
    <t>3 of 5</t>
  </si>
  <si>
    <r>
      <t xml:space="preserve">Account name: </t>
    </r>
    <r>
      <rPr>
        <sz val="9"/>
        <color rgb="FF000000"/>
        <rFont val="Helvetica"/>
        <family val="2"/>
      </rPr>
      <t>Basic Variable Inv IO</t>
    </r>
  </si>
  <si>
    <r>
      <t xml:space="preserve">Product name: </t>
    </r>
    <r>
      <rPr>
        <sz val="9"/>
        <color rgb="FF000000"/>
        <rFont val="Helvetica"/>
        <family val="2"/>
      </rPr>
      <t>Basic Variable Inv IO</t>
    </r>
  </si>
  <si>
    <r>
      <t xml:space="preserve">Account: </t>
    </r>
    <r>
      <rPr>
        <sz val="9"/>
        <color rgb="FF000000"/>
        <rFont val="Helvetica"/>
        <family val="2"/>
      </rPr>
      <t xml:space="preserve">50503609 Brett William Hofman, Laura Nicole Hofman </t>
    </r>
    <r>
      <rPr>
        <sz val="8"/>
        <color rgb="FF000000"/>
        <rFont val="Helvetica"/>
        <family val="2"/>
      </rPr>
      <t>CURRENT INTEREST RATE 2.89% P.A.</t>
    </r>
  </si>
  <si>
    <t>22 Jul OPENING BALANCE 470,481.55</t>
  </si>
  <si>
    <t>26 Jul Loan Repay REF: WeeklyIO WeeklyIO From: Hofman Brett 300.00 470,181.55</t>
  </si>
  <si>
    <t>31 Jul Interest Charged 1,283.39 471,464.94</t>
  </si>
  <si>
    <t>2 Aug Loan Repay REF: WeeklyIO WeeklyIO From: Hofman Brett 300.00 471,164.94</t>
  </si>
  <si>
    <t>9 Aug Loan Repay REF: WeeklyIO WeeklyIO From: Hofman Brett 300.00 470,864.94</t>
  </si>
  <si>
    <t>16 Aug Loan Repay REF: WeeklyIO WeeklyIO From: Hofman Brett 300.00 470,564.94</t>
  </si>
  <si>
    <t>23 Aug Loan Repay REF: WeeklyIO WeeklyIO From: Hofman Brett 300.00 470,264.94</t>
  </si>
  <si>
    <t>30 Aug Loan Repay REF: WeeklyIO WeeklyIO From: Hofman Brett 300.00 469,964.94</t>
  </si>
  <si>
    <t>31 Aug Interest Charged 1,283.24 471,248.18</t>
  </si>
  <si>
    <t>6 Sep Loan Repay REF: WeeklyIO WeeklyIO From: Hofman Brett 300.00 470,948.18</t>
  </si>
  <si>
    <t>13 Sep Loan Repay REF: WeeklyIO WeeklyIO From: Hofman Brett 300.00 470,648.18</t>
  </si>
  <si>
    <t>20 Sep Loan Repay REF: WeeklyIO WeeklyIO From: Hofman Brett 300.00 470,348.18</t>
  </si>
  <si>
    <t>27 Sep Loan Repay REF: WeeklyIO WeeklyIO From: Hofman Brett 300.00 470,048.18</t>
  </si>
  <si>
    <t>30 Sep Interest Charged 1,241.79 471,289.97</t>
  </si>
  <si>
    <t>4 Oct Loan Repay REF: WeeklyIO WeeklyIO From: Hofman Brett 300.00 470,989.97</t>
  </si>
  <si>
    <t>11 Oct Loan Repay REF: WeeklyIO WeeklyIO From: Hofman Brett 300.00 470,689.97</t>
  </si>
  <si>
    <t>18 Oct Loan Repay REF: WeeklyIO WeeklyIO From: Hofman Brett 300.00 470,389.97</t>
  </si>
  <si>
    <t>25 Oct Loan Repay REF: WeeklyIO WeeklyIO From: Hofman Brett 300.00 470,089.97</t>
  </si>
  <si>
    <t>31 Oct Interest Charged 1,283.03 471,373.00</t>
  </si>
  <si>
    <t>1 Nov Loan Repay REF: WeeklyIO WeeklyIO From: Hofman Brett 300.00 471,073.00</t>
  </si>
  <si>
    <t>8 Nov Loan Repay REF: WeeklyIO WeeklyIO From: Hofman Brett 300.00 470,773.00</t>
  </si>
  <si>
    <r>
      <t xml:space="preserve">8 Nov </t>
    </r>
    <r>
      <rPr>
        <sz val="8"/>
        <color rgb="FF000000"/>
        <rFont val="Helvetica"/>
        <family val="2"/>
      </rPr>
      <t xml:space="preserve">8 Nov </t>
    </r>
    <r>
      <rPr>
        <sz val="8"/>
        <color rgb="FFFFFFFF"/>
        <rFont val="Helvetica"/>
        <family val="2"/>
      </rPr>
      <t>ACT TYPE CHG Achieve Inv IO TO Achieve InvP&amp;I</t>
    </r>
  </si>
  <si>
    <t>ACT TYPE CHG Achieve Inv IO TO Achieve InvP&amp;I</t>
  </si>
  <si>
    <t>8 Nov RATE CHANGED FM 3.21 % TO 2.86 %</t>
  </si>
  <si>
    <r>
      <t xml:space="preserve">8 Nov </t>
    </r>
    <r>
      <rPr>
        <sz val="8"/>
        <color rgb="FF000000"/>
        <rFont val="Helvetica"/>
        <family val="2"/>
      </rPr>
      <t xml:space="preserve">8 Nov </t>
    </r>
    <r>
      <rPr>
        <sz val="8"/>
        <color rgb="FFFFFFFF"/>
        <rFont val="Helvetica"/>
        <family val="2"/>
      </rPr>
      <t>ACT TYPE CHG Achieve InvP&amp;I TO Achieve Inv IO</t>
    </r>
  </si>
  <si>
    <t>ACT TYPE CHG Achieve InvP&amp;I TO Achieve Inv IO</t>
  </si>
  <si>
    <t>8 Nov RATE CHANGED FM 2.86 % TO 3.11 %</t>
  </si>
  <si>
    <r>
      <t xml:space="preserve">8 Nov </t>
    </r>
    <r>
      <rPr>
        <sz val="8"/>
        <color rgb="FF000000"/>
        <rFont val="Helvetica"/>
        <family val="2"/>
      </rPr>
      <t xml:space="preserve">8 Nov </t>
    </r>
    <r>
      <rPr>
        <sz val="8"/>
        <color rgb="FFFFFFFF"/>
        <rFont val="Helvetica"/>
        <family val="2"/>
      </rPr>
      <t>ACT TYPE CHG Achieve Inv IO TO Basic Inv IO</t>
    </r>
  </si>
  <si>
    <t>ACT TYPE CHG Achieve Inv IO TO Basic Inv IO</t>
  </si>
  <si>
    <t>8 Nov RATE CHANGED FM 3.11 % TO 2.89 %</t>
  </si>
  <si>
    <r>
      <t xml:space="preserve">30 Nov REF: Dec Mthly pymt </t>
    </r>
    <r>
      <rPr>
        <sz val="8"/>
        <color rgb="FF000000"/>
        <rFont val="Helvetica"/>
        <family val="2"/>
      </rPr>
      <t xml:space="preserve">30 Nov REF: Dec Mthly pymt </t>
    </r>
    <r>
      <rPr>
        <sz val="8"/>
        <color rgb="FFFFFFFF"/>
        <rFont val="Helvetica"/>
        <family val="2"/>
      </rPr>
      <t>462.77 470,310.23</t>
    </r>
  </si>
  <si>
    <t>462.77 470,310.23</t>
  </si>
  <si>
    <t>30 Nov Interest Charged 1,147.29 471,457.52</t>
  </si>
  <si>
    <t>31 Dec Interest Charged 1,157.20 472,614.72</t>
  </si>
  <si>
    <t>1 Jan Loan Repay REF: IO_Monthly IO_Monthly From: Hofman Brett 1,245.55 471,369.17</t>
  </si>
  <si>
    <t>21 Jan CLOSING BALANCE 471,369.17</t>
  </si>
  <si>
    <t>Interest Charged $0.00 -$7,395.95 -$16,536.76</t>
  </si>
  <si>
    <t>E-2034/S-406274/I-744378</t>
  </si>
  <si>
    <t>4 of 5</t>
  </si>
  <si>
    <r>
      <t xml:space="preserve">Account name: </t>
    </r>
    <r>
      <rPr>
        <sz val="9"/>
        <color rgb="FF000000"/>
        <rFont val="Helvetica"/>
        <family val="2"/>
      </rPr>
      <t>3 Year Fixed OO P&amp;I</t>
    </r>
  </si>
  <si>
    <r>
      <t xml:space="preserve">Product name: </t>
    </r>
    <r>
      <rPr>
        <sz val="9"/>
        <color rgb="FF000000"/>
        <rFont val="Helvetica"/>
        <family val="2"/>
      </rPr>
      <t>3 Year Fixed OO P&amp;I</t>
    </r>
  </si>
  <si>
    <r>
      <t xml:space="preserve">Account: </t>
    </r>
    <r>
      <rPr>
        <sz val="9"/>
        <color rgb="FF000000"/>
        <rFont val="Helvetica"/>
        <family val="2"/>
      </rPr>
      <t xml:space="preserve">51001645 Brett William Hofman, Laura Nicole Hofman </t>
    </r>
    <r>
      <rPr>
        <sz val="8"/>
        <color rgb="FF000000"/>
        <rFont val="Helvetica"/>
        <family val="2"/>
      </rPr>
      <t>CURRENT INTEREST RATE 1.97% P.A.</t>
    </r>
  </si>
  <si>
    <t>22 Jul OPENING BALANCE 859,916.11</t>
  </si>
  <si>
    <r>
      <t xml:space="preserve">26 Jul Loan Repay REF: Fortnightly Fortnightly From: Hofman Brett </t>
    </r>
    <r>
      <rPr>
        <sz val="8"/>
        <color rgb="FF000000"/>
        <rFont val="Helvetica"/>
        <family val="2"/>
      </rPr>
      <t xml:space="preserve">26 Jul Loan Repay REF: Fortnightly Fortnightly From: Hofman Brett </t>
    </r>
    <r>
      <rPr>
        <sz val="8"/>
        <color rgb="FFFFFFFF"/>
        <rFont val="Helvetica"/>
        <family val="2"/>
      </rPr>
      <t>1,800.00 858,116.11</t>
    </r>
  </si>
  <si>
    <t>1,800.00 858,116.11</t>
  </si>
  <si>
    <t>31 Jul INT SAVED BY BALANCE OFFSET 32.49</t>
  </si>
  <si>
    <t>31 Jul Interest Charged 1,830.51 859,946.62</t>
  </si>
  <si>
    <t>9 Aug Loan Repay REF: Fortnightly Fortnightly From: Hofman Brett 1,800.00 858,146.62</t>
  </si>
  <si>
    <r>
      <t xml:space="preserve">23 Aug Loan Repay REF: Fortnightly Fortnightly From: Hofman Brett </t>
    </r>
    <r>
      <rPr>
        <sz val="8"/>
        <color rgb="FF000000"/>
        <rFont val="Helvetica"/>
        <family val="2"/>
      </rPr>
      <t xml:space="preserve">23 Aug Loan Repay REF: Fortnightly Fortnightly From: Hofman Brett </t>
    </r>
    <r>
      <rPr>
        <sz val="8"/>
        <color rgb="FFFFFFFF"/>
        <rFont val="Helvetica"/>
        <family val="2"/>
      </rPr>
      <t>1,800.00 856,346.62</t>
    </r>
  </si>
  <si>
    <t>1,800.00 856,346.62</t>
  </si>
  <si>
    <t>31 Aug INT SAVED BY BALANCE OFFSET 32.49</t>
  </si>
  <si>
    <t>31 Aug Interest Charged 1,825.92 858,172.54</t>
  </si>
  <si>
    <t>6 Sep Loan Repay REF: Fortnightly Fortnightly From: Hofman Brett 1,800.00 856,372.54</t>
  </si>
  <si>
    <r>
      <t xml:space="preserve">20 Sep Loan Repay REF: Fortnightly Fortnightly From: Hofman Brett </t>
    </r>
    <r>
      <rPr>
        <sz val="8"/>
        <color rgb="FF000000"/>
        <rFont val="Helvetica"/>
        <family val="2"/>
      </rPr>
      <t xml:space="preserve">20 Sep Loan Repay REF: Fortnightly Fortnightly From: Hofman Brett </t>
    </r>
    <r>
      <rPr>
        <sz val="8"/>
        <color rgb="FFFFFFFF"/>
        <rFont val="Helvetica"/>
        <family val="2"/>
      </rPr>
      <t>1,800.00 854,572.54</t>
    </r>
  </si>
  <si>
    <t>1,800.00 854,572.54</t>
  </si>
  <si>
    <t>30 Sep INT SAVED BY BALANCE OFFSET 31.37</t>
  </si>
  <si>
    <t>30 Sep Interest Charged 1,762.74 856,335.28</t>
  </si>
  <si>
    <t>4 Oct Loan Repay REF: Fortnightly Fortnightly From: Hofman Brett 1,800.00 854,535.28</t>
  </si>
  <si>
    <r>
      <t xml:space="preserve">18 Oct Loan Repay REF: Fortnightly Fortnightly From: Hofman Brett </t>
    </r>
    <r>
      <rPr>
        <sz val="8"/>
        <color rgb="FF000000"/>
        <rFont val="Helvetica"/>
        <family val="2"/>
      </rPr>
      <t xml:space="preserve">18 Oct Loan Repay REF: Fortnightly Fortnightly From: Hofman Brett </t>
    </r>
    <r>
      <rPr>
        <sz val="8"/>
        <color rgb="FFFFFFFF"/>
        <rFont val="Helvetica"/>
        <family val="2"/>
      </rPr>
      <t>1,800.00 852,735.28</t>
    </r>
  </si>
  <si>
    <t>1,800.00 852,735.28</t>
  </si>
  <si>
    <t>31 Oct INT SAVED BY BALANCE OFFSET 31.76</t>
  </si>
  <si>
    <t>31 Oct Interest Charged 1,817.57 854,552.85</t>
  </si>
  <si>
    <t>1 Nov Loan Repay REF: Fortnightly Fortnightly From: Hofman Brett 1,800.00 852,752.85</t>
  </si>
  <si>
    <t>3 Nov 10,000.00 842,752.85</t>
  </si>
  <si>
    <t>10 Nov INT SAVED BY INTEREST OFFSET 4.42</t>
  </si>
  <si>
    <r>
      <t xml:space="preserve">10 Nov </t>
    </r>
    <r>
      <rPr>
        <sz val="8"/>
        <color rgb="FF000000"/>
        <rFont val="Helvetica"/>
        <family val="2"/>
      </rPr>
      <t xml:space="preserve">10 Nov </t>
    </r>
    <r>
      <rPr>
        <sz val="8"/>
        <color rgb="FFFFFFFF"/>
        <rFont val="Helvetica"/>
        <family val="2"/>
      </rPr>
      <t xml:space="preserve">ACT TYPE CHG </t>
    </r>
    <r>
      <rPr>
        <sz val="8"/>
        <color rgb="FF000000"/>
        <rFont val="Helvetica"/>
        <family val="2"/>
      </rPr>
      <t xml:space="preserve">ACT TYPE CHG </t>
    </r>
    <r>
      <rPr>
        <sz val="8"/>
        <color rgb="FFFFFFFF"/>
        <rFont val="Helvetica"/>
        <family val="2"/>
      </rPr>
      <t>Achieve OO P&amp;I TO 3 Yr Fxd OO P&amp;I</t>
    </r>
  </si>
  <si>
    <t>Achieve OO P&amp;I TO 3 Yr Fxd OO P&amp;I</t>
  </si>
  <si>
    <t>10 Nov RATE CHANGED FM 2.55 % TO 2.02 %</t>
  </si>
  <si>
    <r>
      <t xml:space="preserve">10 Nov </t>
    </r>
    <r>
      <rPr>
        <sz val="8"/>
        <color rgb="FF000000"/>
        <rFont val="Helvetica"/>
        <family val="2"/>
      </rPr>
      <t xml:space="preserve">10 Nov </t>
    </r>
    <r>
      <rPr>
        <sz val="8"/>
        <color rgb="FFFFFFFF"/>
        <rFont val="Helvetica"/>
        <family val="2"/>
      </rPr>
      <t>REPAY CHG FM 3359.98 TO 3338.84 EFF. 10/11/2021</t>
    </r>
  </si>
  <si>
    <t>REPAY CHG FM 3359.98 TO 3338.84 EFF. 10/11/2021</t>
  </si>
  <si>
    <t>10 Nov 1,000.00 841,752.85</t>
  </si>
  <si>
    <r>
      <t xml:space="preserve">10 Nov </t>
    </r>
    <r>
      <rPr>
        <sz val="8"/>
        <color rgb="FF000000"/>
        <rFont val="Helvetica"/>
        <family val="2"/>
      </rPr>
      <t xml:space="preserve">10 Nov </t>
    </r>
    <r>
      <rPr>
        <sz val="8"/>
        <color rgb="FFFFFFFF"/>
        <rFont val="Helvetica"/>
        <family val="2"/>
      </rPr>
      <t>RATE CHANGED FM 2.02 % TO 1.97 %</t>
    </r>
  </si>
  <si>
    <t>RATE CHANGED FM 2.02 % TO 1.97 %</t>
  </si>
  <si>
    <t>12 Nov 1,000.00 840,752.85</t>
  </si>
  <si>
    <t>12 Nov 752.85 840,000.00</t>
  </si>
  <si>
    <t>30 Nov Interest Charged 1,479.14 841,479.14</t>
  </si>
  <si>
    <t>5 Dec Loan Repay REF: OO_Monthly OO_Monthly From: Hofman Brett 3,338.84 838,140.30</t>
  </si>
  <si>
    <t>6 Dec 539.50 837,600.80</t>
  </si>
  <si>
    <t>6 Dec 20.00 837,580.80</t>
  </si>
  <si>
    <t>10 Dec 580.80 837,000.00</t>
  </si>
  <si>
    <t>31 Dec Interest Charged 1,401.58 838,401.58</t>
  </si>
  <si>
    <t>5 Jan Loan Repay REF: OO_Monthly OO_Monthly From: Hofman Brett 3,338.84 835,062.74</t>
  </si>
  <si>
    <t>21 Jan CLOSING BALANCE 835,062.74</t>
  </si>
  <si>
    <t>Interest Charged $0.00 -$10,117.46 -$22,601.63</t>
  </si>
  <si>
    <t>E-2034/S-406275/I-744379</t>
  </si>
  <si>
    <t>5 of 5</t>
  </si>
  <si>
    <t>Issue date: 21/07/2022</t>
  </si>
  <si>
    <t>$4,595.27 </t>
  </si>
  <si>
    <t>$29,755.00 </t>
  </si>
  <si>
    <t>$29,649.42 </t>
  </si>
  <si>
    <t>Basic Variable Inv IO </t>
  </si>
  <si>
    <t>-$471,369.17 </t>
  </si>
  <si>
    <t>$7,473.30 </t>
  </si>
  <si>
    <t>$6,970.30 </t>
  </si>
  <si>
    <t>51001645 3 Year Fixed OO P&amp;I -$835,062.74 $22,176.12 $8,113.38 -$821,000.00</t>
  </si>
  <si>
    <r>
      <t xml:space="preserve">Statement period: </t>
    </r>
    <r>
      <rPr>
        <sz val="9"/>
        <color rgb="FF000000"/>
        <rFont val="Helvetica"/>
        <family val="2"/>
      </rPr>
      <t>22 JAN 2022 To 21 JUL 2022</t>
    </r>
  </si>
  <si>
    <t>E-57/S-433554/I-797619 EM. 57NNNNNN 9018614</t>
  </si>
  <si>
    <t>22 Jan OPENING BALANCE 4,595.27</t>
  </si>
  <si>
    <r>
      <t xml:space="preserve">1 Feb </t>
    </r>
    <r>
      <rPr>
        <sz val="8"/>
        <color rgb="FF000000"/>
        <rFont val="Helvetica"/>
        <family val="2"/>
      </rPr>
      <t xml:space="preserve">1 Feb </t>
    </r>
    <r>
      <rPr>
        <sz val="8"/>
        <color rgb="FFFFFFFF"/>
        <rFont val="Helvetica"/>
        <family val="2"/>
      </rPr>
      <t>Loan Repay TRANSFER TO 814282 50503609 Hofman Brett REF:</t>
    </r>
  </si>
  <si>
    <t>IO_Monthly IO_Monthly 1,245.55 3,349.72</t>
  </si>
  <si>
    <r>
      <t xml:space="preserve">5 Feb </t>
    </r>
    <r>
      <rPr>
        <sz val="8"/>
        <color rgb="FF000000"/>
        <rFont val="Helvetica"/>
        <family val="2"/>
      </rPr>
      <t xml:space="preserve">5 Feb </t>
    </r>
    <r>
      <rPr>
        <sz val="8"/>
        <color rgb="FFFFFFFF"/>
        <rFont val="Helvetica"/>
        <family val="2"/>
      </rPr>
      <t>Loan Repay TRANSFER TO 814282 51001645 Hofman Brett REF:</t>
    </r>
  </si>
  <si>
    <t>OO_Monthly OO_Monthly 3,338.84 10.88</t>
  </si>
  <si>
    <t>15 Feb ePayment From:Brett Hofman REF: 4,585.00 4,595.88</t>
  </si>
  <si>
    <r>
      <t xml:space="preserve">1 Mar </t>
    </r>
    <r>
      <rPr>
        <sz val="8"/>
        <color rgb="FF000000"/>
        <rFont val="Helvetica"/>
        <family val="2"/>
      </rPr>
      <t>1 Mar Loan Repay TRANSFER TO 814282 50503609 Hofman Brett REF:</t>
    </r>
  </si>
  <si>
    <t>IO_Monthly IO_Monthly 1,245.55 3,350.33</t>
  </si>
  <si>
    <r>
      <t xml:space="preserve">5 Mar </t>
    </r>
    <r>
      <rPr>
        <sz val="8"/>
        <color rgb="FF000000"/>
        <rFont val="Helvetica"/>
        <family val="2"/>
      </rPr>
      <t xml:space="preserve">5 Mar </t>
    </r>
    <r>
      <rPr>
        <sz val="8"/>
        <color rgb="FFFFFFFF"/>
        <rFont val="Helvetica"/>
        <family val="2"/>
      </rPr>
      <t>Loan Repay TRANSFER TO 814282 51001645 Hofman Brett REF:</t>
    </r>
  </si>
  <si>
    <t>OO_Monthly OO_Monthly 3,338.84 11.49</t>
  </si>
  <si>
    <t>16 Mar ePayment From:Brett Hofman REF: 4,585.00 4,596.49</t>
  </si>
  <si>
    <r>
      <t xml:space="preserve">1 Apr </t>
    </r>
    <r>
      <rPr>
        <sz val="8"/>
        <color rgb="FF000000"/>
        <rFont val="Helvetica"/>
        <family val="2"/>
      </rPr>
      <t xml:space="preserve">1 Apr </t>
    </r>
    <r>
      <rPr>
        <sz val="8"/>
        <color rgb="FFFFFFFF"/>
        <rFont val="Helvetica"/>
        <family val="2"/>
      </rPr>
      <t>Loan Repay TRANSFER TO 814282 50503609 Hofman Brett REF:</t>
    </r>
  </si>
  <si>
    <t>IO_Monthly IO_Monthly 1,245.55 3,350.94</t>
  </si>
  <si>
    <r>
      <t xml:space="preserve">5 Apr </t>
    </r>
    <r>
      <rPr>
        <sz val="8"/>
        <color rgb="FF000000"/>
        <rFont val="Helvetica"/>
        <family val="2"/>
      </rPr>
      <t>5 Apr Loan Repay TRANSFER TO 814282 51001645 Hofman Brett REF:</t>
    </r>
  </si>
  <si>
    <t>OO_Monthly OO_Monthly 3,338.84 12.10</t>
  </si>
  <si>
    <t>6 Apr ePayment From:Brett Hofman REF: Mortgage 4,585.00 4,597.10</t>
  </si>
  <si>
    <r>
      <t xml:space="preserve">1 May </t>
    </r>
    <r>
      <rPr>
        <sz val="8"/>
        <color rgb="FF000000"/>
        <rFont val="Helvetica"/>
        <family val="2"/>
      </rPr>
      <t xml:space="preserve">1 May </t>
    </r>
    <r>
      <rPr>
        <sz val="8"/>
        <color rgb="FFFFFFFF"/>
        <rFont val="Helvetica"/>
        <family val="2"/>
      </rPr>
      <t>Loan Repay TRANSFER TO 814282 50503609 Hofman Brett REF:</t>
    </r>
  </si>
  <si>
    <t>IO_Monthly IO_Monthly 1,245.55 3,351.55</t>
  </si>
  <si>
    <r>
      <t xml:space="preserve">5 May </t>
    </r>
    <r>
      <rPr>
        <sz val="8"/>
        <color rgb="FF000000"/>
        <rFont val="Helvetica"/>
        <family val="2"/>
      </rPr>
      <t>5 May Loan Repay TRANSFER TO 814282 51001645 Hofman Brett REF:</t>
    </r>
  </si>
  <si>
    <t>OO_Monthly OO_Monthly 3,338.84 12.71</t>
  </si>
  <si>
    <t>8 May Fast Pymt In 1,000.00 1,012.71</t>
  </si>
  <si>
    <t>12 May ePayment From:Brett Hofman REF: 3,600.00 4,612.71</t>
  </si>
  <si>
    <t>1 Jun Loan Repay TRANSFER TO 814282 50503609 Hofman Brett REF:</t>
  </si>
  <si>
    <t>IO_Monthly IO_Monthly 1,245.55 3,367.16</t>
  </si>
  <si>
    <t>5 Jun Loan Repay TRANSFER TO 814282 51001645 Hofman Brett REF:</t>
  </si>
  <si>
    <t>OO_Monthly OO_Monthly 3,338.84 28.32</t>
  </si>
  <si>
    <t>15 Jun ePayment From:Brett Hofman REF: 4,800.00 4,828.32</t>
  </si>
  <si>
    <t>1 Jul Loan Repay TRANSFER TO 814282 50503609 Hofman Brett REF:</t>
  </si>
  <si>
    <t>IO_Monthly IO_Monthly 1,245.55 3,582.77</t>
  </si>
  <si>
    <t>5 Jul Loan Repay TRANSFER TO 814282 51001645 Hofman Brett REF:</t>
  </si>
  <si>
    <t>OO_Monthly OO_Monthly 3,338.84 243.93</t>
  </si>
  <si>
    <r>
      <t xml:space="preserve">6 Jul Fast Pymt In </t>
    </r>
    <r>
      <rPr>
        <sz val="8"/>
        <color rgb="FFFFFFFF"/>
        <rFont val="Helvetica"/>
        <family val="2"/>
      </rPr>
      <t xml:space="preserve">6 Jul Fast Pymt In </t>
    </r>
    <r>
      <rPr>
        <sz val="8"/>
        <color rgb="FF000000"/>
        <rFont val="Helvetica"/>
        <family val="2"/>
      </rPr>
      <t>1,000.00 1,243.93</t>
    </r>
  </si>
  <si>
    <t>1,000.00 1,243.93</t>
  </si>
  <si>
    <t>6 Jul T TXN INITIATED BY-9018614 TRANSFER TO 814282 51001645 Hofman</t>
  </si>
  <si>
    <t>Brett 1,143.08 100.85</t>
  </si>
  <si>
    <r>
      <t xml:space="preserve">8 Jul Fast Pymt In </t>
    </r>
    <r>
      <rPr>
        <sz val="8"/>
        <color rgb="FFFFFFFF"/>
        <rFont val="Helvetica"/>
        <family val="2"/>
      </rPr>
      <t xml:space="preserve">8 Jul Fast Pymt In </t>
    </r>
    <r>
      <rPr>
        <sz val="8"/>
        <color rgb="FF000000"/>
        <rFont val="Helvetica"/>
        <family val="2"/>
      </rPr>
      <t>1,000.00 1,100.85</t>
    </r>
  </si>
  <si>
    <t>1,000.00 1,100.85</t>
  </si>
  <si>
    <t>8 Jul Tr TXN INITIATED BY-9018614 TRANSFER TO 814282 51001645 Hofman</t>
  </si>
  <si>
    <t>Brett 1,000.00 100.85</t>
  </si>
  <si>
    <t>15 Jul ePayment From:Brett Hofman REF: 4,600.00 4,700.85</t>
  </si>
  <si>
    <t>21 Jul CLOSING BALANCE 4,700.85</t>
  </si>
  <si>
    <t>Interest Paid $0.00 $0.00 $0.03</t>
  </si>
  <si>
    <t>5 Jul CR RT CHG 0.05% - 0.10%</t>
  </si>
  <si>
    <t>E-57/S-433554/I-797620</t>
  </si>
  <si>
    <r>
      <t xml:space="preserve">Account: </t>
    </r>
    <r>
      <rPr>
        <sz val="9"/>
        <color rgb="FF000000"/>
        <rFont val="Helvetica"/>
        <family val="2"/>
      </rPr>
      <t xml:space="preserve">50503609 Brett William Hofman, Laura Nicole Hofman </t>
    </r>
    <r>
      <rPr>
        <sz val="8"/>
        <color rgb="FF000000"/>
        <rFont val="Helvetica"/>
        <family val="2"/>
      </rPr>
      <t>CURRENT INTEREST RATE 4.14% P.A.</t>
    </r>
  </si>
  <si>
    <t>22 Jan OPENING BALANCE 471,369.17</t>
  </si>
  <si>
    <t>31 Jan Interest Charged 1,156.99 472,526.16</t>
  </si>
  <si>
    <t>1 Feb Loan Repay REF: IO_Monthly IO_Monthly From: Hofman Brett 1,245.55 471,280.61</t>
  </si>
  <si>
    <t>28 Feb Interest Charged 1,044.82 472,325.43</t>
  </si>
  <si>
    <t>1 Mar Loan Repay REF: IO_Monthly IO_Monthly From: Hofman Brett 1,245.55 471,079.88</t>
  </si>
  <si>
    <t>31 Mar Interest Charged 1,156.28 472,236.16</t>
  </si>
  <si>
    <t>1 Apr Loan Repay REF: IO_Monthly IO_Monthly From: Hofman Brett 1,245.55 470,990.61</t>
  </si>
  <si>
    <t>30 Apr Interest Charged 1,118.76 472,109.37</t>
  </si>
  <si>
    <t>1 May Loan Repay REF: IO_Monthly IO_Monthly From: Hofman Brett 1,245.55 470,863.82</t>
  </si>
  <si>
    <t>12 May RATE CHANGED FM 2.89 % TO 3.14 %</t>
  </si>
  <si>
    <t>31 May Interest Charged 1,220.25 472,084.07</t>
  </si>
  <si>
    <t>1 Jun Loan Repay REF: IO_Monthly IO_Monthly From: Hofman Brett 1,245.55 470,838.52</t>
  </si>
  <si>
    <t>22 Jun RATE CHANGED FM 3.14 % TO 3.64 %</t>
  </si>
  <si>
    <t>30 Jun Interest Charged 1,273.20 472,111.72</t>
  </si>
  <si>
    <t>1 Jul Loan Repay REF: IO_Monthly IO_Monthly From: Hofman Brett 1,245.55 470,866.17</t>
  </si>
  <si>
    <r>
      <t xml:space="preserve">14 Jul </t>
    </r>
    <r>
      <rPr>
        <sz val="8"/>
        <color rgb="FF000000"/>
        <rFont val="Helvetica"/>
        <family val="2"/>
      </rPr>
      <t xml:space="preserve">14 Jul </t>
    </r>
    <r>
      <rPr>
        <sz val="8"/>
        <color rgb="FFFFFFFF"/>
        <rFont val="Helvetica"/>
        <family val="2"/>
      </rPr>
      <t>RATE CHANGED FM 3.64 % TO 4.14 %</t>
    </r>
  </si>
  <si>
    <t>RATE CHANGED FM 3.64 % TO 4.14 %</t>
  </si>
  <si>
    <t>21 Jul CLOSING BALANCE 470,866.17</t>
  </si>
  <si>
    <t>Interest Charged -$6,970.30 $0.00 -$14,366.25</t>
  </si>
  <si>
    <t>E-57/S-433555/I-797621</t>
  </si>
  <si>
    <t>22 Jan OPENING BALANCE 835,062.74</t>
  </si>
  <si>
    <t>31 Jan Interest Charged 1,397.91 836,460.65</t>
  </si>
  <si>
    <t>5 Feb Loan Repay REF: OO_Monthly OO_Monthly From: Hofman Brett 3,338.84 833,121.81</t>
  </si>
  <si>
    <t>28 Feb Interest Charged 1,259.76 834,381.57</t>
  </si>
  <si>
    <t>5 Mar Loan Repay REF: OO_Monthly OO_Monthly From: Hofman Brett 3,338.84 831,042.73</t>
  </si>
  <si>
    <t>31 Mar Interest Charged 1,391.18 832,433.91</t>
  </si>
  <si>
    <t>5 Apr Loan Repay REF: OO_Monthly OO_Monthly From: Hofman Brett 3,338.84 829,095.07</t>
  </si>
  <si>
    <t>30 Apr Interest Charged 1,343.17 830,438.24</t>
  </si>
  <si>
    <t>5 May Loan Repay REF: OO_Monthly OO_Monthly From: Hofman Brett 3,338.84 827,099.40</t>
  </si>
  <si>
    <t>31 May Interest Charged 1,384.58 828,483.98</t>
  </si>
  <si>
    <t>5 Jun Loan Repay REF: OO_Monthly OO_Monthly From: Hofman Brett 3,338.84 825,145.14</t>
  </si>
  <si>
    <t>30 Jun Interest Charged 1,336.78 826,481.92</t>
  </si>
  <si>
    <t>5 Jul Loan Repay REF: OO_Monthly OO_Monthly From: Hofman Brett 3,338.84 823,143.08</t>
  </si>
  <si>
    <r>
      <t xml:space="preserve">6 Jul REF: T </t>
    </r>
    <r>
      <rPr>
        <sz val="8"/>
        <color rgb="FF000000"/>
        <rFont val="Helvetica"/>
        <family val="2"/>
      </rPr>
      <t xml:space="preserve">6 Jul REF: T </t>
    </r>
    <r>
      <rPr>
        <sz val="8"/>
        <color rgb="FFFFFFFF"/>
        <rFont val="Helvetica"/>
        <family val="2"/>
      </rPr>
      <t>1,143.08 822,000.00</t>
    </r>
  </si>
  <si>
    <t>1,143.08 822,000.00</t>
  </si>
  <si>
    <t>8 Jul REF: Tr 1,000.00 821,000.00</t>
  </si>
  <si>
    <t>21 Jul CLOSING BALANCE 821,000.00</t>
  </si>
  <si>
    <t>Interest Charged -$8,113.38 $0.00 -$18,230.84</t>
  </si>
  <si>
    <t>E-57/S-433555/I-797622</t>
  </si>
  <si>
    <t>Issue date: 21/01/2023</t>
  </si>
  <si>
    <t>$4,700.85 </t>
  </si>
  <si>
    <t>$45,254.70 </t>
  </si>
  <si>
    <t>$42,329.79 </t>
  </si>
  <si>
    <t>$9,913.65 </t>
  </si>
  <si>
    <t>$806.75 </t>
  </si>
  <si>
    <t>-$470,866.17 </t>
  </si>
  <si>
    <t>$11,120.63 </t>
  </si>
  <si>
    <t>$11,810.24 </t>
  </si>
  <si>
    <t>51001645 3 Year Fixed OO P&amp;I -$821,000.00 $21,309.16 $8,101.91 -$807,792.75</t>
  </si>
  <si>
    <r>
      <t>Statement period:</t>
    </r>
    <r>
      <rPr>
        <sz val="9"/>
        <color rgb="FF000000"/>
        <rFont val="Helvetica"/>
        <family val="2"/>
      </rPr>
      <t xml:space="preserve"> 22 JUL 2022 To 21 JAN 2023</t>
    </r>
  </si>
  <si>
    <t>E-3774/S-110760/I-204657 EM. 3774NNNNNN 9018614</t>
  </si>
  <si>
    <t>22 Jul OPENING BALANCE 4,700.85</t>
  </si>
  <si>
    <r>
      <t xml:space="preserve">1 Aug </t>
    </r>
    <r>
      <rPr>
        <sz val="8"/>
        <color rgb="FF000000"/>
        <rFont val="Helvetica"/>
        <family val="2"/>
      </rPr>
      <t xml:space="preserve">1 Aug </t>
    </r>
    <r>
      <rPr>
        <sz val="8"/>
        <color rgb="FFFFFFFF"/>
        <rFont val="Helvetica"/>
        <family val="2"/>
      </rPr>
      <t>Loan Repay TRANSFER TO 814282 50503609 Hofman Brett REF:</t>
    </r>
  </si>
  <si>
    <t>IO</t>
  </si>
  <si>
    <t>_</t>
  </si>
  <si>
    <t>Monthly IO</t>
  </si>
  <si>
    <t>Monthly 1,245.55 3,455.30</t>
  </si>
  <si>
    <r>
      <t xml:space="preserve">5 Aug </t>
    </r>
    <r>
      <rPr>
        <sz val="8"/>
        <color rgb="FFFFFFFF"/>
        <rFont val="Helvetica"/>
        <family val="2"/>
      </rPr>
      <t>5 Aug Loan Repay TRANSFER TO 814282 51001645 Hofman Brett REF:</t>
    </r>
  </si>
  <si>
    <t>OO</t>
  </si>
  <si>
    <t>Monthly OO</t>
  </si>
  <si>
    <t>Monthly 3,338.84 116.46</t>
  </si>
  <si>
    <t>16 Aug ePayment From:Brett Hofman REF: 5,000.00 5,116.46</t>
  </si>
  <si>
    <r>
      <t xml:space="preserve">1 Sep </t>
    </r>
    <r>
      <rPr>
        <sz val="8"/>
        <color rgb="FF000000"/>
        <rFont val="Helvetica"/>
        <family val="2"/>
      </rPr>
      <t>1 Sep Loan Repay TRANSFER TO 814282 50503609 Hofman Brett REF:</t>
    </r>
  </si>
  <si>
    <t>Monthly 1,245.55 3,870.91</t>
  </si>
  <si>
    <r>
      <t xml:space="preserve">2 Sep Arrear Chase TRANSFER TO 814282 50503609 Hofman Brett 183.42 </t>
    </r>
    <r>
      <rPr>
        <sz val="8"/>
        <color rgb="FFFFFFFF"/>
        <rFont val="Helvetica"/>
        <family val="2"/>
      </rPr>
      <t xml:space="preserve">2 Sep Arrear Chase TRANSFER TO 814282 50503609 Hofman Brett 183.42 </t>
    </r>
    <r>
      <rPr>
        <sz val="8"/>
        <color rgb="FF000000"/>
        <rFont val="Helvetica"/>
        <family val="2"/>
      </rPr>
      <t xml:space="preserve">2 Sep Fast Pymt In </t>
    </r>
    <r>
      <rPr>
        <sz val="8"/>
        <color rgb="FFFFFFFF"/>
        <rFont val="Helvetica"/>
        <family val="2"/>
      </rPr>
      <t>3,687.49</t>
    </r>
  </si>
  <si>
    <t>10,000.00 13,687.49</t>
  </si>
  <si>
    <r>
      <t xml:space="preserve">2 Sep </t>
    </r>
    <r>
      <rPr>
        <sz val="8"/>
        <color rgb="FF000000"/>
        <rFont val="Helvetica"/>
        <family val="2"/>
      </rPr>
      <t xml:space="preserve">2 Sep </t>
    </r>
    <r>
      <rPr>
        <sz val="8"/>
        <color rgb="FFFFFFFF"/>
        <rFont val="Helvetica"/>
        <family val="2"/>
      </rPr>
      <t>Len TXN INITIATED BY-9018614 TRANSFER TO 814282 50456034</t>
    </r>
  </si>
  <si>
    <t>Len TXN INITIATED BY-9018614 TRANSFER TO 814282 50456034</t>
  </si>
  <si>
    <t>Hofman Brett 9,900.00 3,787.49</t>
  </si>
  <si>
    <t>5 Sep Loan Repay TRANSFER TO 814282 51001645 Hofman Brett REF:</t>
  </si>
  <si>
    <t>Monthly 3,338.84 448.65</t>
  </si>
  <si>
    <r>
      <t xml:space="preserve">12 Sep Fast Pymt In </t>
    </r>
    <r>
      <rPr>
        <sz val="8"/>
        <color rgb="FFFFFFFF"/>
        <rFont val="Helvetica"/>
        <family val="2"/>
      </rPr>
      <t xml:space="preserve">12 Sep Fast Pymt In </t>
    </r>
    <r>
      <rPr>
        <sz val="8"/>
        <color rgb="FF000000"/>
        <rFont val="Helvetica"/>
        <family val="2"/>
      </rPr>
      <t>1,000.00 1,448.65</t>
    </r>
  </si>
  <si>
    <t>1,000.00 1,448.65</t>
  </si>
  <si>
    <t>12 Sep TXN INITIATED BY-9018614 TRANSFER TO 814282 51001645 Hofman</t>
  </si>
  <si>
    <t>Brett 1,000.00 448.65</t>
  </si>
  <si>
    <t>14 Sep ePayment From:Brett Hofman REF: 5,000.00 5,448.65</t>
  </si>
  <si>
    <t>1 Oct Loan Repay TRANSFER TO 814282 50503609 Hofman Brett REF:</t>
  </si>
  <si>
    <t>Monthly 1,824.00 3,624.65</t>
  </si>
  <si>
    <r>
      <t xml:space="preserve">2 Oct Arrear Chase TRANSFER TO 814282 50503609 Hofman Brett 45.45 3 Oct Fast Pymt In </t>
    </r>
    <r>
      <rPr>
        <sz val="8"/>
        <color rgb="FFFFFFFF"/>
        <rFont val="Helvetica"/>
        <family val="2"/>
      </rPr>
      <t xml:space="preserve">3 Oct Fast Pymt In </t>
    </r>
    <r>
      <rPr>
        <sz val="8"/>
        <color rgb="FF000000"/>
        <rFont val="Helvetica"/>
        <family val="2"/>
      </rPr>
      <t>3,579.20</t>
    </r>
  </si>
  <si>
    <t>100.00 3,679.20</t>
  </si>
  <si>
    <t>3 Oct TXN INITIATED BY-9018614 TRANSFER TO 814282 51001645 Hofman</t>
  </si>
  <si>
    <t>Brett 276.12 3,403.08</t>
  </si>
  <si>
    <r>
      <t xml:space="preserve">5 Oct </t>
    </r>
    <r>
      <rPr>
        <sz val="8"/>
        <color rgb="FF000000"/>
        <rFont val="Helvetica"/>
        <family val="2"/>
      </rPr>
      <t>5 Oct Loan Repay TRANSFER TO 814282 51001645 Hofman Brett REF:</t>
    </r>
  </si>
  <si>
    <t>Monthly 3,338.84 64.24</t>
  </si>
  <si>
    <t>21 Oct ePayment From:Brett Hofman REF: 3,338.84 3,403.08</t>
  </si>
  <si>
    <t>24 Oct ePayment From:Brett Hofman REF: 2,100.00 5,503.08</t>
  </si>
  <si>
    <t>1 Nov Loan Repay TRANSFER TO 814282 50503609 Hofman Brett REF:</t>
  </si>
  <si>
    <t>Monthly 1,950.00 3,553.08</t>
  </si>
  <si>
    <r>
      <t xml:space="preserve">1 Nov Fast Pymt In </t>
    </r>
    <r>
      <rPr>
        <sz val="8"/>
        <color rgb="FFFFFFFF"/>
        <rFont val="Helvetica"/>
        <family val="2"/>
      </rPr>
      <t xml:space="preserve">1 Nov Fast Pymt In </t>
    </r>
    <r>
      <rPr>
        <sz val="8"/>
        <color rgb="FF000000"/>
        <rFont val="Helvetica"/>
        <family val="2"/>
      </rPr>
      <t>153.79 3,706.87</t>
    </r>
  </si>
  <si>
    <t>153.79 3,706.87</t>
  </si>
  <si>
    <t>1 Nov TXN INITIATED BY-9018614 TRANSFER TO 814282 50503609 Hofman</t>
  </si>
  <si>
    <t>Brett 153.79 3,553.08</t>
  </si>
  <si>
    <t>5 Nov Loan Repay TRANSFER TO 814282 51001645 Hofman Brett REF:</t>
  </si>
  <si>
    <t>Monthly 3,338.84 214.24</t>
  </si>
  <si>
    <r>
      <t xml:space="preserve">10 Nov Fast Pymt In </t>
    </r>
    <r>
      <rPr>
        <sz val="8"/>
        <color rgb="FFFFFFFF"/>
        <rFont val="Helvetica"/>
        <family val="2"/>
      </rPr>
      <t xml:space="preserve">10 Nov Fast Pymt In </t>
    </r>
    <r>
      <rPr>
        <sz val="8"/>
        <color rgb="FF000000"/>
        <rFont val="Helvetica"/>
        <family val="2"/>
      </rPr>
      <t>6,000.00 6,214.24</t>
    </r>
  </si>
  <si>
    <t>6,000.00 6,214.24</t>
  </si>
  <si>
    <t>15 Nov From: Hofman Brett REF: Virgin Syd - Per Fli 806.75 7,020.99</t>
  </si>
  <si>
    <r>
      <t xml:space="preserve">1 Dec </t>
    </r>
    <r>
      <rPr>
        <sz val="8"/>
        <color rgb="FFFFFFFF"/>
        <rFont val="Helvetica"/>
        <family val="2"/>
      </rPr>
      <t xml:space="preserve">1 Dec </t>
    </r>
    <r>
      <rPr>
        <sz val="8"/>
        <color rgb="FF000000"/>
        <rFont val="Helvetica"/>
        <family val="2"/>
      </rPr>
      <t>Loan Repay TRANSFER TO 814282 50503609 Hofman Brett REF:</t>
    </r>
  </si>
  <si>
    <t>Monthly 1,950.00 5,070.99</t>
  </si>
  <si>
    <r>
      <t xml:space="preserve">2 Dec </t>
    </r>
    <r>
      <rPr>
        <sz val="8"/>
        <color rgb="FF000000"/>
        <rFont val="Helvetica"/>
        <family val="2"/>
      </rPr>
      <t>2 Dec TXN INITIATED BY-9018614 TRANSFER TO 814282 50503609 Hofman</t>
    </r>
  </si>
  <si>
    <t>Brett 210.11 4,860.88</t>
  </si>
  <si>
    <t>2 Dec Arrear Chase TRANSFER TO 814282 50503609 Hofman Brett 210.11 4,650.77</t>
  </si>
  <si>
    <r>
      <t xml:space="preserve">5 Dec </t>
    </r>
    <r>
      <rPr>
        <sz val="8"/>
        <color rgb="FF000000"/>
        <rFont val="Helvetica"/>
        <family val="2"/>
      </rPr>
      <t xml:space="preserve">5 Dec </t>
    </r>
    <r>
      <rPr>
        <sz val="8"/>
        <color rgb="FFFFFFFF"/>
        <rFont val="Helvetica"/>
        <family val="2"/>
      </rPr>
      <t>Loan Repay TRANSFER TO 814282 51001645 Hofman Brett REF:</t>
    </r>
  </si>
  <si>
    <t>Monthly 3,338.84 1,311.93</t>
  </si>
  <si>
    <t>15 Dec ePayment From:Brett Hofman REF: 4,500.00 5,811.93</t>
  </si>
  <si>
    <r>
      <t xml:space="preserve">1 Jan </t>
    </r>
    <r>
      <rPr>
        <sz val="8"/>
        <color rgb="FF000000"/>
        <rFont val="Helvetica"/>
        <family val="2"/>
      </rPr>
      <t xml:space="preserve">1 Jan </t>
    </r>
    <r>
      <rPr>
        <sz val="8"/>
        <color rgb="FFFFFFFF"/>
        <rFont val="Helvetica"/>
        <family val="2"/>
      </rPr>
      <t>Loan Repay TRANSFER TO 814282 50503609 Hofman Brett REF:</t>
    </r>
  </si>
  <si>
    <t>Monthly 1,950.00 3,861.93</t>
  </si>
  <si>
    <r>
      <t xml:space="preserve">1 Jan </t>
    </r>
    <r>
      <rPr>
        <sz val="8"/>
        <color rgb="FF000000"/>
        <rFont val="Helvetica"/>
        <family val="2"/>
      </rPr>
      <t>1 Jan Jan top up TXN INITIATED BY-9018614 TRANSFER TO 814282 50503609</t>
    </r>
  </si>
  <si>
    <t>Jan top up TXN INITIATED BY-9018614 TRANSFER TO 814282 50503609</t>
  </si>
  <si>
    <r>
      <t xml:space="preserve">5 Jan </t>
    </r>
    <r>
      <rPr>
        <sz val="8"/>
        <color rgb="FFFFFFFF"/>
        <rFont val="Helvetica"/>
        <family val="2"/>
      </rPr>
      <t>Hofman Brett 152.65 3,709.28</t>
    </r>
  </si>
  <si>
    <t>Hofman Brett 152.65 3,709.28</t>
  </si>
  <si>
    <t>Monthly 3,338.84 370.44</t>
  </si>
  <si>
    <t>16 Jan ePayment From:Brett Hofman REF: 5,700.00 6,070.44</t>
  </si>
  <si>
    <t>19 Jan Fast Pymt In 1,555.32 7,625.76</t>
  </si>
  <si>
    <t>21 Jan CLOSING BALANCE 7,625.76</t>
  </si>
  <si>
    <t>E-3774/S-110760/I-204658</t>
  </si>
  <si>
    <t>12 Aug CR RT CHG 0.10% - 0.15%</t>
  </si>
  <si>
    <r>
      <t xml:space="preserve">2 Sep From: Hofman Brett REF: Len 30 Sep Bonus Interest </t>
    </r>
    <r>
      <rPr>
        <sz val="8"/>
        <color rgb="FFFFFFFF"/>
        <rFont val="Helvetica"/>
        <family val="2"/>
      </rPr>
      <t xml:space="preserve">30 Sep Bonus Interest </t>
    </r>
    <r>
      <rPr>
        <sz val="8"/>
        <color rgb="FF000000"/>
        <rFont val="Helvetica"/>
        <family val="2"/>
      </rPr>
      <t>30 Sep Interest Paid 20 Oct CR RT CHG 0.15% - 0.20%</t>
    </r>
  </si>
  <si>
    <t>20 Oct CR RT CHG 0.15% - 0.20%</t>
  </si>
  <si>
    <r>
      <t xml:space="preserve">31 Oct Interest Paid 15 Nov </t>
    </r>
    <r>
      <rPr>
        <sz val="8"/>
        <color rgb="FFFFFFFF"/>
        <rFont val="Helvetica"/>
        <family val="2"/>
      </rPr>
      <t>15 Nov Virgin Syd - Per Fli TXN INITIATED BY-9018614 TRANSFER TO 814282</t>
    </r>
  </si>
  <si>
    <t>Virgin Syd - Per Fli TXN INITIATED BY-9018614 TRANSFER TO 814282</t>
  </si>
  <si>
    <t>9,900.00 9,900.00</t>
  </si>
  <si>
    <t>6.67 9,906.67</t>
  </si>
  <si>
    <t>1.18 9,907.85</t>
  </si>
  <si>
    <t>1.43 9,909.28</t>
  </si>
  <si>
    <t>50455259 Hofman Brett 806.75 9,102.53</t>
  </si>
  <si>
    <t>17 Nov CR RT CHG 0.20% - 0.25%</t>
  </si>
  <si>
    <r>
      <t xml:space="preserve">30 Nov Interest Paid </t>
    </r>
    <r>
      <rPr>
        <sz val="8"/>
        <color rgb="FFFFFFFF"/>
        <rFont val="Helvetica"/>
        <family val="2"/>
      </rPr>
      <t>30 Nov Interest Paid 1.73 9,104.26</t>
    </r>
  </si>
  <si>
    <t>1.73 9,104.26</t>
  </si>
  <si>
    <t>13 Dec CR RT CHG 0.25% - 0.40%</t>
  </si>
  <si>
    <r>
      <t xml:space="preserve">31 Dec Interest Paid </t>
    </r>
    <r>
      <rPr>
        <sz val="8"/>
        <color rgb="FFFFFFFF"/>
        <rFont val="Helvetica"/>
        <family val="2"/>
      </rPr>
      <t>31 Dec Interest Paid 2.64 9,106.90</t>
    </r>
  </si>
  <si>
    <t>2.64 9,106.90</t>
  </si>
  <si>
    <t>21 Jan CLOSING BALANCE 9,106.90</t>
  </si>
  <si>
    <t>Interest Paid $13.65 $13.65 $0.00</t>
  </si>
  <si>
    <t>E-3774/S-110761/I-204659</t>
  </si>
  <si>
    <r>
      <t xml:space="preserve">Account: </t>
    </r>
    <r>
      <rPr>
        <sz val="9"/>
        <color rgb="FF000000"/>
        <rFont val="Helvetica"/>
        <family val="2"/>
      </rPr>
      <t xml:space="preserve">50503609 Brett William Hofman, Laura Nicole Hofman </t>
    </r>
    <r>
      <rPr>
        <sz val="8"/>
        <color rgb="FF000000"/>
        <rFont val="Helvetica"/>
        <family val="2"/>
      </rPr>
      <t>CURRENT INTEREST RATE 5.89% P.A.</t>
    </r>
  </si>
  <si>
    <t>22 Jul OPENING BALANCE 470,866.17</t>
  </si>
  <si>
    <t>31 Jul Interest Charged 1,571.79 472,437.96</t>
  </si>
  <si>
    <t>1 Aug Loan Repay REF: IO</t>
  </si>
  <si>
    <t>Monthly From: Hofman Brett 1,245.55 471,192.41</t>
  </si>
  <si>
    <r>
      <t xml:space="preserve">11 Aug </t>
    </r>
    <r>
      <rPr>
        <sz val="8"/>
        <color rgb="FF000000"/>
        <rFont val="Helvetica"/>
        <family val="2"/>
      </rPr>
      <t xml:space="preserve">11 Aug </t>
    </r>
    <r>
      <rPr>
        <sz val="8"/>
        <color rgb="FFFFFFFF"/>
        <rFont val="Helvetica"/>
        <family val="2"/>
      </rPr>
      <t>RATE CHANGED FM 4.14 % TO 4.64 %</t>
    </r>
  </si>
  <si>
    <t>RATE CHANGED FM 4.14 % TO 4.64 %</t>
  </si>
  <si>
    <t>31 Aug Interest Charged 1,792.34 472,984.75</t>
  </si>
  <si>
    <r>
      <t xml:space="preserve">1 Sep </t>
    </r>
    <r>
      <rPr>
        <sz val="8"/>
        <color rgb="FF000000"/>
        <rFont val="Helvetica"/>
        <family val="2"/>
      </rPr>
      <t xml:space="preserve">1 Sep </t>
    </r>
    <r>
      <rPr>
        <sz val="8"/>
        <color rgb="FFFFFFFF"/>
        <rFont val="Helvetica"/>
        <family val="2"/>
      </rPr>
      <t>Loan Repay REF: IO</t>
    </r>
  </si>
  <si>
    <t>Loan Repay REF: IO</t>
  </si>
  <si>
    <t>Monthly From: Hofman Brett 1,245.55 471,739.20</t>
  </si>
  <si>
    <t>2 Sep Arrear Chase 183.42 471,555.78</t>
  </si>
  <si>
    <r>
      <t xml:space="preserve">20 Sep </t>
    </r>
    <r>
      <rPr>
        <sz val="8"/>
        <color rgb="FF000000"/>
        <rFont val="Helvetica"/>
        <family val="2"/>
      </rPr>
      <t xml:space="preserve">20 Sep </t>
    </r>
    <r>
      <rPr>
        <sz val="8"/>
        <color rgb="FFFFFFFF"/>
        <rFont val="Helvetica"/>
        <family val="2"/>
      </rPr>
      <t>RATE CHANGED FM 4.64 % TO 5.14 %</t>
    </r>
  </si>
  <si>
    <t>RATE CHANGED FM 4.64 % TO 5.14 %</t>
  </si>
  <si>
    <t>30 Sep Interest Charged 1,869.45 473,425.23</t>
  </si>
  <si>
    <r>
      <t xml:space="preserve">1 Oct </t>
    </r>
    <r>
      <rPr>
        <sz val="8"/>
        <color rgb="FF000000"/>
        <rFont val="Helvetica"/>
        <family val="2"/>
      </rPr>
      <t xml:space="preserve">1 Oct </t>
    </r>
    <r>
      <rPr>
        <sz val="8"/>
        <color rgb="FFFFFFFF"/>
        <rFont val="Helvetica"/>
        <family val="2"/>
      </rPr>
      <t>Loan Repay REF: IO</t>
    </r>
  </si>
  <si>
    <t>Monthly From: Hofman Brett 1,824.00 471,601.23</t>
  </si>
  <si>
    <t>2 Oct Arrear Chase 45.45 471,555.78</t>
  </si>
  <si>
    <r>
      <t xml:space="preserve">18 Oct </t>
    </r>
    <r>
      <rPr>
        <sz val="8"/>
        <color rgb="FF000000"/>
        <rFont val="Helvetica"/>
        <family val="2"/>
      </rPr>
      <t xml:space="preserve">18 Oct </t>
    </r>
    <r>
      <rPr>
        <sz val="8"/>
        <color rgb="FFFFFFFF"/>
        <rFont val="Helvetica"/>
        <family val="2"/>
      </rPr>
      <t>RATE CHANGED FM 5.14 % TO 5.39 %</t>
    </r>
  </si>
  <si>
    <t>RATE CHANGED FM 5.14 % TO 5.39 %</t>
  </si>
  <si>
    <t>31 Oct Interest Charged 2,103.79 473,659.57</t>
  </si>
  <si>
    <r>
      <t xml:space="preserve">1 Nov </t>
    </r>
    <r>
      <rPr>
        <sz val="8"/>
        <color rgb="FF000000"/>
        <rFont val="Helvetica"/>
        <family val="2"/>
      </rPr>
      <t xml:space="preserve">1 Nov </t>
    </r>
    <r>
      <rPr>
        <sz val="8"/>
        <color rgb="FFFFFFFF"/>
        <rFont val="Helvetica"/>
        <family val="2"/>
      </rPr>
      <t>Loan Repay REF: IO</t>
    </r>
  </si>
  <si>
    <t>Monthly From: Hofman Brett 1,950.00 471,709.57</t>
  </si>
  <si>
    <t>1 Nov 153.79 471,555.78</t>
  </si>
  <si>
    <r>
      <t xml:space="preserve">9 Nov </t>
    </r>
    <r>
      <rPr>
        <sz val="8"/>
        <color rgb="FF000000"/>
        <rFont val="Helvetica"/>
        <family val="2"/>
      </rPr>
      <t xml:space="preserve">9 Nov </t>
    </r>
    <r>
      <rPr>
        <sz val="8"/>
        <color rgb="FFFFFFFF"/>
        <rFont val="Helvetica"/>
        <family val="2"/>
      </rPr>
      <t>RATE CHANGED FM 5.39 % TO 5.64 %</t>
    </r>
  </si>
  <si>
    <t>RATE CHANGED FM 5.39 % TO 5.64 %</t>
  </si>
  <si>
    <t>30 Nov Interest Charged 2,160.11 473,715.89</t>
  </si>
  <si>
    <r>
      <t xml:space="preserve">1 Dec </t>
    </r>
    <r>
      <rPr>
        <sz val="8"/>
        <color rgb="FF000000"/>
        <rFont val="Helvetica"/>
        <family val="2"/>
      </rPr>
      <t xml:space="preserve">1 Dec </t>
    </r>
    <r>
      <rPr>
        <sz val="8"/>
        <color rgb="FFFFFFFF"/>
        <rFont val="Helvetica"/>
        <family val="2"/>
      </rPr>
      <t>Loan Repay REF: IO</t>
    </r>
  </si>
  <si>
    <t>Monthly From: Hofman Brett 1,950.00 471,765.89</t>
  </si>
  <si>
    <t>2 Dec 210.11 471,555.78</t>
  </si>
  <si>
    <t>210.11 471,345.67</t>
  </si>
  <si>
    <r>
      <t xml:space="preserve">2 Dec Arrear Chase </t>
    </r>
    <r>
      <rPr>
        <sz val="8"/>
        <color rgb="FF000000"/>
        <rFont val="Helvetica"/>
        <family val="2"/>
      </rPr>
      <t>2 Dec Arrear Chase 15 Dec RATE CHANGED FM 5.64 % TO 5.89 %</t>
    </r>
  </si>
  <si>
    <t>31 Dec Interest Charged 2,312.76 473,658.43</t>
  </si>
  <si>
    <t>1 Jan Loan Repay REF: IO</t>
  </si>
  <si>
    <t>Monthly From: Hofman Brett 1,950.00 471,708.43</t>
  </si>
  <si>
    <r>
      <t xml:space="preserve">1 Jan REF: Jan top up </t>
    </r>
    <r>
      <rPr>
        <sz val="8"/>
        <color rgb="FF000000"/>
        <rFont val="Helvetica"/>
        <family val="2"/>
      </rPr>
      <t xml:space="preserve">1 Jan REF: Jan top up </t>
    </r>
    <r>
      <rPr>
        <sz val="8"/>
        <color rgb="FFFFFFFF"/>
        <rFont val="Helvetica"/>
        <family val="2"/>
      </rPr>
      <t>152.65 471,555.78</t>
    </r>
  </si>
  <si>
    <t>152.65 471,555.78</t>
  </si>
  <si>
    <t>Interest Charged-$11,810.24 -$11,810.24 -$14,366.25</t>
  </si>
  <si>
    <t>22 Jul OPENING BALANCE 821,000.00</t>
  </si>
  <si>
    <t>31 Jul Interest Charged 1,375.06 822,375.06</t>
  </si>
  <si>
    <t>5 Aug Loan Repay REF: OO</t>
  </si>
  <si>
    <t>Monthly From: Hofman Brett 3,338.84 819,036.22</t>
  </si>
  <si>
    <t>31 Aug Interest Charged 1,371.09 820,407.31</t>
  </si>
  <si>
    <t>5 Sep Loan Repay REF: OO</t>
  </si>
  <si>
    <t>Monthly From: Hofman Brett 3,338.84 817,068.47</t>
  </si>
  <si>
    <t>12 Sep 1,000.00 816,068.47</t>
  </si>
  <si>
    <t>30 Sep Interest Charged 1,322.67 817,391.14</t>
  </si>
  <si>
    <t>3 Oct 276.12 817,115.02</t>
  </si>
  <si>
    <t>5 Oct Loan Repay REF: OO</t>
  </si>
  <si>
    <t>Monthly From: Hofman Brett 3,338.84 813,776.18</t>
  </si>
  <si>
    <t>31 Oct Interest Charged 1,362.32 815,138.50</t>
  </si>
  <si>
    <t>5 Nov Loan Repay REF: OO</t>
  </si>
  <si>
    <t>Monthly From: Hofman Brett 3,338.84 811,799.66</t>
  </si>
  <si>
    <t>30 Nov Interest Charged 1,315.17 813,114.83</t>
  </si>
  <si>
    <t>5 Dec Loan Repay REF: OO</t>
  </si>
  <si>
    <t>Monthly From: Hofman Brett 3,338.84 809,775.99</t>
  </si>
  <si>
    <t>31 Dec Interest Charged 1,355.60 811,131.59</t>
  </si>
  <si>
    <t>5 Jan Loan Repay REF: OO</t>
  </si>
  <si>
    <t>Monthly From: Hofman Brett 3,338.84 807,792.75</t>
  </si>
  <si>
    <t>21 Jan CLOSING BALANCE 807,792.75</t>
  </si>
  <si>
    <t>Interest Charged-$8,101.91 -$8,101.92 -$18,230.84</t>
  </si>
  <si>
    <t>E-3774/S-110761/I-204660</t>
  </si>
  <si>
    <t>Issue date: 21/07/2023</t>
  </si>
  <si>
    <t>$7,625.76 </t>
  </si>
  <si>
    <t>$38,489.82 </t>
  </si>
  <si>
    <t>$39,392.63 </t>
  </si>
  <si>
    <t>$9,106.90 </t>
  </si>
  <si>
    <t>$21.36 </t>
  </si>
  <si>
    <t>$285.00 </t>
  </si>
  <si>
    <t>$14,774.59 </t>
  </si>
  <si>
    <t>51001645 3 Year Fixed OO P&amp;I -$807,792.75 $24,333.04 $7,831.49 -$791,291.20</t>
  </si>
  <si>
    <r>
      <t xml:space="preserve">Statement period: </t>
    </r>
    <r>
      <rPr>
        <sz val="9"/>
        <color rgb="FF000000"/>
        <rFont val="Helvetica"/>
        <family val="2"/>
      </rPr>
      <t>22 JAN 2023 To 21 JUL 2023</t>
    </r>
  </si>
  <si>
    <t>E-1843/S-137906/I-231878 EM. 1843NNNNNN 9018614</t>
  </si>
  <si>
    <t>22 Jan OPENING BALANCE 7,625.76</t>
  </si>
  <si>
    <t>IO_Monthly IO_Monthly 1,950.00 5,675.76</t>
  </si>
  <si>
    <r>
      <t xml:space="preserve">2 Feb Arrear Chase TRANSFER TO 814282 50503609 Hofman Brett 408.94 </t>
    </r>
    <r>
      <rPr>
        <sz val="8"/>
        <color rgb="FF000000"/>
        <rFont val="Helvetica"/>
        <family val="2"/>
      </rPr>
      <t xml:space="preserve">2 Feb Arrear Chase TRANSFER TO 814282 50503609 Hofman Brett 408.94 </t>
    </r>
    <r>
      <rPr>
        <sz val="8"/>
        <color rgb="FFFFFFFF"/>
        <rFont val="Helvetica"/>
        <family val="2"/>
      </rPr>
      <t>5,266.82</t>
    </r>
  </si>
  <si>
    <t>5 Feb Loan Repay TRANSFER TO 814282 51001645 Hofman Brett REF:</t>
  </si>
  <si>
    <t>OO_Monthly OO_Monthly 3,338.84 1,927.98</t>
  </si>
  <si>
    <t>17 Feb ePayment From:Brett Hofman REF: 2,000.00 3,927.98</t>
  </si>
  <si>
    <t>23 Feb Fast Pymt In 1,000.00 4,927.98</t>
  </si>
  <si>
    <r>
      <t xml:space="preserve">23 Feb Fast Pymt In </t>
    </r>
    <r>
      <rPr>
        <sz val="8"/>
        <color rgb="FF000000"/>
        <rFont val="Helvetica"/>
        <family val="2"/>
      </rPr>
      <t xml:space="preserve">23 Feb Fast Pymt In </t>
    </r>
    <r>
      <rPr>
        <sz val="8"/>
        <color rgb="FFFFFFFF"/>
        <rFont val="Helvetica"/>
        <family val="2"/>
      </rPr>
      <t>100.00 5,027.98</t>
    </r>
  </si>
  <si>
    <t>100.00 5,027.98</t>
  </si>
  <si>
    <t>24 Feb Fast Pymt In 998.27 6,026.25</t>
  </si>
  <si>
    <t>IO_Monthly IO_Monthly 1,950.00 4,076.25</t>
  </si>
  <si>
    <r>
      <t xml:space="preserve">1 Mar </t>
    </r>
    <r>
      <rPr>
        <sz val="8"/>
        <color rgb="FF000000"/>
        <rFont val="Helvetica"/>
        <family val="2"/>
      </rPr>
      <t>1 Mar TXN INITIATED BY-9018614 TRANSFER TO 814282 50503609 Hofman</t>
    </r>
  </si>
  <si>
    <t>5 Mar Brett 225.94 3,850.31</t>
  </si>
  <si>
    <t>Brett 225.94 3,850.31</t>
  </si>
  <si>
    <t>OO_Monthly OO_Monthly 3,338.84 511.47</t>
  </si>
  <si>
    <t>14 Mar ePayment From:Brett Hofman REF: 5,400.00 5,911.47</t>
  </si>
  <si>
    <t>1 Apr Loan Repay TRANSFER TO 814282 50503609 Hofman Brett REF:</t>
  </si>
  <si>
    <t>IO_Monthly IO_Monthly 1,950.00 3,961.47</t>
  </si>
  <si>
    <r>
      <t xml:space="preserve">2 Apr Arrear Chase TRANSFER TO 814282 50503609 Hofman Brett 563.97 5 Apr </t>
    </r>
    <r>
      <rPr>
        <sz val="8"/>
        <color rgb="FFFFFFFF"/>
        <rFont val="Helvetica"/>
        <family val="2"/>
      </rPr>
      <t xml:space="preserve">5 Apr </t>
    </r>
    <r>
      <rPr>
        <sz val="8"/>
        <color rgb="FF000000"/>
        <rFont val="Helvetica"/>
        <family val="2"/>
      </rPr>
      <t>Loan Repay TRANSFER TO 814282 51001645 Hofman Brett REF:</t>
    </r>
  </si>
  <si>
    <t>OO_Monthly OO_Monthly 3,338.84 58.66</t>
  </si>
  <si>
    <t>17 Apr ePayment From:Brett Hofman REF: 6,000.00 6,058.66</t>
  </si>
  <si>
    <r>
      <t xml:space="preserve">27 Apr Fast Pymt In </t>
    </r>
    <r>
      <rPr>
        <sz val="8"/>
        <color rgb="FFFFFFFF"/>
        <rFont val="Helvetica"/>
        <family val="2"/>
      </rPr>
      <t xml:space="preserve">27 Apr Fast Pymt In </t>
    </r>
    <r>
      <rPr>
        <sz val="8"/>
        <color rgb="FF000000"/>
        <rFont val="Helvetica"/>
        <family val="2"/>
      </rPr>
      <t>4,300.00 10,358.66</t>
    </r>
  </si>
  <si>
    <t>4,300.00 10,358.66</t>
  </si>
  <si>
    <r>
      <t xml:space="preserve">30 Apr 30 Apr Fast Pymt In </t>
    </r>
    <r>
      <rPr>
        <sz val="8"/>
        <color rgb="FFFFFFFF"/>
        <rFont val="Helvetica"/>
        <family val="2"/>
      </rPr>
      <t xml:space="preserve">30 Apr Fast Pymt In </t>
    </r>
    <r>
      <rPr>
        <sz val="8"/>
        <color rgb="FF000000"/>
        <rFont val="Helvetica"/>
        <family val="2"/>
      </rPr>
      <t>Kay Jude Paris Hotel TXN INITIATED BY-9018614 TRANSFER TO 814282</t>
    </r>
  </si>
  <si>
    <t>51001645 Hofman Brett 4,300.00 6,058.66</t>
  </si>
  <si>
    <t>1,000.00 7,058.66</t>
  </si>
  <si>
    <t>1 May Loan Repay TRANSFER TO 814282 50503609 Hofman Brett REF:</t>
  </si>
  <si>
    <t>IO_Monthly IO_Monthly 1,950.00 5,108.66</t>
  </si>
  <si>
    <t>1 May TXN INITIATED BY-9018614 TRANSFER TO 814282 50503609 Hofman</t>
  </si>
  <si>
    <t>Brett 526.74 4,581.92</t>
  </si>
  <si>
    <t>OO_Monthly OO_Monthly 3,338.84 1,243.08</t>
  </si>
  <si>
    <t>14 May Fast Pymt In 1,000.00 2,243.08</t>
  </si>
  <si>
    <r>
      <t xml:space="preserve">15 May Fast Pymt In </t>
    </r>
    <r>
      <rPr>
        <sz val="8"/>
        <color rgb="FF000000"/>
        <rFont val="Helvetica"/>
        <family val="2"/>
      </rPr>
      <t xml:space="preserve">15 May Fast Pymt In </t>
    </r>
    <r>
      <rPr>
        <sz val="8"/>
        <color rgb="FFFFFFFF"/>
        <rFont val="Helvetica"/>
        <family val="2"/>
      </rPr>
      <t>1,000.00 3,243.08</t>
    </r>
  </si>
  <si>
    <t>1,000.00 3,243.08</t>
  </si>
  <si>
    <t>16 May ePayment From:Brett Hofman REF: 4,000.00 7,243.08</t>
  </si>
  <si>
    <r>
      <t xml:space="preserve">27 May From: Hofman Brett REF: RAC Roadside 2023 </t>
    </r>
    <r>
      <rPr>
        <sz val="8"/>
        <color rgb="FF000000"/>
        <rFont val="Helvetica"/>
        <family val="2"/>
      </rPr>
      <t xml:space="preserve">27 May From: Hofman Brett REF: RAC Roadside 2023 </t>
    </r>
    <r>
      <rPr>
        <sz val="8"/>
        <color rgb="FFFFFFFF"/>
        <rFont val="Helvetica"/>
        <family val="2"/>
      </rPr>
      <t>285.00 7,528.08</t>
    </r>
  </si>
  <si>
    <t>285.00 7,528.08</t>
  </si>
  <si>
    <t>27 May BPAY BPAY RAC REF: 20230527165328749 285.00 7,243.08</t>
  </si>
  <si>
    <r>
      <t xml:space="preserve">1 Jun </t>
    </r>
    <r>
      <rPr>
        <sz val="8"/>
        <color rgb="FF000000"/>
        <rFont val="Helvetica"/>
        <family val="2"/>
      </rPr>
      <t xml:space="preserve">1 Jun </t>
    </r>
    <r>
      <rPr>
        <sz val="8"/>
        <color rgb="FFFFFFFF"/>
        <rFont val="Helvetica"/>
        <family val="2"/>
      </rPr>
      <t>Loan Repay TRANSFER TO 814282 50503609 Hofman Brett REF:</t>
    </r>
  </si>
  <si>
    <t>IO_Monthly IO_Monthly 1,950.00 5,293.08</t>
  </si>
  <si>
    <r>
      <t xml:space="preserve">1 Jun </t>
    </r>
    <r>
      <rPr>
        <sz val="8"/>
        <color rgb="FF000000"/>
        <rFont val="Helvetica"/>
        <family val="2"/>
      </rPr>
      <t xml:space="preserve">1 Jun </t>
    </r>
    <r>
      <rPr>
        <sz val="8"/>
        <color rgb="FFFFFFFF"/>
        <rFont val="Helvetica"/>
        <family val="2"/>
      </rPr>
      <t>TXN INITIATED BY-9018614 TRANSFER TO 814282 50503609 Hofman</t>
    </r>
  </si>
  <si>
    <t>Brett 673.79 4,619.29</t>
  </si>
  <si>
    <t>OO_Monthly OO_Monthly 3,338.84 1,280.45</t>
  </si>
  <si>
    <r>
      <t xml:space="preserve">8 Jun Fast Pymt In </t>
    </r>
    <r>
      <rPr>
        <sz val="8"/>
        <color rgb="FFFFFFFF"/>
        <rFont val="Helvetica"/>
        <family val="2"/>
      </rPr>
      <t xml:space="preserve">8 Jun Fast Pymt In </t>
    </r>
    <r>
      <rPr>
        <sz val="8"/>
        <color rgb="FF000000"/>
        <rFont val="Helvetica"/>
        <family val="2"/>
      </rPr>
      <t>1,039.75 2,320.20</t>
    </r>
  </si>
  <si>
    <t>1,039.75 2,320.20</t>
  </si>
  <si>
    <t>14 Jun ePayment From:Brett Hofman REF: 7,000.00 9,320.20</t>
  </si>
  <si>
    <r>
      <t xml:space="preserve">1 Jul </t>
    </r>
    <r>
      <rPr>
        <sz val="8"/>
        <color rgb="FFFFFFFF"/>
        <rFont val="Helvetica"/>
        <family val="2"/>
      </rPr>
      <t xml:space="preserve">1 Jul </t>
    </r>
    <r>
      <rPr>
        <sz val="8"/>
        <color rgb="FF000000"/>
        <rFont val="Helvetica"/>
        <family val="2"/>
      </rPr>
      <t>Loan Repay TRANSFER TO 814282 50503609 Hofman Brett REF:</t>
    </r>
  </si>
  <si>
    <t>IO_Monthly IO_Monthly 2,623.79 6,696.41</t>
  </si>
  <si>
    <r>
      <t xml:space="preserve">2 Jul Arrear Chase TRANSFER TO 814282 50503609 Hofman Brett 1.42 </t>
    </r>
    <r>
      <rPr>
        <sz val="8"/>
        <color rgb="FFFFFFFF"/>
        <rFont val="Helvetica"/>
        <family val="2"/>
      </rPr>
      <t>2 Jul Arrear Chase TRANSFER TO 814282 50503609 Hofman Brett 1.42 6,694.99</t>
    </r>
  </si>
  <si>
    <t>OO_Monthly OO_Monthly 3,338.84 3,356.15</t>
  </si>
  <si>
    <t>10 Jul ePayment From:Brett Hofman REF: 3,366.80 6,722.95</t>
  </si>
  <si>
    <t>21 Jul CLOSING BALANCE 6,722.95</t>
  </si>
  <si>
    <r>
      <t xml:space="preserve">5 Jul </t>
    </r>
    <r>
      <rPr>
        <sz val="9"/>
        <color rgb="FF15A3B5"/>
        <rFont val="Helvetica"/>
        <family val="2"/>
      </rPr>
      <t xml:space="preserve">Account name: </t>
    </r>
    <r>
      <rPr>
        <sz val="9"/>
        <color rgb="FF000000"/>
        <rFont val="Helvetica"/>
        <family val="2"/>
      </rPr>
      <t>eSaver Plus</t>
    </r>
  </si>
  <si>
    <t>E-1843/S-137906/I-231879</t>
  </si>
  <si>
    <t>22 Jan OPENING BALANCE 9,106.90</t>
  </si>
  <si>
    <r>
      <t xml:space="preserve">31 Jan Interest Paid </t>
    </r>
    <r>
      <rPr>
        <sz val="8"/>
        <color rgb="FFFFFFFF"/>
        <rFont val="Helvetica"/>
        <family val="2"/>
      </rPr>
      <t xml:space="preserve">31 Jan Interest Paid </t>
    </r>
    <r>
      <rPr>
        <sz val="8"/>
        <color rgb="FF000000"/>
        <rFont val="Helvetica"/>
        <family val="2"/>
      </rPr>
      <t>3.09 9,109.99</t>
    </r>
  </si>
  <si>
    <t>3.09 9,109.99</t>
  </si>
  <si>
    <t>14 Feb CR RT CHG 0.40% - 0.50%</t>
  </si>
  <si>
    <r>
      <t xml:space="preserve">28 Feb Interest Paid </t>
    </r>
    <r>
      <rPr>
        <sz val="8"/>
        <color rgb="FFFFFFFF"/>
        <rFont val="Helvetica"/>
        <family val="2"/>
      </rPr>
      <t xml:space="preserve">28 Feb Interest Paid </t>
    </r>
    <r>
      <rPr>
        <sz val="8"/>
        <color rgb="FF000000"/>
        <rFont val="Helvetica"/>
        <family val="2"/>
      </rPr>
      <t xml:space="preserve">31 Mar Interest Paid 30 Apr Interest Paid </t>
    </r>
    <r>
      <rPr>
        <sz val="8"/>
        <color rgb="FFFFFFFF"/>
        <rFont val="Helvetica"/>
        <family val="2"/>
      </rPr>
      <t>30 Apr Interest Paid 3.17 9,113.16</t>
    </r>
  </si>
  <si>
    <t>3.17 9,113.16</t>
  </si>
  <si>
    <t>3.87 9,117.03</t>
  </si>
  <si>
    <t>3.75 9,120.78</t>
  </si>
  <si>
    <t>27 May RAC Roadside 2023 TXN INITIATED BY-9018614 TRANSFER TO 814282</t>
  </si>
  <si>
    <t>50455259 Hofman Brett 285.00 8,835.78</t>
  </si>
  <si>
    <r>
      <t xml:space="preserve">31 May Interest Paid </t>
    </r>
    <r>
      <rPr>
        <sz val="8"/>
        <color rgb="FFFFFFFF"/>
        <rFont val="Helvetica"/>
        <family val="2"/>
      </rPr>
      <t xml:space="preserve">31 May Interest Paid </t>
    </r>
    <r>
      <rPr>
        <sz val="8"/>
        <color rgb="FF000000"/>
        <rFont val="Helvetica"/>
        <family val="2"/>
      </rPr>
      <t>3.85 8,839.63</t>
    </r>
  </si>
  <si>
    <t>3.85 8,839.63</t>
  </si>
  <si>
    <t>30 Jun Interest Paid 3.63 8,843.26</t>
  </si>
  <si>
    <t>21 Jul CLOSING BALANCE 8,843.26</t>
  </si>
  <si>
    <t>Interest Paid $21.36 $0.00 $35.01</t>
  </si>
  <si>
    <r>
      <t xml:space="preserve">Account: </t>
    </r>
    <r>
      <rPr>
        <sz val="9"/>
        <color rgb="FF000000"/>
        <rFont val="Helvetica"/>
        <family val="2"/>
      </rPr>
      <t xml:space="preserve">50503609 Brett William Hofman, Laura Nicole Hofman </t>
    </r>
    <r>
      <rPr>
        <sz val="8"/>
        <color rgb="FF000000"/>
        <rFont val="Helvetica"/>
        <family val="2"/>
      </rPr>
      <t>CURRENT INTEREST RATE 6.89% P.A.</t>
    </r>
  </si>
  <si>
    <t>31 Jan Interest Charged 2,358.94 473,914.72</t>
  </si>
  <si>
    <t>1 Feb Loan Repay REF: IO_Monthly IO_Monthly From: Hofman Brett 1,950.00 471,964.72</t>
  </si>
  <si>
    <r>
      <t xml:space="preserve">2 Feb Arrear Chase </t>
    </r>
    <r>
      <rPr>
        <sz val="8"/>
        <color rgb="FF000000"/>
        <rFont val="Helvetica"/>
        <family val="2"/>
      </rPr>
      <t xml:space="preserve">2 Feb Arrear Chase </t>
    </r>
    <r>
      <rPr>
        <sz val="8"/>
        <color rgb="FFFFFFFF"/>
        <rFont val="Helvetica"/>
        <family val="2"/>
      </rPr>
      <t>408.94 471,555.78</t>
    </r>
  </si>
  <si>
    <t>408.94 471,555.78</t>
  </si>
  <si>
    <t>15 Feb RATE CHANGED FM 5.89 % TO 6.14 %</t>
  </si>
  <si>
    <t>28 Feb Interest Charged 2,175.94 473,731.72</t>
  </si>
  <si>
    <t>1 Mar Loan Repay REF: IO_Monthly IO_Monthly From: Hofman Brett 1,950.00 471,781.72</t>
  </si>
  <si>
    <t>1 Mar 225.94 471,555.78</t>
  </si>
  <si>
    <t>15 Mar RATE CHANGED FM 6.14 % TO 6.39 %</t>
  </si>
  <si>
    <t>31 Mar Interest Charged 2,513.97 474,069.75</t>
  </si>
  <si>
    <t>1 Apr Loan Repay REF: IO_Monthly IO_Monthly From: Hofman Brett 1,950.00 472,119.75</t>
  </si>
  <si>
    <r>
      <t xml:space="preserve">2 Apr Arrear Chase </t>
    </r>
    <r>
      <rPr>
        <sz val="8"/>
        <color rgb="FF000000"/>
        <rFont val="Helvetica"/>
        <family val="2"/>
      </rPr>
      <t xml:space="preserve">2 Apr Arrear Chase </t>
    </r>
    <r>
      <rPr>
        <sz val="8"/>
        <color rgb="FFFFFFFF"/>
        <rFont val="Helvetica"/>
        <family val="2"/>
      </rPr>
      <t>563.97 471,555.78</t>
    </r>
  </si>
  <si>
    <t>563.97 471,555.78</t>
  </si>
  <si>
    <t>30 Apr Interest Charged 2,476.74 474,032.52</t>
  </si>
  <si>
    <t>1 May Loan Repay REF: IO_Monthly IO_Monthly From: Hofman Brett 1,950.00 472,082.52</t>
  </si>
  <si>
    <t>1 May 526.74 471,555.78</t>
  </si>
  <si>
    <t>12 May RATE CHANGED FM 6.39 % TO 6.64 %</t>
  </si>
  <si>
    <t>31 May Interest Charged 2,623.79 474,179.57</t>
  </si>
  <si>
    <t>1 Jun Loan Repay REF: IO_Monthly IO_Monthly From: Hofman Brett 1,950.00 472,229.57</t>
  </si>
  <si>
    <t>1 Jun 673.79 471,555.78</t>
  </si>
  <si>
    <r>
      <t xml:space="preserve">15 Jun </t>
    </r>
    <r>
      <rPr>
        <sz val="8"/>
        <color rgb="FF000000"/>
        <rFont val="Helvetica"/>
        <family val="2"/>
      </rPr>
      <t xml:space="preserve">15 Jun </t>
    </r>
    <r>
      <rPr>
        <sz val="8"/>
        <color rgb="FFFFFFFF"/>
        <rFont val="Helvetica"/>
        <family val="2"/>
      </rPr>
      <t>RATE CHANGED FM 6.64 % TO 6.89 %</t>
    </r>
  </si>
  <si>
    <t>RATE CHANGED FM 6.64 % TO 6.89 %</t>
  </si>
  <si>
    <t>30 Jun Interest Charged 2,625.21 474,180.99</t>
  </si>
  <si>
    <t>1 Jul Loan Repay REF: IO_Monthly IO_Monthly From: Hofman Brett 2,623.79 471,557.20</t>
  </si>
  <si>
    <t>2 Jul Arrear Chase 1.42 471,555.78</t>
  </si>
  <si>
    <t>Interest Charged -$14,774.59 $0.00 -$26,584.83</t>
  </si>
  <si>
    <t>E-1843/S-137907/I-231880</t>
  </si>
  <si>
    <t>22 Jan OPENING BALANCE 807,792.75</t>
  </si>
  <si>
    <t>31 Jan Interest Charged 1,352.28 809,145.03</t>
  </si>
  <si>
    <t>5 Feb Loan Repay REF: OO_Monthly OO_Monthly From: Hofman Brett 3,338.84 805,806.19</t>
  </si>
  <si>
    <t>28 Feb Interest Charged 1,218.48 807,024.67</t>
  </si>
  <si>
    <t>5 Mar Loan Repay REF: OO_Monthly OO_Monthly From: Hofman Brett 3,338.84 803,685.83</t>
  </si>
  <si>
    <t>31 Mar Interest Charged 1,345.41 805,031.24</t>
  </si>
  <si>
    <t>5 Apr Loan Repay REF: OO_Monthly OO_Monthly From: Hofman Brett 3,338.84 801,692.40</t>
  </si>
  <si>
    <r>
      <t xml:space="preserve">30 Apr REF: Kay Jude Paris Hotel </t>
    </r>
    <r>
      <rPr>
        <sz val="8"/>
        <color rgb="FF000000"/>
        <rFont val="Helvetica"/>
        <family val="2"/>
      </rPr>
      <t xml:space="preserve">30 Apr REF: Kay Jude Paris Hotel </t>
    </r>
    <r>
      <rPr>
        <sz val="8"/>
        <color rgb="FFFFFFFF"/>
        <rFont val="Helvetica"/>
        <family val="2"/>
      </rPr>
      <t>4,300.00 797,392.40</t>
    </r>
  </si>
  <si>
    <t>4,300.00 797,392.40</t>
  </si>
  <si>
    <t>30 Apr Interest Charged 1,298.57 798,690.97</t>
  </si>
  <si>
    <t>5 May Loan Repay REF: OO_Monthly OO_Monthly From: Hofman Brett 3,338.84 795,352.13</t>
  </si>
  <si>
    <t>31 May Interest Charged 1,331.46 796,683.59</t>
  </si>
  <si>
    <t>5 Jun Loan Repay REF: OO_Monthly OO_Monthly From: Hofman Brett 3,338.84 793,344.75</t>
  </si>
  <si>
    <t>30 Jun Interest Charged 1,285.29 794,630.04</t>
  </si>
  <si>
    <t>5 Jul Loan Repay REF: OO_Monthly OO_Monthly From: Hofman Brett 3,338.84 791,291.20</t>
  </si>
  <si>
    <t>21 Jul CLOSING BALANCE 791,291.20</t>
  </si>
  <si>
    <t>Interest Charged -$7,831.49 $0.00 -$15,933.42</t>
  </si>
  <si>
    <t>E-1843/S-137907/I-231881</t>
  </si>
  <si>
    <t>Issue date: 21/01/2024</t>
  </si>
  <si>
    <t>$6,722.95 </t>
  </si>
  <si>
    <t>$41,145.34 </t>
  </si>
  <si>
    <t>$41,566.70 </t>
  </si>
  <si>
    <t>$8,843.26 </t>
  </si>
  <si>
    <t>$4,032.51 </t>
  </si>
  <si>
    <t>$4,000.00 </t>
  </si>
  <si>
    <t>$16,533.66 </t>
  </si>
  <si>
    <t>51001645 3 Year Fixed OO P&amp;I -$791,291.20 $20,033.04 $12,120.20 -$783,378.36</t>
  </si>
  <si>
    <r>
      <t xml:space="preserve">Statement period: </t>
    </r>
    <r>
      <rPr>
        <sz val="9"/>
        <color rgb="FF000000"/>
        <rFont val="Helvetica"/>
        <family val="2"/>
      </rPr>
      <t>22 JUL 2023 To 21 JAN 2024</t>
    </r>
  </si>
  <si>
    <t>E-3298/S-108448/I-201806 EM. 3298NNNNNN 9018614</t>
  </si>
  <si>
    <t>22 Jul OPENING BALANCE 6,722.95</t>
  </si>
  <si>
    <t>IO_Monthly IO_Monthly 2,623.79 4,099.16</t>
  </si>
  <si>
    <r>
      <t xml:space="preserve">1 Aug </t>
    </r>
    <r>
      <rPr>
        <sz val="8"/>
        <color rgb="FFFFFFFF"/>
        <rFont val="Helvetica"/>
        <family val="2"/>
      </rPr>
      <t xml:space="preserve">1 Aug </t>
    </r>
    <r>
      <rPr>
        <sz val="8"/>
        <color rgb="FF000000"/>
        <rFont val="Helvetica"/>
        <family val="2"/>
      </rPr>
      <t>TXN INITIATED BY-9018614 TRANSFER TO 814282 50503609 Hofman</t>
    </r>
  </si>
  <si>
    <t>Brett 135.65 3,963.51</t>
  </si>
  <si>
    <t>2 Aug ePayment From:BWH REF: CUA SAVE 407.28 4,370.79</t>
  </si>
  <si>
    <r>
      <t xml:space="preserve">5 Aug </t>
    </r>
    <r>
      <rPr>
        <sz val="8"/>
        <color rgb="FF000000"/>
        <rFont val="Helvetica"/>
        <family val="2"/>
      </rPr>
      <t>5 Aug Loan Repay TRANSFER TO 814282 51001645 Hofman Brett REF:</t>
    </r>
  </si>
  <si>
    <t>OO_Monthly OO_Monthly 3,338.84 1,031.95</t>
  </si>
  <si>
    <t>29 Aug From: Hofman Brett REF: Bridge 2,000.00 3,031.95</t>
  </si>
  <si>
    <r>
      <t xml:space="preserve">30 Aug ePayment From:Brett Hofman REF: Tax return </t>
    </r>
    <r>
      <rPr>
        <sz val="8"/>
        <color rgb="FFFFFFFF"/>
        <rFont val="Helvetica"/>
        <family val="2"/>
      </rPr>
      <t xml:space="preserve">30 Aug ePayment From:Brett Hofman REF: Tax return </t>
    </r>
    <r>
      <rPr>
        <sz val="8"/>
        <color rgb="FF000000"/>
        <rFont val="Helvetica"/>
        <family val="2"/>
      </rPr>
      <t>10,000.00 13,031.95</t>
    </r>
  </si>
  <si>
    <t>10,000.00 13,031.95</t>
  </si>
  <si>
    <t>31 Aug TXN INITIATED BY-9018614 TRANSFER TO 814282 50456034 Hofman</t>
  </si>
  <si>
    <t>Brett 2,000.00 11,031.95</t>
  </si>
  <si>
    <r>
      <t xml:space="preserve">1 Sep </t>
    </r>
    <r>
      <rPr>
        <sz val="8"/>
        <color rgb="FF000000"/>
        <rFont val="Helvetica"/>
        <family val="2"/>
      </rPr>
      <t xml:space="preserve">1 Sep </t>
    </r>
    <r>
      <rPr>
        <sz val="8"/>
        <color rgb="FFFFFFFF"/>
        <rFont val="Helvetica"/>
        <family val="2"/>
      </rPr>
      <t>Loan Repay TRANSFER TO 814282 50503609 Hofman Brett REF:</t>
    </r>
  </si>
  <si>
    <t>IO_Monthly IO_Monthly 2,623.79 8,408.16</t>
  </si>
  <si>
    <r>
      <t xml:space="preserve">1 Sep </t>
    </r>
    <r>
      <rPr>
        <sz val="8"/>
        <color rgb="FF000000"/>
        <rFont val="Helvetica"/>
        <family val="2"/>
      </rPr>
      <t xml:space="preserve">1 Sep </t>
    </r>
    <r>
      <rPr>
        <sz val="8"/>
        <color rgb="FFFFFFFF"/>
        <rFont val="Helvetica"/>
        <family val="2"/>
      </rPr>
      <t>TXN INITIATED BY-9018614 TRANSFER TO 814282 50503609 Hofman</t>
    </r>
  </si>
  <si>
    <r>
      <t xml:space="preserve">4 Sep </t>
    </r>
    <r>
      <rPr>
        <sz val="8"/>
        <color rgb="FFFFFFFF"/>
        <rFont val="Helvetica"/>
        <family val="2"/>
      </rPr>
      <t xml:space="preserve">5 Sep </t>
    </r>
    <r>
      <rPr>
        <sz val="8"/>
        <color rgb="FF000000"/>
        <rFont val="Helvetica"/>
        <family val="2"/>
      </rPr>
      <t xml:space="preserve">5 Sep </t>
    </r>
    <r>
      <rPr>
        <sz val="8"/>
        <color rgb="FFFFFFFF"/>
        <rFont val="Helvetica"/>
        <family val="2"/>
      </rPr>
      <t>Brett 135.65 8,272.51</t>
    </r>
  </si>
  <si>
    <t>Brett 135.65 8,272.51</t>
  </si>
  <si>
    <t>TXN INITIATED BY-9018614 TRANSFER TO 082344 593124382 Brett W</t>
  </si>
  <si>
    <t>Hofman REF: RWC 1,000.00 7,272.51</t>
  </si>
  <si>
    <t>OO_Monthly OO_Monthly 3,338.84 3,933.67</t>
  </si>
  <si>
    <t>1,000.00 4,933.67</t>
  </si>
  <si>
    <t>1,000.00 5,933.67</t>
  </si>
  <si>
    <t>400.00 6,333.67</t>
  </si>
  <si>
    <r>
      <t xml:space="preserve">11 Sep Fast Pymt In </t>
    </r>
    <r>
      <rPr>
        <sz val="8"/>
        <color rgb="FFFFFFFF"/>
        <rFont val="Helvetica"/>
        <family val="2"/>
      </rPr>
      <t xml:space="preserve">16 Sep Fast Pymt In </t>
    </r>
    <r>
      <rPr>
        <sz val="8"/>
        <color rgb="FF000000"/>
        <rFont val="Helvetica"/>
        <family val="2"/>
      </rPr>
      <t xml:space="preserve">16 Sep Fast Pymt In 19 Sep Fast Pymt In </t>
    </r>
    <r>
      <rPr>
        <sz val="8"/>
        <color rgb="FFFFFFFF"/>
        <rFont val="Helvetica"/>
        <family val="2"/>
      </rPr>
      <t xml:space="preserve">1 Oct </t>
    </r>
    <r>
      <rPr>
        <sz val="8"/>
        <color rgb="FF000000"/>
        <rFont val="Helvetica"/>
        <family val="2"/>
      </rPr>
      <t xml:space="preserve">1 Oct </t>
    </r>
    <r>
      <rPr>
        <sz val="8"/>
        <color rgb="FFFFFFFF"/>
        <rFont val="Helvetica"/>
        <family val="2"/>
      </rPr>
      <t>Loan Repay TRANSFER TO 814282 50503609 Hofman Brett REF:</t>
    </r>
  </si>
  <si>
    <r>
      <t xml:space="preserve">5 Oct </t>
    </r>
    <r>
      <rPr>
        <sz val="8"/>
        <color rgb="FFFFFFFF"/>
        <rFont val="Helvetica"/>
        <family val="2"/>
      </rPr>
      <t>IO_Monthly IO_Monthly 2,623.79 3,709.88</t>
    </r>
  </si>
  <si>
    <t>IO_Monthly IO_Monthly 2,623.79 3,709.88</t>
  </si>
  <si>
    <r>
      <t xml:space="preserve">2 Oct Arrear Chase TRANSFER TO 814282 50503609 Hofman Brett 46.64 </t>
    </r>
    <r>
      <rPr>
        <sz val="8"/>
        <color rgb="FFFFFFFF"/>
        <rFont val="Helvetica"/>
        <family val="2"/>
      </rPr>
      <t>2 Oct Arrear Chase TRANSFER TO 814282 50503609 Hofman Brett 46.64 3,663.24</t>
    </r>
  </si>
  <si>
    <t>OO_Monthly OO_Monthly 3,338.84 324.40</t>
  </si>
  <si>
    <t>19 Oct ePayment From:Brett Hofman REF: 4,000.00 4,324.40</t>
  </si>
  <si>
    <t>IO_Monthly IO_Monthly 2,623.79 1,700.61</t>
  </si>
  <si>
    <t>Brett 135.66 1,564.95</t>
  </si>
  <si>
    <r>
      <t xml:space="preserve">1 Nov From: Hofman Brett </t>
    </r>
    <r>
      <rPr>
        <sz val="8"/>
        <color rgb="FFFFFFFF"/>
        <rFont val="Helvetica"/>
        <family val="2"/>
      </rPr>
      <t xml:space="preserve">1 Nov From: Hofman Brett </t>
    </r>
    <r>
      <rPr>
        <sz val="8"/>
        <color rgb="FF000000"/>
        <rFont val="Helvetica"/>
        <family val="2"/>
      </rPr>
      <t>2,000.00 3,564.95</t>
    </r>
  </si>
  <si>
    <t>2,000.00 3,564.95</t>
  </si>
  <si>
    <t>OO_Monthly OO_Monthly 3,338.84 226.11</t>
  </si>
  <si>
    <r>
      <t xml:space="preserve">28 Nov From: Hofman Brett REF: Draw down </t>
    </r>
    <r>
      <rPr>
        <sz val="8"/>
        <color rgb="FFFFFFFF"/>
        <rFont val="Helvetica"/>
        <family val="2"/>
      </rPr>
      <t xml:space="preserve">28 Nov From: Hofman Brett REF: Draw down </t>
    </r>
    <r>
      <rPr>
        <sz val="8"/>
        <color rgb="FF000000"/>
        <rFont val="Helvetica"/>
        <family val="2"/>
      </rPr>
      <t>4,300.00 4,526.11</t>
    </r>
  </si>
  <si>
    <t>4,300.00 4,526.11</t>
  </si>
  <si>
    <t>28 Nov Fast Pymt In 1,000.00 5,526.11</t>
  </si>
  <si>
    <r>
      <t xml:space="preserve">30 Nov Fast Pymt In </t>
    </r>
    <r>
      <rPr>
        <sz val="8"/>
        <color rgb="FFFFFFFF"/>
        <rFont val="Helvetica"/>
        <family val="2"/>
      </rPr>
      <t xml:space="preserve">30 Nov Fast Pymt In </t>
    </r>
    <r>
      <rPr>
        <sz val="8"/>
        <color rgb="FF000000"/>
        <rFont val="Helvetica"/>
        <family val="2"/>
      </rPr>
      <t>1,000.00 6,526.11</t>
    </r>
  </si>
  <si>
    <t>1,000.00 6,526.11</t>
  </si>
  <si>
    <t>1 Dec Loan Repay TRANSFER TO 814282 50503609 Hofman Brett REF:</t>
  </si>
  <si>
    <t>IO_Monthly IO_Monthly 2,623.79 3,902.32</t>
  </si>
  <si>
    <t>1 Dec TXN INITIATED BY-9018614 TRANSFER TO 814282 50503609 Hofman</t>
  </si>
  <si>
    <t>Brett 101.54 3,800.78</t>
  </si>
  <si>
    <r>
      <t xml:space="preserve">1 Dec Fast Pymt In </t>
    </r>
    <r>
      <rPr>
        <sz val="8"/>
        <color rgb="FFFFFFFF"/>
        <rFont val="Helvetica"/>
        <family val="2"/>
      </rPr>
      <t xml:space="preserve">1 Dec Fast Pymt In </t>
    </r>
    <r>
      <rPr>
        <sz val="8"/>
        <color rgb="FF000000"/>
        <rFont val="Helvetica"/>
        <family val="2"/>
      </rPr>
      <t>538.06 4,338.84</t>
    </r>
  </si>
  <si>
    <t>538.06 4,338.84</t>
  </si>
  <si>
    <t>5 Dec Loan Repay TRANSFER TO 814282 51001645 Hofman Brett REF:</t>
  </si>
  <si>
    <t>OO_Monthly OO_Monthly 3,338.84 1,000.00</t>
  </si>
  <si>
    <r>
      <t xml:space="preserve">6 Dec </t>
    </r>
    <r>
      <rPr>
        <sz val="8"/>
        <color rgb="FF000000"/>
        <rFont val="Helvetica"/>
        <family val="2"/>
      </rPr>
      <t>6 Dec TXN INITIATED BY-9018614 TRANSFER TO 814282 50456034 Hofman</t>
    </r>
  </si>
  <si>
    <t>TXN INITIATED BY-9018614 TRANSFER TO 814282 50456034 Hofman</t>
  </si>
  <si>
    <t>Brett 1,000.00 0.00</t>
  </si>
  <si>
    <t>1,000.00 1,000.00</t>
  </si>
  <si>
    <r>
      <t xml:space="preserve">6 Dec Fast Pymt In </t>
    </r>
    <r>
      <rPr>
        <sz val="8"/>
        <color rgb="FFFFFFFF"/>
        <rFont val="Helvetica"/>
        <family val="2"/>
      </rPr>
      <t xml:space="preserve">6 Dec </t>
    </r>
    <r>
      <rPr>
        <sz val="8"/>
        <color rgb="FF000000"/>
        <rFont val="Helvetica"/>
        <family val="2"/>
      </rPr>
      <t xml:space="preserve">6 Dec </t>
    </r>
    <r>
      <rPr>
        <sz val="8"/>
        <color rgb="FFFFFFFF"/>
        <rFont val="Helvetica"/>
        <family val="2"/>
      </rPr>
      <t>TXN INITIATED BY-9018614 TRANSFER TO 814282 50456034 Hofman</t>
    </r>
  </si>
  <si>
    <t>15 Dec ePayment From:Brett Hofman REF: 6,100.00 6,100.00</t>
  </si>
  <si>
    <t>IO_Monthly IO_Monthly 2,623.79 3,476.21</t>
  </si>
  <si>
    <r>
      <t xml:space="preserve">1 Jan Fast Pymt In </t>
    </r>
    <r>
      <rPr>
        <sz val="8"/>
        <color rgb="FFFFFFFF"/>
        <rFont val="Helvetica"/>
        <family val="2"/>
      </rPr>
      <t>1 Jan Fast Pymt In 400.00 3,876.21</t>
    </r>
  </si>
  <si>
    <t>400.00 3,876.21</t>
  </si>
  <si>
    <t>1 Jan TXN INITIATED BY-9018614 TRANSFER TO 814282 50503609 Hofman</t>
  </si>
  <si>
    <t>Brett 235.78 3,640.43</t>
  </si>
  <si>
    <t>OO_Monthly OO_Monthly 3,338.84 301.59</t>
  </si>
  <si>
    <t>15 Jan ePayment From:Brett Hofman REF: 6,000.00 6,301.59</t>
  </si>
  <si>
    <t>21 Jan CLOSING BALANCE 6,301.59</t>
  </si>
  <si>
    <t>E-3298/S-108448/I-201807</t>
  </si>
  <si>
    <t>22 Jul OPENING BALANCE 8,843.26</t>
  </si>
  <si>
    <r>
      <t xml:space="preserve">31 Jul Interest Paid </t>
    </r>
    <r>
      <rPr>
        <sz val="8"/>
        <color rgb="FFFFFFFF"/>
        <rFont val="Helvetica"/>
        <family val="2"/>
      </rPr>
      <t xml:space="preserve">31 Jul Interest Paid </t>
    </r>
    <r>
      <rPr>
        <sz val="8"/>
        <color rgb="FF000000"/>
        <rFont val="Helvetica"/>
        <family val="2"/>
      </rPr>
      <t>3.76 8,847.02</t>
    </r>
  </si>
  <si>
    <t>3.76 8,847.02</t>
  </si>
  <si>
    <t>29 Aug Bridge TXN INITIATED BY-9018614 TRANSFER TO 814282 50455259</t>
  </si>
  <si>
    <t>Hofman Brett 2,000.00 6,847.02</t>
  </si>
  <si>
    <r>
      <t xml:space="preserve">31 Aug From: Hofman Brett </t>
    </r>
    <r>
      <rPr>
        <sz val="8"/>
        <color rgb="FFFFFFFF"/>
        <rFont val="Helvetica"/>
        <family val="2"/>
      </rPr>
      <t xml:space="preserve">31 Aug From: Hofman Brett </t>
    </r>
    <r>
      <rPr>
        <sz val="8"/>
        <color rgb="FF000000"/>
        <rFont val="Helvetica"/>
        <family val="2"/>
      </rPr>
      <t>2,000.00 8,847.02</t>
    </r>
  </si>
  <si>
    <t>2,000.00 8,847.02</t>
  </si>
  <si>
    <t>31 Aug Interest Paid 3.70 8,850.72</t>
  </si>
  <si>
    <r>
      <t xml:space="preserve">30 Sep Interest Paid </t>
    </r>
    <r>
      <rPr>
        <sz val="8"/>
        <color rgb="FFFFFFFF"/>
        <rFont val="Helvetica"/>
        <family val="2"/>
      </rPr>
      <t xml:space="preserve">30 Sep Interest Paid </t>
    </r>
    <r>
      <rPr>
        <sz val="8"/>
        <color rgb="FF000000"/>
        <rFont val="Helvetica"/>
        <family val="2"/>
      </rPr>
      <t>3.64 8,854.36</t>
    </r>
  </si>
  <si>
    <t>3.64 8,854.36</t>
  </si>
  <si>
    <t>31 Oct Interest Paid 3.76 8,858.12</t>
  </si>
  <si>
    <r>
      <t xml:space="preserve">1 Nov </t>
    </r>
    <r>
      <rPr>
        <sz val="8"/>
        <color rgb="FFFFFFFF"/>
        <rFont val="Helvetica"/>
        <family val="2"/>
      </rPr>
      <t>1 Nov TXN INITIATED BY-9018614 TRANSFER TO 814282 50455259 Hofman</t>
    </r>
  </si>
  <si>
    <t>TXN INITIATED BY-9018614 TRANSFER TO 814282 50455259 Hofman</t>
  </si>
  <si>
    <t>Brett 2,000.00 6,858.12</t>
  </si>
  <si>
    <t>7 Nov CR RT CHG 0.50% - 0.10%</t>
  </si>
  <si>
    <r>
      <t xml:space="preserve">30 Nov Interest Paid </t>
    </r>
    <r>
      <rPr>
        <sz val="8"/>
        <color rgb="FFFFFFFF"/>
        <rFont val="Helvetica"/>
        <family val="2"/>
      </rPr>
      <t xml:space="preserve">30 Nov Interest Paid </t>
    </r>
    <r>
      <rPr>
        <sz val="8"/>
        <color rgb="FF000000"/>
        <rFont val="Helvetica"/>
        <family val="2"/>
      </rPr>
      <t xml:space="preserve">6 Dec From: Hofman Brett 6 Dec From: Hofman Brett </t>
    </r>
    <r>
      <rPr>
        <sz val="8"/>
        <color rgb="FFFFFFFF"/>
        <rFont val="Helvetica"/>
        <family val="2"/>
      </rPr>
      <t xml:space="preserve">6 Dec From: Hofman Brett </t>
    </r>
    <r>
      <rPr>
        <sz val="8"/>
        <color rgb="FF000000"/>
        <rFont val="Helvetica"/>
        <family val="2"/>
      </rPr>
      <t xml:space="preserve">31 Dec Bonus Interest 31 Dec Interest Paid </t>
    </r>
    <r>
      <rPr>
        <sz val="8"/>
        <color rgb="FFFFFFFF"/>
        <rFont val="Helvetica"/>
        <family val="2"/>
      </rPr>
      <t>31 Dec Interest Paid 1.01 6,859.13</t>
    </r>
  </si>
  <si>
    <t>1.01 6,859.13</t>
  </si>
  <si>
    <t>1,000.00 7,859.13</t>
  </si>
  <si>
    <t>1,000.00 8,859.13</t>
  </si>
  <si>
    <t>15.92 8,875.05</t>
  </si>
  <si>
    <t>0.72 8,875.77</t>
  </si>
  <si>
    <t>21 Jan CLOSING BALANCE 8,875.77</t>
  </si>
  <si>
    <t>Interest Paid $32.51 $32.51 $35.01</t>
  </si>
  <si>
    <t>E-3298/S-108449/I-201808</t>
  </si>
  <si>
    <r>
      <t xml:space="preserve">Account: </t>
    </r>
    <r>
      <rPr>
        <sz val="9"/>
        <color rgb="FF000000"/>
        <rFont val="Helvetica"/>
        <family val="2"/>
      </rPr>
      <t xml:space="preserve">50503609 Brett William Hofman, Laura Nicole Hofman </t>
    </r>
    <r>
      <rPr>
        <sz val="8"/>
        <color rgb="FF000000"/>
        <rFont val="Helvetica"/>
        <family val="2"/>
      </rPr>
      <t>CURRENT INTEREST RATE 7.14% P.A.</t>
    </r>
  </si>
  <si>
    <t>31 Jul Interest Charged 2,759.44 474,315.22</t>
  </si>
  <si>
    <t>1 Aug Loan Repay REF: IO_Monthly IO_Monthly From: Hofman Brett 2,623.79 471,691.43</t>
  </si>
  <si>
    <t>1 Aug 135.65 471,555.78</t>
  </si>
  <si>
    <t>31 Aug Interest Charged 2,759.44 474,315.22</t>
  </si>
  <si>
    <t>1 Sep Loan Repay REF: IO_Monthly IO_Monthly From: Hofman Brett 2,623.79 471,691.43</t>
  </si>
  <si>
    <t>1 Sep 135.65 471,555.78</t>
  </si>
  <si>
    <t>30 Sep Interest Charged 2,670.43 474,226.21</t>
  </si>
  <si>
    <t>1 Oct Loan Repay REF: IO_Monthly IO_Monthly From: Hofman Brett 2,623.79 471,602.42</t>
  </si>
  <si>
    <r>
      <t xml:space="preserve">2 Oct Arrear Chase </t>
    </r>
    <r>
      <rPr>
        <sz val="8"/>
        <color rgb="FF000000"/>
        <rFont val="Helvetica"/>
        <family val="2"/>
      </rPr>
      <t xml:space="preserve">2 Oct Arrear Chase </t>
    </r>
    <r>
      <rPr>
        <sz val="8"/>
        <color rgb="FFFFFFFF"/>
        <rFont val="Helvetica"/>
        <family val="2"/>
      </rPr>
      <t>46.64 471,555.78</t>
    </r>
  </si>
  <si>
    <t>46.64 471,555.78</t>
  </si>
  <si>
    <t>31 Oct Interest Charged 2,759.45 474,315.23</t>
  </si>
  <si>
    <t>1 Nov Loan Repay REF: IO_Monthly IO_Monthly From: Hofman Brett 2,623.79 471,691.44</t>
  </si>
  <si>
    <t>1 Nov 135.66 471,555.78</t>
  </si>
  <si>
    <r>
      <t xml:space="preserve">14 Nov </t>
    </r>
    <r>
      <rPr>
        <sz val="8"/>
        <color rgb="FF000000"/>
        <rFont val="Helvetica"/>
        <family val="2"/>
      </rPr>
      <t xml:space="preserve">14 Nov </t>
    </r>
    <r>
      <rPr>
        <sz val="8"/>
        <color rgb="FFFFFFFF"/>
        <rFont val="Helvetica"/>
        <family val="2"/>
      </rPr>
      <t>RATE CHANGED FM 6.89 % TO 7.14 %</t>
    </r>
  </si>
  <si>
    <t>RATE CHANGED FM 6.89 % TO 7.14 %</t>
  </si>
  <si>
    <t>30 Nov Interest Charged 2,725.33 474,281.11</t>
  </si>
  <si>
    <t>1 Dec Loan Repay REF: IO_Monthly IO_Monthly From: Hofman Brett 2,623.79 471,657.32</t>
  </si>
  <si>
    <t>1 Dec 101.54 471,555.78</t>
  </si>
  <si>
    <t>31 Dec Interest Charged 2,859.57 474,415.35</t>
  </si>
  <si>
    <t>1 Jan Loan Repay REF: IO_Monthly IO_Monthly From: Hofman Brett 2,623.79 471,791.56</t>
  </si>
  <si>
    <t>1 Jan 235.78 471,555.78</t>
  </si>
  <si>
    <t>Interest Charged -$16,533.66 -$16,533.66 -$26,584.83</t>
  </si>
  <si>
    <t>22 Jul OPENING BALANCE 791,291.20</t>
  </si>
  <si>
    <t>31 Jul Interest Charged 1,324.67 792,615.87</t>
  </si>
  <si>
    <t>5 Aug Loan Repay REF: OO_Monthly OO_Monthly From: Hofman Brett 3,338.84 789,277.03</t>
  </si>
  <si>
    <t>31 Aug Interest Charged 1,321.30 790,598.33</t>
  </si>
  <si>
    <t>5 Sep Loan Repay REF: OO_Monthly OO_Monthly From: Hofman Brett 3,338.84 787,259.49</t>
  </si>
  <si>
    <t>30 Sep Interest Charged 1,275.43 788,534.92</t>
  </si>
  <si>
    <t>5 Oct Loan Repay REF: OO_Monthly OO_Monthly From: Hofman Brett 3,338.84 785,196.08</t>
  </si>
  <si>
    <t>31 Oct Interest Charged 1,314.47 786,510.55</t>
  </si>
  <si>
    <t>5 Nov Loan Repay REF: OO_Monthly OO_Monthly From: Hofman Brett 3,338.84 783,171.71</t>
  </si>
  <si>
    <t>28 Nov REF: Draw down 4,300.00 787,471.71</t>
  </si>
  <si>
    <t>30 Nov Interest Charged 1,269.51 788,741.22</t>
  </si>
  <si>
    <t>5 Dec Loan Repay REF: OO_Monthly OO_Monthly From: Hofman Brett 3,338.84 785,402.38</t>
  </si>
  <si>
    <t>31 Dec Interest Charged 1,314.82 786,717.20</t>
  </si>
  <si>
    <t>5 Jan Loan Repay REF: OO_Monthly OO_Monthly From: Hofman Brett 3,338.84 783,378.36</t>
  </si>
  <si>
    <t>21 Jan CLOSING BALANCE 783,378.36</t>
  </si>
  <si>
    <t>Interest Charged -$7,820.20 -$7,820.20 -$15,933.42</t>
  </si>
  <si>
    <t>E-3298/S-108449/I-201809</t>
  </si>
  <si>
    <t>Issue date: 21/07/2024</t>
  </si>
  <si>
    <t>$6,301.59 </t>
  </si>
  <si>
    <t>$36,900.00 </t>
  </si>
  <si>
    <t>$36,775.73 </t>
  </si>
  <si>
    <t>$8,875.77 </t>
  </si>
  <si>
    <t>$4.41 </t>
  </si>
  <si>
    <t>$193.65 </t>
  </si>
  <si>
    <t>$16,742.69 </t>
  </si>
  <si>
    <t>51001645 3 Year Fixed OO P&amp;I -$783,378.36 $20,033.04 $7,627.89 -$770,973.21</t>
  </si>
  <si>
    <r>
      <t xml:space="preserve">Statement period: </t>
    </r>
    <r>
      <rPr>
        <sz val="9"/>
        <color rgb="FF000000"/>
        <rFont val="Helvetica"/>
        <family val="2"/>
      </rPr>
      <t>22 JAN 2024 To 21 JUL 2024</t>
    </r>
  </si>
  <si>
    <t>E-1887/S-89670/I-166061EM. 1887NNNNNN 9018614</t>
  </si>
  <si>
    <t>22 Jan OPENING BALANCE 6,301.59</t>
  </si>
  <si>
    <t>IO_Monthly IO_Monthly 2,623.79 3,677.80</t>
  </si>
  <si>
    <r>
      <t xml:space="preserve">2 Feb Arrear Chase TRANSFER TO 814282 50503609 Hofman Brett 227.96 </t>
    </r>
    <r>
      <rPr>
        <sz val="8"/>
        <color rgb="FF000000"/>
        <rFont val="Helvetica"/>
        <family val="2"/>
      </rPr>
      <t xml:space="preserve">2 Feb Arrear Chase TRANSFER TO 814282 50503609 Hofman Brett 227.96 </t>
    </r>
    <r>
      <rPr>
        <sz val="8"/>
        <color rgb="FFFFFFFF"/>
        <rFont val="Helvetica"/>
        <family val="2"/>
      </rPr>
      <t>3,449.84</t>
    </r>
  </si>
  <si>
    <t>OO_Monthly OO_Monthly 3,338.84 111.00</t>
  </si>
  <si>
    <r>
      <t xml:space="preserve">16 Feb ePayment From:Brett Hofman REF: Mortgage bloodsuck </t>
    </r>
    <r>
      <rPr>
        <sz val="8"/>
        <color rgb="FF000000"/>
        <rFont val="Helvetica"/>
        <family val="2"/>
      </rPr>
      <t xml:space="preserve">16 Feb ePayment From:Brett Hofman REF: Mortgage bloodsuck </t>
    </r>
    <r>
      <rPr>
        <sz val="8"/>
        <color rgb="FFFFFFFF"/>
        <rFont val="Helvetica"/>
        <family val="2"/>
      </rPr>
      <t>6,200.00 6,311.00</t>
    </r>
  </si>
  <si>
    <t>6,200.00 6,311.00</t>
  </si>
  <si>
    <t>1 Mar Loan Repay TRANSFER TO 814282 50503609 Hofman Brett REF:</t>
  </si>
  <si>
    <t>IO_Monthly IO_Monthly 2,623.79 3,687.21</t>
  </si>
  <si>
    <t>2 Mar Arrear Chase TRANSFER TO 814282 50503609 Hofman Brett 44.02 3,643.19</t>
  </si>
  <si>
    <t>OO_Monthly OO_Monthly 3,338.84 304.35</t>
  </si>
  <si>
    <t>18 Mar ePayment From:Brett Hofman REF: Albany St Mortgage 2,560.00 2,864.35</t>
  </si>
  <si>
    <r>
      <t xml:space="preserve">22 Mar ePayment From:Brett Hofman REF: Arnold St mortgage </t>
    </r>
    <r>
      <rPr>
        <sz val="8"/>
        <color rgb="FF000000"/>
        <rFont val="Helvetica"/>
        <family val="2"/>
      </rPr>
      <t xml:space="preserve">22 Mar ePayment From:Brett Hofman REF: Arnold St mortgage </t>
    </r>
    <r>
      <rPr>
        <sz val="8"/>
        <color rgb="FFFFFFFF"/>
        <rFont val="Helvetica"/>
        <family val="2"/>
      </rPr>
      <t>3,340.00 6,204.35</t>
    </r>
  </si>
  <si>
    <t>3,340.00 6,204.35</t>
  </si>
  <si>
    <t>IO_Monthly IO_Monthly 2,623.79 3,580.56</t>
  </si>
  <si>
    <r>
      <t xml:space="preserve">2 Apr Arrear Chase TRANSFER TO 814282 50503609 Hofman Brett 227.97 </t>
    </r>
    <r>
      <rPr>
        <sz val="8"/>
        <color rgb="FFFFFFFF"/>
        <rFont val="Helvetica"/>
        <family val="2"/>
      </rPr>
      <t xml:space="preserve">5 Apr </t>
    </r>
    <r>
      <rPr>
        <sz val="8"/>
        <color rgb="FF000000"/>
        <rFont val="Helvetica"/>
        <family val="2"/>
      </rPr>
      <t xml:space="preserve">5 Apr </t>
    </r>
    <r>
      <rPr>
        <sz val="8"/>
        <color rgb="FFFFFFFF"/>
        <rFont val="Helvetica"/>
        <family val="2"/>
      </rPr>
      <t>Loan Repay TRANSFER TO 814282 51001645 Hofman Brett REF:</t>
    </r>
  </si>
  <si>
    <t>OO_Monthly OO_Monthly 3,338.84 13.75</t>
  </si>
  <si>
    <t>16 Apr ePayment From:Brett Hofman REF: Mortgage Bloodsuck 6,200.00 6,213.75</t>
  </si>
  <si>
    <t>IO_Monthly IO_Monthly 2,623.79 3,589.96</t>
  </si>
  <si>
    <r>
      <t xml:space="preserve">1 May </t>
    </r>
    <r>
      <rPr>
        <sz val="8"/>
        <color rgb="FF000000"/>
        <rFont val="Helvetica"/>
        <family val="2"/>
      </rPr>
      <t xml:space="preserve">1 May </t>
    </r>
    <r>
      <rPr>
        <sz val="8"/>
        <color rgb="FFFFFFFF"/>
        <rFont val="Helvetica"/>
        <family val="2"/>
      </rPr>
      <t>TXN INITIATED BY-9018614 TRANSFER TO 814282 50503609 Hofman</t>
    </r>
  </si>
  <si>
    <t>5 May Brett 136.02 3,453.94</t>
  </si>
  <si>
    <t>Brett 136.02 3,453.94</t>
  </si>
  <si>
    <t>OO_Monthly OO_Monthly 3,338.84 115.10</t>
  </si>
  <si>
    <t>15 May ePayment From:Brett Hofman REF: 6,200.00 6,315.10</t>
  </si>
  <si>
    <t>IO_Monthly IO_Monthly 2,623.79 3,691.31</t>
  </si>
  <si>
    <r>
      <t xml:space="preserve">2 Jun Arrear Chase TRANSFER TO 814282 50503609 Hofman Brett 227.96 5 Jun </t>
    </r>
    <r>
      <rPr>
        <sz val="8"/>
        <color rgb="FFFFFFFF"/>
        <rFont val="Helvetica"/>
        <family val="2"/>
      </rPr>
      <t xml:space="preserve">5 Jun </t>
    </r>
    <r>
      <rPr>
        <sz val="8"/>
        <color rgb="FF000000"/>
        <rFont val="Helvetica"/>
        <family val="2"/>
      </rPr>
      <t>Loan Repay TRANSFER TO 814282 51001645 Hofman Brett REF:</t>
    </r>
  </si>
  <si>
    <t>OO_Monthly OO_Monthly 3,338.84 124.51</t>
  </si>
  <si>
    <t>17 Jun ePayment From:Brett Hofman REF: 6,200.00 6,324.51</t>
  </si>
  <si>
    <r>
      <t xml:space="preserve">1 Jul </t>
    </r>
    <r>
      <rPr>
        <sz val="8"/>
        <color rgb="FF000000"/>
        <rFont val="Helvetica"/>
        <family val="2"/>
      </rPr>
      <t xml:space="preserve">1 Jul </t>
    </r>
    <r>
      <rPr>
        <sz val="8"/>
        <color rgb="FFFFFFFF"/>
        <rFont val="Helvetica"/>
        <family val="2"/>
      </rPr>
      <t>Loan Repay TRANSFER TO 814282 50503609 Hofman Brett REF:</t>
    </r>
  </si>
  <si>
    <t>IO_Monthly IO_Monthly 2,623.79 3,700.72</t>
  </si>
  <si>
    <r>
      <t xml:space="preserve">2 Jul Arrear Chase TRANSFER TO 814282 50503609 Hofman Brett 136.02 </t>
    </r>
    <r>
      <rPr>
        <sz val="8"/>
        <color rgb="FFFFFFFF"/>
        <rFont val="Helvetica"/>
        <family val="2"/>
      </rPr>
      <t>2 Jul Arrear Chase TRANSFER TO 814282 50503609 Hofman Brett 136.02 3,564.70</t>
    </r>
  </si>
  <si>
    <t>OO_Monthly OO_Monthly 3,338.84 225.86</t>
  </si>
  <si>
    <r>
      <t xml:space="preserve">15 Jul ePayment From:Brett Hofman REF: Mortgage August </t>
    </r>
    <r>
      <rPr>
        <sz val="8"/>
        <color rgb="FFFFFFFF"/>
        <rFont val="Helvetica"/>
        <family val="2"/>
      </rPr>
      <t xml:space="preserve">15 Jul ePayment From:Brett Hofman REF: Mortgage August </t>
    </r>
    <r>
      <rPr>
        <sz val="8"/>
        <color rgb="FF000000"/>
        <rFont val="Helvetica"/>
        <family val="2"/>
      </rPr>
      <t>6,200.00 6,425.86</t>
    </r>
  </si>
  <si>
    <t>6,200.00 6,425.86</t>
  </si>
  <si>
    <t>21 Jul CLOSING BALANCE 6,425.86</t>
  </si>
  <si>
    <t>22 Jan OPENING BALANCE 8,875.77</t>
  </si>
  <si>
    <r>
      <t xml:space="preserve">31 Jan Interest Paid </t>
    </r>
    <r>
      <rPr>
        <sz val="8"/>
        <color rgb="FF000000"/>
        <rFont val="Helvetica"/>
        <family val="2"/>
      </rPr>
      <t xml:space="preserve">31 Jan Interest Paid </t>
    </r>
    <r>
      <rPr>
        <sz val="8"/>
        <color rgb="FFFFFFFF"/>
        <rFont val="Helvetica"/>
        <family val="2"/>
      </rPr>
      <t>0.75 8,876.52</t>
    </r>
  </si>
  <si>
    <t>0.75 8,876.52</t>
  </si>
  <si>
    <t>29 Feb Interest Paid 0.70 8,877.22</t>
  </si>
  <si>
    <r>
      <t xml:space="preserve">31 Mar Interest Paid </t>
    </r>
    <r>
      <rPr>
        <sz val="8"/>
        <color rgb="FF000000"/>
        <rFont val="Helvetica"/>
        <family val="2"/>
      </rPr>
      <t xml:space="preserve">31 Mar Interest Paid </t>
    </r>
    <r>
      <rPr>
        <sz val="8"/>
        <color rgb="FFFFFFFF"/>
        <rFont val="Helvetica"/>
        <family val="2"/>
      </rPr>
      <t>0.75 8,877.97</t>
    </r>
  </si>
  <si>
    <t>0.75 8,877.97</t>
  </si>
  <si>
    <t>30 Apr Interest Paid 0.73 8,878.70</t>
  </si>
  <si>
    <r>
      <t xml:space="preserve">31 May Interest Paid </t>
    </r>
    <r>
      <rPr>
        <sz val="8"/>
        <color rgb="FF000000"/>
        <rFont val="Helvetica"/>
        <family val="2"/>
      </rPr>
      <t xml:space="preserve">31 May Interest Paid </t>
    </r>
    <r>
      <rPr>
        <sz val="8"/>
        <color rgb="FFFFFFFF"/>
        <rFont val="Helvetica"/>
        <family val="2"/>
      </rPr>
      <t>0.75 8,879.45</t>
    </r>
  </si>
  <si>
    <t>0.75 8,879.45</t>
  </si>
  <si>
    <t>28 Jun BPAY BPAY WA TRANSPORT DVS REF: 20240628114644858 193.65 8,685.80</t>
  </si>
  <si>
    <r>
      <t xml:space="preserve">30 Jun Interest Paid </t>
    </r>
    <r>
      <rPr>
        <sz val="8"/>
        <color rgb="FF000000"/>
        <rFont val="Helvetica"/>
        <family val="2"/>
      </rPr>
      <t xml:space="preserve">30 Jun Interest Paid </t>
    </r>
    <r>
      <rPr>
        <sz val="8"/>
        <color rgb="FFFFFFFF"/>
        <rFont val="Helvetica"/>
        <family val="2"/>
      </rPr>
      <t>0.73 8,686.53</t>
    </r>
  </si>
  <si>
    <t>0.73 8,686.53</t>
  </si>
  <si>
    <t>21 Jul CLOSING BALANCE 8,686.53</t>
  </si>
  <si>
    <t>E-1887/S-89670/I-166062</t>
  </si>
  <si>
    <t>Interest Paid $4.41 $0.00 $36.92</t>
  </si>
  <si>
    <t>31 Jan Interest Charged 2,851.75 474,407.53</t>
  </si>
  <si>
    <t>1 Feb Loan Repay REF: IO_Monthly IO_Monthly From: Hofman Brett 2,623.79 471,783.74</t>
  </si>
  <si>
    <r>
      <t xml:space="preserve">2 Feb Arrear Chase </t>
    </r>
    <r>
      <rPr>
        <sz val="8"/>
        <color rgb="FF000000"/>
        <rFont val="Helvetica"/>
        <family val="2"/>
      </rPr>
      <t xml:space="preserve">2 Feb Arrear Chase </t>
    </r>
    <r>
      <rPr>
        <sz val="8"/>
        <color rgb="FFFFFFFF"/>
        <rFont val="Helvetica"/>
        <family val="2"/>
      </rPr>
      <t>227.96 471,555.78</t>
    </r>
  </si>
  <si>
    <t>227.96 471,555.78</t>
  </si>
  <si>
    <t>29 Feb Interest Charged 2,667.81 474,223.59</t>
  </si>
  <si>
    <t>1 Mar Loan Repay REF: IO_Monthly IO_Monthly From: Hofman Brett 2,623.79 471,599.80</t>
  </si>
  <si>
    <t>2 Mar Arrear Chase 44.02 471,555.78</t>
  </si>
  <si>
    <t>31 Mar Interest Charged 2,851.76 474,407.54</t>
  </si>
  <si>
    <t>1 Apr Loan Repay REF: IO_Monthly IO_Monthly From: Hofman Brett 2,623.79 471,783.75</t>
  </si>
  <si>
    <r>
      <t xml:space="preserve">2 Apr Arrear Chase </t>
    </r>
    <r>
      <rPr>
        <sz val="8"/>
        <color rgb="FF000000"/>
        <rFont val="Helvetica"/>
        <family val="2"/>
      </rPr>
      <t xml:space="preserve">2 Apr Arrear Chase </t>
    </r>
    <r>
      <rPr>
        <sz val="8"/>
        <color rgb="FFFFFFFF"/>
        <rFont val="Helvetica"/>
        <family val="2"/>
      </rPr>
      <t>227.97 471,555.78</t>
    </r>
  </si>
  <si>
    <t>227.97 471,555.78</t>
  </si>
  <si>
    <t>30 Apr Interest Charged 2,759.81 474,315.59</t>
  </si>
  <si>
    <t>1 May Loan Repay REF: IO_Monthly IO_Monthly From: Hofman Brett 2,623.79 471,691.80</t>
  </si>
  <si>
    <t>1 May Credit Transfer 136.02 471,555.78</t>
  </si>
  <si>
    <t>31 May Interest Charged 2,851.75 474,407.53</t>
  </si>
  <si>
    <t>1 Jun Loan Repay REF: IO_Monthly IO_Monthly From: Hofman Brett 2,623.79 471,783.74</t>
  </si>
  <si>
    <r>
      <t xml:space="preserve">2 Jun Arrear Chase </t>
    </r>
    <r>
      <rPr>
        <sz val="8"/>
        <color rgb="FF000000"/>
        <rFont val="Helvetica"/>
        <family val="2"/>
      </rPr>
      <t xml:space="preserve">2 Jun Arrear Chase </t>
    </r>
    <r>
      <rPr>
        <sz val="8"/>
        <color rgb="FFFFFFFF"/>
        <rFont val="Helvetica"/>
        <family val="2"/>
      </rPr>
      <t>227.96 471,555.78</t>
    </r>
  </si>
  <si>
    <t>30 Jun Interest Charged 2,759.81 474,315.59</t>
  </si>
  <si>
    <t>1 Jul Loan Repay REF: IO_Monthly IO_Monthly From: Hofman Brett 2,623.79 471,691.80</t>
  </si>
  <si>
    <t>2 Jul Arrear Chase 136.02 471,555.78</t>
  </si>
  <si>
    <t>Interest Charged -$16,742.69 $0.00 -$33,276.35</t>
  </si>
  <si>
    <t>E-1887/S-89671/I-166063</t>
  </si>
  <si>
    <t>22 Jan OPENING BALANCE 783,378.36</t>
  </si>
  <si>
    <t>31 Jan Interest Charged 1,307.85 784,686.21</t>
  </si>
  <si>
    <t>5 Feb Loan Repay REF: OO_Monthly OO_Monthly From: Hofman Brett 3,338.84 781,347.37</t>
  </si>
  <si>
    <t>29 Feb Interest Charged 1,220.35 782,567.72</t>
  </si>
  <si>
    <t>5 Mar Loan Repay REF: OO_Monthly OO_Monthly From: Hofman Brett 3,338.84 779,228.88</t>
  </si>
  <si>
    <t>31 Mar Interest Charged 1,300.92 780,529.80</t>
  </si>
  <si>
    <t>5 Apr Loan Repay REF: OO_Monthly OO_Monthly From: Hofman Brett 3,338.84 777,190.96</t>
  </si>
  <si>
    <t>30 Apr Interest Charged 1,255.69 778,446.65</t>
  </si>
  <si>
    <t>5 May Loan Repay REF: OO_Monthly OO_Monthly From: Hofman Brett 3,338.84 775,107.81</t>
  </si>
  <si>
    <t>31 May Interest Charged 1,294.05 776,401.86</t>
  </si>
  <si>
    <t>5 Jun Loan Repay REF: OO_Monthly OO_Monthly From: Hofman Brett 3,338.84 773,063.02</t>
  </si>
  <si>
    <t>30 Jun Interest Charged 1,249.03 774,312.05</t>
  </si>
  <si>
    <t>5 Jul Loan Repay REF: OO_Monthly OO_Monthly From: Hofman Brett 3,338.84 770,973.21</t>
  </si>
  <si>
    <t>21 Jul CLOSING BALANCE 770,973.21</t>
  </si>
  <si>
    <t>Interest Charged -$7,627.89 $0.00 -$15,448.09</t>
  </si>
  <si>
    <t>E-1887/S-89671/I-166064</t>
  </si>
  <si>
    <t>Issue date: 21/01/2025</t>
  </si>
  <si>
    <t>$6,425.86 </t>
  </si>
  <si>
    <t>$45,881.17 </t>
  </si>
  <si>
    <t>$44,316.66 </t>
  </si>
  <si>
    <t>$8,686.53 </t>
  </si>
  <si>
    <t>$1,604.35 </t>
  </si>
  <si>
    <t>$1,600.00 </t>
  </si>
  <si>
    <t>$16,547.24 </t>
  </si>
  <si>
    <t>$16,439.13 </t>
  </si>
  <si>
    <t>51001645 Offset Variable OO P&amp;I -$770,973.21 $23,869.42 $12,327.73 -$759,431.52</t>
  </si>
  <si>
    <r>
      <t xml:space="preserve">Statement period: </t>
    </r>
    <r>
      <rPr>
        <sz val="9"/>
        <color rgb="FF000000"/>
        <rFont val="Helvetica"/>
        <family val="2"/>
      </rPr>
      <t>22 JUL 2024 To 21 JAN 2025</t>
    </r>
  </si>
  <si>
    <r>
      <t xml:space="preserve">Account: </t>
    </r>
    <r>
      <rPr>
        <sz val="6"/>
        <color rgb="FF000000"/>
        <rFont val="Helvetica"/>
        <family val="2"/>
      </rPr>
      <t>E-1761/S-105249/I-196603 EM. 1761NNNNNN 9018614</t>
    </r>
  </si>
  <si>
    <r>
      <t xml:space="preserve">Date Description </t>
    </r>
    <r>
      <rPr>
        <sz val="8"/>
        <color rgb="FF000000"/>
        <rFont val="Helvetica"/>
        <family val="2"/>
      </rPr>
      <t xml:space="preserve">22 Jul OPENING BALANCE </t>
    </r>
    <r>
      <rPr>
        <sz val="8"/>
        <color rgb="FFFFFFFF"/>
        <rFont val="Helvetica"/>
        <family val="2"/>
      </rPr>
      <t xml:space="preserve">1 Aug </t>
    </r>
    <r>
      <rPr>
        <sz val="8"/>
        <color rgb="FF000000"/>
        <rFont val="Helvetica"/>
        <family val="2"/>
      </rPr>
      <t xml:space="preserve">1 Aug </t>
    </r>
    <r>
      <rPr>
        <sz val="8"/>
        <color rgb="FFFFFFFF"/>
        <rFont val="Helvetica"/>
        <family val="2"/>
      </rPr>
      <t xml:space="preserve">IO_Monthly IO_Monthly </t>
    </r>
    <r>
      <rPr>
        <sz val="8"/>
        <color rgb="FF000000"/>
        <rFont val="Helvetica"/>
        <family val="2"/>
      </rPr>
      <t>IO_Monthly IO_Monthly 1 Aug FREE TXNS UNLIMITED</t>
    </r>
  </si>
  <si>
    <r>
      <t xml:space="preserve">1 Aug </t>
    </r>
    <r>
      <rPr>
        <sz val="8"/>
        <color rgb="FF000000"/>
        <rFont val="Helvetica"/>
        <family val="2"/>
      </rPr>
      <t xml:space="preserve">1 Aug Brett </t>
    </r>
    <r>
      <rPr>
        <sz val="8"/>
        <color rgb="FFFFFFFF"/>
        <rFont val="Helvetica"/>
        <family val="2"/>
      </rPr>
      <t xml:space="preserve">Brett </t>
    </r>
    <r>
      <rPr>
        <sz val="8"/>
        <color rgb="FF000000"/>
        <rFont val="Helvetica"/>
        <family val="2"/>
      </rPr>
      <t xml:space="preserve">5 Aug OO_Monthly OO_Monthly 21 Aug ePayment From:Brett Hofman </t>
    </r>
    <r>
      <rPr>
        <sz val="8"/>
        <color rgb="FFFFFFFF"/>
        <rFont val="Helvetica"/>
        <family val="2"/>
      </rPr>
      <t xml:space="preserve">21 Aug ePayment From:Brett Hofman </t>
    </r>
    <r>
      <rPr>
        <sz val="8"/>
        <color rgb="FF000000"/>
        <rFont val="Helvetica"/>
        <family val="2"/>
      </rPr>
      <t>1 Sep IO_Monthly IO_Monthly 1 Sep FREE TXNS UNLIMITED</t>
    </r>
  </si>
  <si>
    <t>50455259 Brett William Hofman, Laura Nicole Hofman </t>
  </si>
  <si>
    <t>2,623.79 2,623.79 </t>
  </si>
  <si>
    <t>227.99 227.99 </t>
  </si>
  <si>
    <t>3,338.84 </t>
  </si>
  <si>
    <t>REF: September Mortgage REF: September Mortgage Loan Repay TRANSFER TO 814282 50503609 Hofman Brett REF:</t>
  </si>
  <si>
    <t>2,623.79 </t>
  </si>
  <si>
    <t>6,200.00 6,435.24</t>
  </si>
  <si>
    <t>2 Sep Arrear Chase TRANSFER TO 814282 50503609 Hofman Brett 227.96 </t>
  </si>
  <si>
    <r>
      <t xml:space="preserve">5 Sep </t>
    </r>
    <r>
      <rPr>
        <sz val="8"/>
        <color rgb="FF000000"/>
        <rFont val="Helvetica"/>
        <family val="2"/>
      </rPr>
      <t xml:space="preserve">5 Sep </t>
    </r>
    <r>
      <rPr>
        <sz val="8"/>
        <color rgb="FFFFFFFF"/>
        <rFont val="Helvetica"/>
        <family val="2"/>
      </rPr>
      <t>Loan Repay TRANSFER TO 814282 51001645 Hofman Brett REF:</t>
    </r>
  </si>
  <si>
    <t>OO_Monthly OO_Monthly 3,338.84 244.65</t>
  </si>
  <si>
    <t>9 Sep ePayment From:Brett Hofman REF: Mortgage OCT 6,100.00 6,344.65</t>
  </si>
  <si>
    <r>
      <t xml:space="preserve">1 Oct </t>
    </r>
    <r>
      <rPr>
        <sz val="8"/>
        <color rgb="FF000000"/>
        <rFont val="Helvetica"/>
        <family val="2"/>
      </rPr>
      <t xml:space="preserve">1 Oct </t>
    </r>
    <r>
      <rPr>
        <sz val="8"/>
        <color rgb="FFFFFFFF"/>
        <rFont val="Helvetica"/>
        <family val="2"/>
      </rPr>
      <t>Loan Repay TRANSFER TO 814282 50503609 Hofman Brett REF:</t>
    </r>
  </si>
  <si>
    <r>
      <t xml:space="preserve">5 Oct </t>
    </r>
    <r>
      <rPr>
        <sz val="8"/>
        <color rgb="FFFFFFFF"/>
        <rFont val="Helvetica"/>
        <family val="2"/>
      </rPr>
      <t>IO_Monthly IO_Monthly 2,623.79 3,720.86</t>
    </r>
  </si>
  <si>
    <t>IO_Monthly IO_Monthly 2,623.79 3,720.86</t>
  </si>
  <si>
    <r>
      <t xml:space="preserve">2 Oct Arrear Chase TRANSFER TO 814282 50503609 Hofman Brett 136.02 </t>
    </r>
    <r>
      <rPr>
        <sz val="8"/>
        <color rgb="FFFFFFFF"/>
        <rFont val="Helvetica"/>
        <family val="2"/>
      </rPr>
      <t>2 Oct Arrear Chase TRANSFER TO 814282 50503609 Hofman Brett 136.02 3,584.84</t>
    </r>
  </si>
  <si>
    <t>OO_Monthly OO_Monthly 3,338.84 246.00</t>
  </si>
  <si>
    <r>
      <t xml:space="preserve">17 Oct ePayment From:Brett Hofman REF: November Mortgage </t>
    </r>
    <r>
      <rPr>
        <sz val="8"/>
        <color rgb="FFFFFFFF"/>
        <rFont val="Helvetica"/>
        <family val="2"/>
      </rPr>
      <t xml:space="preserve">17 Oct ePayment From:Brett Hofman REF: November Mortgage </t>
    </r>
    <r>
      <rPr>
        <sz val="8"/>
        <color rgb="FF000000"/>
        <rFont val="Helvetica"/>
        <family val="2"/>
      </rPr>
      <t>6,200.00 6,446.00</t>
    </r>
  </si>
  <si>
    <t>6,200.00 6,446.00</t>
  </si>
  <si>
    <t>23 Oct GSB Refund From:GSB REF: HL Offset Refund 0.35 6,446.35</t>
  </si>
  <si>
    <r>
      <t xml:space="preserve">1 Nov </t>
    </r>
    <r>
      <rPr>
        <sz val="8"/>
        <color rgb="FFFFFFFF"/>
        <rFont val="Helvetica"/>
        <family val="2"/>
      </rPr>
      <t xml:space="preserve">1 Nov </t>
    </r>
    <r>
      <rPr>
        <sz val="8"/>
        <color rgb="FF000000"/>
        <rFont val="Helvetica"/>
        <family val="2"/>
      </rPr>
      <t>Loan Repay TRANSFER TO 814282 50503609 Hofman Brett REF:</t>
    </r>
  </si>
  <si>
    <t>IO_Monthly IO_Monthly 2,623.79 3,822.56</t>
  </si>
  <si>
    <r>
      <t xml:space="preserve">2 Nov Arrear Chase TRANSFER TO 814282 50503609 Hofman Brett 212.53 </t>
    </r>
    <r>
      <rPr>
        <sz val="8"/>
        <color rgb="FFFFFFFF"/>
        <rFont val="Helvetica"/>
        <family val="2"/>
      </rPr>
      <t>2 Nov Arrear Chase TRANSFER TO 814282 50503609 Hofman Brett 212.53 3,610.03</t>
    </r>
  </si>
  <si>
    <t>OO_Monthly OO_Monthly 3,338.84 271.19</t>
  </si>
  <si>
    <r>
      <t xml:space="preserve">11 Nov Fast Pymt In </t>
    </r>
    <r>
      <rPr>
        <sz val="8"/>
        <color rgb="FFFFFFFF"/>
        <rFont val="Helvetica"/>
        <family val="2"/>
      </rPr>
      <t xml:space="preserve">11 Nov Fast Pymt In </t>
    </r>
    <r>
      <rPr>
        <sz val="8"/>
        <color rgb="FF000000"/>
        <rFont val="Helvetica"/>
        <family val="2"/>
      </rPr>
      <t>500.00 771.19</t>
    </r>
  </si>
  <si>
    <t>500.00 771.19</t>
  </si>
  <si>
    <t>12 Nov VARIATION FEE SWITCH FEE 300.00 471.19</t>
  </si>
  <si>
    <r>
      <t xml:space="preserve">14 Nov ePayment From:Brett Hofman REF: December Mortgage </t>
    </r>
    <r>
      <rPr>
        <sz val="8"/>
        <color rgb="FFFFFFFF"/>
        <rFont val="Helvetica"/>
        <family val="2"/>
      </rPr>
      <t xml:space="preserve">14 Nov ePayment From:Brett Hofman REF: December Mortgage </t>
    </r>
    <r>
      <rPr>
        <sz val="8"/>
        <color rgb="FF000000"/>
        <rFont val="Helvetica"/>
        <family val="2"/>
      </rPr>
      <t>7,900.00 8,371.19</t>
    </r>
  </si>
  <si>
    <t>7,900.00 8,371.19</t>
  </si>
  <si>
    <t>IO_Monthly IO_Monthly 2,623.79 5,747.40</t>
  </si>
  <si>
    <t>OO_Monthly OO_Monthly 3,338.84 2,408.56</t>
  </si>
  <si>
    <r>
      <t xml:space="preserve">5 Dec </t>
    </r>
    <r>
      <rPr>
        <sz val="8"/>
        <color rgb="FF000000"/>
        <rFont val="Helvetica"/>
        <family val="2"/>
      </rPr>
      <t>5 Dec TXN INITIATED BY-9018614 TRANSFER TO 814282 51001645 Hofman</t>
    </r>
  </si>
  <si>
    <r>
      <t xml:space="preserve">2,000.00 </t>
    </r>
    <r>
      <rPr>
        <sz val="8"/>
        <color rgb="FF000000"/>
        <rFont val="Helvetica"/>
        <family val="2"/>
      </rPr>
      <t xml:space="preserve">2,000.00 </t>
    </r>
    <r>
      <rPr>
        <sz val="8"/>
        <color rgb="FFFFFFFF"/>
        <rFont val="Helvetica"/>
        <family val="2"/>
      </rPr>
      <t>Brett 1,918.19 490.37</t>
    </r>
  </si>
  <si>
    <t>Brett 1,918.19 490.37</t>
  </si>
  <si>
    <t>1,600.00 2,090.37</t>
  </si>
  <si>
    <r>
      <t xml:space="preserve">9 Dec From: Hofman Brett 9 Dec Fast Pymt Out RWC Flights Brett W Hofman </t>
    </r>
    <r>
      <rPr>
        <sz val="8"/>
        <color rgb="FFFFFFFF"/>
        <rFont val="Helvetica"/>
        <family val="2"/>
      </rPr>
      <t>9 Dec Fast Pymt Out RWC Flights Brett W Hofman 90.37</t>
    </r>
  </si>
  <si>
    <t>14 Dec Fast Pymt In 1,600.00 1,690.37</t>
  </si>
  <si>
    <t>14 Dec REF:Len repay</t>
  </si>
  <si>
    <t>14 Dec TXN INITIATED BY-9018614 TRANSFER TO 814282 50456034 Hofman</t>
  </si>
  <si>
    <t>Brett 1,600.00 90.37</t>
  </si>
  <si>
    <r>
      <t xml:space="preserve">16 Dec ePayment From:Brett Hofman REF: Mortgage Jan </t>
    </r>
    <r>
      <rPr>
        <sz val="8"/>
        <color rgb="FFFFFFFF"/>
        <rFont val="Helvetica"/>
        <family val="2"/>
      </rPr>
      <t xml:space="preserve">16 Dec ePayment From:Brett Hofman REF: Mortgage Jan </t>
    </r>
    <r>
      <rPr>
        <sz val="8"/>
        <color rgb="FF000000"/>
        <rFont val="Helvetica"/>
        <family val="2"/>
      </rPr>
      <t>7,900.00 7,990.37</t>
    </r>
  </si>
  <si>
    <t>7,900.00 7,990.37</t>
  </si>
  <si>
    <t>1 Jan Loan Repay TRANSFER TO 814282 50503609 Hofman Brett REF:</t>
  </si>
  <si>
    <t>IO_Monthly IO_Monthly 2,623.79 5,366.58</t>
  </si>
  <si>
    <t>5 Jan Loan Repay TRANSFER TO 814282 51001645 Hofman Brett REF:</t>
  </si>
  <si>
    <t>OO_Monthly OO_Monthly 5,257.03 109.55</t>
  </si>
  <si>
    <r>
      <t xml:space="preserve">15 Jan ePayment From:Brett Hofman REF: Jan Mortgage </t>
    </r>
    <r>
      <rPr>
        <sz val="8"/>
        <color rgb="FFFFFFFF"/>
        <rFont val="Helvetica"/>
        <family val="2"/>
      </rPr>
      <t xml:space="preserve">15 Jan ePayment From:Brett Hofman REF: Jan Mortgage </t>
    </r>
    <r>
      <rPr>
        <sz val="8"/>
        <color rgb="FF000000"/>
        <rFont val="Helvetica"/>
        <family val="2"/>
      </rPr>
      <t>7,880.82 7,990.37</t>
    </r>
  </si>
  <si>
    <t>7,880.82 7,990.37</t>
  </si>
  <si>
    <t>21 Jan CLOSING BALANCE 7,990.37</t>
  </si>
  <si>
    <t>E-1761/S-105249/I-196604</t>
  </si>
  <si>
    <t>22 Jul OPENING BALANCE 8,686.53</t>
  </si>
  <si>
    <r>
      <t xml:space="preserve">31 Jul Interest Paid </t>
    </r>
    <r>
      <rPr>
        <sz val="8"/>
        <color rgb="FF000000"/>
        <rFont val="Helvetica"/>
        <family val="2"/>
      </rPr>
      <t xml:space="preserve">31 Jul Interest Paid </t>
    </r>
    <r>
      <rPr>
        <sz val="8"/>
        <color rgb="FFFFFFFF"/>
        <rFont val="Helvetica"/>
        <family val="2"/>
      </rPr>
      <t>0.74 8,687.27</t>
    </r>
  </si>
  <si>
    <t>0.74 8,687.27</t>
  </si>
  <si>
    <t>31 Aug Interest Paid 0.74 8,688.01</t>
  </si>
  <si>
    <r>
      <t xml:space="preserve">30 Sep Interest Paid </t>
    </r>
    <r>
      <rPr>
        <sz val="8"/>
        <color rgb="FF000000"/>
        <rFont val="Helvetica"/>
        <family val="2"/>
      </rPr>
      <t xml:space="preserve">30 Sep Interest Paid </t>
    </r>
    <r>
      <rPr>
        <sz val="8"/>
        <color rgb="FFFFFFFF"/>
        <rFont val="Helvetica"/>
        <family val="2"/>
      </rPr>
      <t>0.71 8,688.72</t>
    </r>
  </si>
  <si>
    <t>0.71 8,688.72</t>
  </si>
  <si>
    <t>31 Oct Interest Paid 0.74 8,689.46</t>
  </si>
  <si>
    <r>
      <t xml:space="preserve">30 Nov Interest Paid </t>
    </r>
    <r>
      <rPr>
        <sz val="8"/>
        <color rgb="FF000000"/>
        <rFont val="Helvetica"/>
        <family val="2"/>
      </rPr>
      <t xml:space="preserve">30 Nov Interest Paid </t>
    </r>
    <r>
      <rPr>
        <sz val="8"/>
        <color rgb="FFFFFFFF"/>
        <rFont val="Helvetica"/>
        <family val="2"/>
      </rPr>
      <t>0.71 8,690.17</t>
    </r>
  </si>
  <si>
    <t>0.71 8,690.17</t>
  </si>
  <si>
    <t>9 Dec TXN INITIATED BY-9018614 TRANSFER TO 814282 50455259 Hofman</t>
  </si>
  <si>
    <t>Brett 1,600.00 7,090.17</t>
  </si>
  <si>
    <r>
      <t xml:space="preserve">14 Dec From: Hofman Brett </t>
    </r>
    <r>
      <rPr>
        <sz val="8"/>
        <color rgb="FF000000"/>
        <rFont val="Helvetica"/>
        <family val="2"/>
      </rPr>
      <t xml:space="preserve">14 Dec From: Hofman Brett </t>
    </r>
    <r>
      <rPr>
        <sz val="8"/>
        <color rgb="FFFFFFFF"/>
        <rFont val="Helvetica"/>
        <family val="2"/>
      </rPr>
      <t>1,600.00 8,690.17</t>
    </r>
  </si>
  <si>
    <t>1,600.00 8,690.17</t>
  </si>
  <si>
    <t>31 Dec Interest Paid 0.71 8,690.88</t>
  </si>
  <si>
    <t>21 Jan CLOSING BALANCE 8,690.88</t>
  </si>
  <si>
    <t>Interest Paid $4.35 $4.35 $36.92</t>
  </si>
  <si>
    <r>
      <t xml:space="preserve">Account: </t>
    </r>
    <r>
      <rPr>
        <sz val="9"/>
        <color rgb="FF000000"/>
        <rFont val="Helvetica"/>
        <family val="2"/>
      </rPr>
      <t xml:space="preserve">50503609 Brett William Hofman, Laura Nicole Hofman </t>
    </r>
    <r>
      <rPr>
        <sz val="8"/>
        <color rgb="FF000000"/>
        <rFont val="Helvetica"/>
        <family val="2"/>
      </rPr>
      <t>CURRENT INTEREST RATE 6.54% P.A.</t>
    </r>
  </si>
  <si>
    <t>31 Jul Interest Charged 2,851.78 474,407.56</t>
  </si>
  <si>
    <t>1 Aug Loan Repay REF: IO_Monthly IO_Monthly From: Hofman Brett 2,623.79 471,783.77</t>
  </si>
  <si>
    <r>
      <t xml:space="preserve">1 Aug Credit Transfer </t>
    </r>
    <r>
      <rPr>
        <sz val="8"/>
        <color rgb="FF000000"/>
        <rFont val="Helvetica"/>
        <family val="2"/>
      </rPr>
      <t xml:space="preserve">1 Aug Credit Transfer </t>
    </r>
    <r>
      <rPr>
        <sz val="8"/>
        <color rgb="FFFFFFFF"/>
        <rFont val="Helvetica"/>
        <family val="2"/>
      </rPr>
      <t>227.99 471,555.78</t>
    </r>
  </si>
  <si>
    <t>227.99 471,555.78</t>
  </si>
  <si>
    <t>31 Aug Interest Charged 2,851.75 474,407.53</t>
  </si>
  <si>
    <t>1 Sep Loan Repay REF: IO_Monthly IO_Monthly From: Hofman Brett 2,623.79 471,783.74</t>
  </si>
  <si>
    <t>2 Sep Arrear Chase 227.96 471,555.78</t>
  </si>
  <si>
    <t>30 Sep Interest Charged 2,759.81 474,315.59</t>
  </si>
  <si>
    <t>1 Oct Loan Repay REF: IO_Monthly IO_Monthly From: Hofman Brett 2,623.79 471,691.80</t>
  </si>
  <si>
    <r>
      <t xml:space="preserve">2 Oct Arrear Chase </t>
    </r>
    <r>
      <rPr>
        <sz val="8"/>
        <color rgb="FF000000"/>
        <rFont val="Helvetica"/>
        <family val="2"/>
      </rPr>
      <t xml:space="preserve">2 Oct Arrear Chase </t>
    </r>
    <r>
      <rPr>
        <sz val="8"/>
        <color rgb="FFFFFFFF"/>
        <rFont val="Helvetica"/>
        <family val="2"/>
      </rPr>
      <t>136.02 471,555.78</t>
    </r>
  </si>
  <si>
    <t>136.02 471,555.78</t>
  </si>
  <si>
    <t>30 Oct ACT TYPE CHG Basic Inv IO TO Standard Variab</t>
  </si>
  <si>
    <r>
      <t xml:space="preserve">30 Oct </t>
    </r>
    <r>
      <rPr>
        <sz val="8"/>
        <color rgb="FF000000"/>
        <rFont val="Helvetica"/>
        <family val="2"/>
      </rPr>
      <t xml:space="preserve">30 Oct </t>
    </r>
    <r>
      <rPr>
        <sz val="8"/>
        <color rgb="FFFFFFFF"/>
        <rFont val="Helvetica"/>
        <family val="2"/>
      </rPr>
      <t>RATE CHANGED FM 7.14 % TO 9.24 %</t>
    </r>
  </si>
  <si>
    <t>RATE CHANGED FM 7.14 % TO 9.24 %</t>
  </si>
  <si>
    <t>30 Oct ACT TYPE CHG Standard Variab TO Basic Inv IO</t>
  </si>
  <si>
    <r>
      <t xml:space="preserve">30 Oct </t>
    </r>
    <r>
      <rPr>
        <sz val="8"/>
        <color rgb="FF000000"/>
        <rFont val="Helvetica"/>
        <family val="2"/>
      </rPr>
      <t xml:space="preserve">30 Oct </t>
    </r>
    <r>
      <rPr>
        <sz val="8"/>
        <color rgb="FFFFFFFF"/>
        <rFont val="Helvetica"/>
        <family val="2"/>
      </rPr>
      <t>RATE CHANGED FM 9.24 % TO 6.54 %</t>
    </r>
  </si>
  <si>
    <t>RATE CHANGED FM 9.24 % TO 6.54 %</t>
  </si>
  <si>
    <t>31 Oct Interest Charged 2,836.32 474,392.10</t>
  </si>
  <si>
    <t>1 Nov Loan Repay REF: IO_Monthly IO_Monthly From: Hofman Brett 2,623.79 471,768.31</t>
  </si>
  <si>
    <t>2 Nov Arrear Chase 212.53 471,555.78</t>
  </si>
  <si>
    <t>30 Nov Interest Charged 2,527.89 474,083.67</t>
  </si>
  <si>
    <t>1 Dec Loan Repay REF: IO_Monthly IO_Monthly From: Hofman Brett 2,623.79 471,459.88</t>
  </si>
  <si>
    <t>31 Dec Interest Charged 2,611.58 474,071.46</t>
  </si>
  <si>
    <t>1 Jan Loan Repay REF: IO_Monthly IO_Monthly From: Hofman Brett 2,623.79 471,447.67</t>
  </si>
  <si>
    <t>21 Jan CLOSING BALANCE 471,447.67</t>
  </si>
  <si>
    <t>Interest Charged -$16,439.13 -$16,439.13 -$33,276.35</t>
  </si>
  <si>
    <t>E-1761/S-105250/I-196605</t>
  </si>
  <si>
    <r>
      <t xml:space="preserve">Account name: </t>
    </r>
    <r>
      <rPr>
        <sz val="9"/>
        <color rgb="FF000000"/>
        <rFont val="Helvetica"/>
        <family val="2"/>
      </rPr>
      <t>Offset Variable OO P&amp;I</t>
    </r>
  </si>
  <si>
    <r>
      <t xml:space="preserve">Product name: </t>
    </r>
    <r>
      <rPr>
        <sz val="9"/>
        <color rgb="FF000000"/>
        <rFont val="Helvetica"/>
        <family val="2"/>
      </rPr>
      <t>Offset Variable OO P&amp;I</t>
    </r>
  </si>
  <si>
    <r>
      <t xml:space="preserve">Account: </t>
    </r>
    <r>
      <rPr>
        <sz val="9"/>
        <color rgb="FF000000"/>
        <rFont val="Helvetica"/>
        <family val="2"/>
      </rPr>
      <t xml:space="preserve">51001645 Brett William Hofman, Laura Nicole Hofman </t>
    </r>
    <r>
      <rPr>
        <sz val="8"/>
        <color rgb="FF000000"/>
        <rFont val="Helvetica"/>
        <family val="2"/>
      </rPr>
      <t>CURRENT INTEREST RATE 6.39% P.A.</t>
    </r>
  </si>
  <si>
    <t>22 Jul OPENING BALANCE 770,973.21</t>
  </si>
  <si>
    <t>31 Jul Interest Charged 1,287.15 772,260.36</t>
  </si>
  <si>
    <t>5 Aug Loan Repay REF: OO_Monthly OO_Monthly From: Hofman Brett 3,338.84 768,921.52</t>
  </si>
  <si>
    <t>31 Aug Interest Charged 1,283.73 770,205.25</t>
  </si>
  <si>
    <t>5 Sep Loan Repay REF: OO_Monthly OO_Monthly From: Hofman Brett 3,338.84 766,866.41</t>
  </si>
  <si>
    <t>30 Sep Interest Charged 1,239.02 768,105.43</t>
  </si>
  <si>
    <t>5 Oct Loan Repay REF: OO_Monthly OO_Monthly From: Hofman Brett 3,338.84 764,766.59</t>
  </si>
  <si>
    <t>31 Oct Interest Charged 1,276.79 766,043.38</t>
  </si>
  <si>
    <t>5 Nov Loan Repay REF: OO_Monthly OO_Monthly From: Hofman Brett 3,338.84 762,704.54</t>
  </si>
  <si>
    <r>
      <t xml:space="preserve">10 Nov </t>
    </r>
    <r>
      <rPr>
        <sz val="8"/>
        <color rgb="FF000000"/>
        <rFont val="Helvetica"/>
        <family val="2"/>
      </rPr>
      <t xml:space="preserve">10 Nov </t>
    </r>
    <r>
      <rPr>
        <sz val="8"/>
        <color rgb="FFFFFFFF"/>
        <rFont val="Helvetica"/>
        <family val="2"/>
      </rPr>
      <t xml:space="preserve">ACT TYPE CHG </t>
    </r>
    <r>
      <rPr>
        <sz val="8"/>
        <color rgb="FF000000"/>
        <rFont val="Helvetica"/>
        <family val="2"/>
      </rPr>
      <t xml:space="preserve">ACT TYPE CHG </t>
    </r>
    <r>
      <rPr>
        <sz val="8"/>
        <color rgb="FFFFFFFF"/>
        <rFont val="Helvetica"/>
        <family val="2"/>
      </rPr>
      <t>3 Yr Fxd OO P&amp;I TO Basic OO P&amp;I</t>
    </r>
  </si>
  <si>
    <t>3 Yr Fxd OO P&amp;I TO Basic OO P&amp;I</t>
  </si>
  <si>
    <t>10 Nov RATE CHANGED FM 1.97 % TO 6.52 %</t>
  </si>
  <si>
    <t>12 Nov ACT TYPE CHG Basic OO P&amp;I TO Offset OO P&amp;I</t>
  </si>
  <si>
    <t>12 Nov RATE CHANGED FM 6.52 % TO 6.39 %</t>
  </si>
  <si>
    <t>30 Nov INT SAVED BY BALANCE OFFSET 24.85</t>
  </si>
  <si>
    <t>30 Nov Interest Charged 3,147.14 765,851.68</t>
  </si>
  <si>
    <t>5 Dec Loan Repay REF: OO_Monthly OO_Monthly From: Hofman Brett 3,338.84 762,512.84</t>
  </si>
  <si>
    <t>5 Dec Credit Transfer 1,918.19 760,594.65</t>
  </si>
  <si>
    <t>31 Dec INT SAVED BY BALANCE OFFSET 26.33</t>
  </si>
  <si>
    <t>31 Dec Interest Charged 4,093.90 764,688.55</t>
  </si>
  <si>
    <t>5 Jan Loan Repay REF: OO_Monthly OO_Monthly From: Hofman Brett 5,257.03 759,431.52</t>
  </si>
  <si>
    <t>21 Jan CLOSING BALANCE 759,431.52</t>
  </si>
  <si>
    <t>Interest Charged -$12,327.73 -$12,327.73 -$15,448.09</t>
  </si>
  <si>
    <t>E-1761/S-105250/I-196606</t>
  </si>
  <si>
    <t>Issue date: 21/07/2025</t>
  </si>
  <si>
    <t>$7,990.37 </t>
  </si>
  <si>
    <t>$342,519.54 $44,841.79 </t>
  </si>
  <si>
    <t>$8,690.88 </t>
  </si>
  <si>
    <t>$3.99 $2,079.51 </t>
  </si>
  <si>
    <t>-$471,447.67 </t>
  </si>
  <si>
    <t>$12,067.86 $14,789.47 </t>
  </si>
  <si>
    <t>51001645 Offset Variable OO P&amp;I -$759,431.52 $31,542.18 $21,677.31 -$749,566.65</t>
  </si>
  <si>
    <t>E-3228/S-94704/I-177272EM. 3228NNNNNN 9018614</t>
  </si>
  <si>
    <r>
      <t xml:space="preserve">Statement period: </t>
    </r>
    <r>
      <rPr>
        <sz val="9"/>
        <color rgb="FF000000"/>
        <rFont val="Helvetica"/>
        <family val="2"/>
      </rPr>
      <t>22 JAN 2025 To 21 JUL 2025</t>
    </r>
  </si>
  <si>
    <r>
      <t xml:space="preserve">Account: </t>
    </r>
    <r>
      <rPr>
        <sz val="9"/>
        <color rgb="FF000000"/>
        <rFont val="Helvetica"/>
        <family val="2"/>
      </rPr>
      <t xml:space="preserve">50455259 Brett William Hofman, Laura Nicole Hofman </t>
    </r>
    <r>
      <rPr>
        <sz val="8"/>
        <color rgb="FF15A3B5"/>
        <rFont val="Helvetica"/>
        <family val="2"/>
      </rPr>
      <t xml:space="preserve">Date Description </t>
    </r>
    <r>
      <rPr>
        <sz val="8"/>
        <color rgb="FF000000"/>
        <rFont val="Helvetica"/>
        <family val="2"/>
      </rPr>
      <t xml:space="preserve">22 Jan OPENING BALANCE </t>
    </r>
    <r>
      <rPr>
        <sz val="8"/>
        <color rgb="FFFFFFFF"/>
        <rFont val="Helvetica"/>
        <family val="2"/>
      </rPr>
      <t xml:space="preserve">23 Jan ePayment From:Brett Hofman REF: Laura Leave </t>
    </r>
    <r>
      <rPr>
        <sz val="8"/>
        <color rgb="FF000000"/>
        <rFont val="Helvetica"/>
        <family val="2"/>
      </rPr>
      <t>23 Jan ePayment From:Brett Hofman REF: Laura Leave 1 Feb Loan Repay TRANSFER TO 814282 50503609 Hofman Brett REF:</t>
    </r>
  </si>
  <si>
    <r>
      <t xml:space="preserve">IO_Monthly IO_Monthly </t>
    </r>
    <r>
      <rPr>
        <sz val="8"/>
        <color rgb="FFFFFFFF"/>
        <rFont val="Helvetica"/>
        <family val="2"/>
      </rPr>
      <t>1 Feb FREE TXNS UNLIMITED</t>
    </r>
  </si>
  <si>
    <r>
      <t xml:space="preserve">OO_Monthly OO_Monthly </t>
    </r>
    <r>
      <rPr>
        <sz val="8"/>
        <color rgb="FFFFFFFF"/>
        <rFont val="Helvetica"/>
        <family val="2"/>
      </rPr>
      <t xml:space="preserve">17 Feb ePayment From:Brett Hofman REF: Feb Mortgage </t>
    </r>
    <r>
      <rPr>
        <sz val="8"/>
        <color rgb="FF000000"/>
        <rFont val="Helvetica"/>
        <family val="2"/>
      </rPr>
      <t>17 Feb ePayment From:Brett Hofman REF: Feb Mortgage 1 Mar Loan Repay TRANSFER TO 814282 50503609 Hofman Brett REF:</t>
    </r>
  </si>
  <si>
    <r>
      <t xml:space="preserve">IO_Monthly IO_Monthly </t>
    </r>
    <r>
      <rPr>
        <sz val="8"/>
        <color rgb="FFFFFFFF"/>
        <rFont val="Helvetica"/>
        <family val="2"/>
      </rPr>
      <t>1 Mar FREE TXNS UNLIMITED</t>
    </r>
  </si>
  <si>
    <t>5 Mar Loan Repay TRANSFER TO 814282 51001645 Hofman Brett REF:</t>
  </si>
  <si>
    <t>15,000.00 22,990.37</t>
  </si>
  <si>
    <t>2,623.79 20,366.58</t>
  </si>
  <si>
    <t>5,257.03 15,109.55</t>
  </si>
  <si>
    <t>8,000.00 23,109.55</t>
  </si>
  <si>
    <t>2,623.79 20,485.76</t>
  </si>
  <si>
    <t>OO_Monthly OO_Monthly 5,257.03 15,228.73</t>
  </si>
  <si>
    <r>
      <t xml:space="preserve">17 Mar ePayment From:Brett Hofman REF: March mortgage </t>
    </r>
    <r>
      <rPr>
        <sz val="8"/>
        <color rgb="FF000000"/>
        <rFont val="Helvetica"/>
        <family val="2"/>
      </rPr>
      <t xml:space="preserve">17 Mar ePayment From:Brett Hofman REF: March mortgage </t>
    </r>
    <r>
      <rPr>
        <sz val="8"/>
        <color rgb="FFFFFFFF"/>
        <rFont val="Helvetica"/>
        <family val="2"/>
      </rPr>
      <t>8,000.00 23,228.73</t>
    </r>
  </si>
  <si>
    <t>8,000.00 23,228.73</t>
  </si>
  <si>
    <t>25 Mar ePayment From:Brett Hofman REF: Top up offset 20,000.00 43,228.73</t>
  </si>
  <si>
    <t>IO_Monthly IO_Monthly 2,623.79 40,604.94</t>
  </si>
  <si>
    <t>OO_Monthly OO_Monthly 5,257.03 35,347.91</t>
  </si>
  <si>
    <t>14 Apr ePayment From:Brett Hofman REF: April Mortgage 10,000.00 45,347.91</t>
  </si>
  <si>
    <r>
      <t xml:space="preserve">24 Apr Fast Pymt In </t>
    </r>
    <r>
      <rPr>
        <sz val="8"/>
        <color rgb="FF000000"/>
        <rFont val="Helvetica"/>
        <family val="2"/>
      </rPr>
      <t xml:space="preserve">24 Apr Fast Pymt In </t>
    </r>
    <r>
      <rPr>
        <sz val="8"/>
        <color rgb="FFFFFFFF"/>
        <rFont val="Helvetica"/>
        <family val="2"/>
      </rPr>
      <t>4,763.92 50,111.83</t>
    </r>
  </si>
  <si>
    <t>4,763.92 50,111.83</t>
  </si>
  <si>
    <t>24 Apr REF:Laura pay to mortg</t>
  </si>
  <si>
    <t>IO_Monthly IO_Monthly 2,623.79 47,488.04</t>
  </si>
  <si>
    <r>
      <t xml:space="preserve">1,231.75 </t>
    </r>
    <r>
      <rPr>
        <sz val="8"/>
        <color rgb="FF000000"/>
        <rFont val="Helvetica"/>
        <family val="2"/>
      </rPr>
      <t xml:space="preserve">1,231.75 </t>
    </r>
    <r>
      <rPr>
        <sz val="8"/>
        <color rgb="FFFFFFFF"/>
        <rFont val="Helvetica"/>
        <family val="2"/>
      </rPr>
      <t>OO_Monthly OO_Monthly 5,257.03 42,231.01</t>
    </r>
  </si>
  <si>
    <t>OO_Monthly OO_Monthly 5,257.03 42,231.01</t>
  </si>
  <si>
    <t>14 May ePayment From:Brett Hofman REF: May pay mortgage 8,000.00 50,231.01</t>
  </si>
  <si>
    <r>
      <t xml:space="preserve">18 May Fast Pymt Out For Amherst gap Len Bankwest </t>
    </r>
    <r>
      <rPr>
        <sz val="8"/>
        <color rgb="FF000000"/>
        <rFont val="Helvetica"/>
        <family val="2"/>
      </rPr>
      <t xml:space="preserve">18 May Fast Pymt Out For Amherst gap Len Bankwest </t>
    </r>
    <r>
      <rPr>
        <sz val="8"/>
        <color rgb="FFFFFFFF"/>
        <rFont val="Helvetica"/>
        <family val="2"/>
      </rPr>
      <t>48,999.26</t>
    </r>
  </si>
  <si>
    <t>18 May From: Hofman Brett REF: Len Amherst top up 1,231.75 50,231.01</t>
  </si>
  <si>
    <r>
      <t xml:space="preserve">22 May Fast Pymt In </t>
    </r>
    <r>
      <rPr>
        <sz val="8"/>
        <color rgb="FF000000"/>
        <rFont val="Helvetica"/>
        <family val="2"/>
      </rPr>
      <t xml:space="preserve">22 May Fast Pymt In </t>
    </r>
    <r>
      <rPr>
        <sz val="8"/>
        <color rgb="FFFFFFFF"/>
        <rFont val="Helvetica"/>
        <family val="2"/>
      </rPr>
      <t>3,000.00 53,231.01</t>
    </r>
  </si>
  <si>
    <t>3,000.00 53,231.01</t>
  </si>
  <si>
    <t>22 May REF:LH Salary move to</t>
  </si>
  <si>
    <t>OO_Monthly OO_Monthly 5,257.03 47,973.98</t>
  </si>
  <si>
    <r>
      <t xml:space="preserve">13 Jun ePayment From:Brett Hofman REF: June Pay </t>
    </r>
    <r>
      <rPr>
        <sz val="8"/>
        <color rgb="FF000000"/>
        <rFont val="Helvetica"/>
        <family val="2"/>
      </rPr>
      <t xml:space="preserve">13 Jun ePayment From:Brett Hofman REF: June Pay </t>
    </r>
    <r>
      <rPr>
        <sz val="8"/>
        <color rgb="FFFFFFFF"/>
        <rFont val="Helvetica"/>
        <family val="2"/>
      </rPr>
      <t>10,000.00 57,973.98</t>
    </r>
  </si>
  <si>
    <t>10,000.00 57,973.98</t>
  </si>
  <si>
    <t>16 Jun ePayment From:Brett Hofman REF: ETP to GSB 50,000.00 107,973.98</t>
  </si>
  <si>
    <r>
      <t xml:space="preserve">16 Jun ePayment From:Brett Hofman REF: </t>
    </r>
    <r>
      <rPr>
        <sz val="8"/>
        <color rgb="FF000000"/>
        <rFont val="Helvetica"/>
        <family val="2"/>
      </rPr>
      <t xml:space="preserve">16 Jun ePayment From:Brett Hofman REF: </t>
    </r>
    <r>
      <rPr>
        <sz val="8"/>
        <color rgb="FFFFFFFF"/>
        <rFont val="Helvetica"/>
        <family val="2"/>
      </rPr>
      <t>20,000.00 127,973.98</t>
    </r>
  </si>
  <si>
    <t>20,000.00 127,973.98</t>
  </si>
  <si>
    <t>17 Jun ePayment From:Brett Hofman REF: 30,000.00 157,973.98</t>
  </si>
  <si>
    <r>
      <t xml:space="preserve">18 Jun ePayment From:Brett Hofman REF: </t>
    </r>
    <r>
      <rPr>
        <sz val="8"/>
        <color rgb="FF000000"/>
        <rFont val="Helvetica"/>
        <family val="2"/>
      </rPr>
      <t xml:space="preserve">18 Jun ePayment From:Brett Hofman REF: </t>
    </r>
    <r>
      <rPr>
        <sz val="8"/>
        <color rgb="FFFFFFFF"/>
        <rFont val="Helvetica"/>
        <family val="2"/>
      </rPr>
      <t>50,000.00 207,973.98</t>
    </r>
  </si>
  <si>
    <t>50,000.00 207,973.98</t>
  </si>
  <si>
    <t>19 Jun ePayment From:Brett Hofman REF: 50,000.00 257,973.98</t>
  </si>
  <si>
    <r>
      <t xml:space="preserve">20 Jun ePayment From:Brett Hofman REF: </t>
    </r>
    <r>
      <rPr>
        <sz val="8"/>
        <color rgb="FF000000"/>
        <rFont val="Helvetica"/>
        <family val="2"/>
      </rPr>
      <t xml:space="preserve">20 Jun ePayment From:Brett Hofman REF: </t>
    </r>
    <r>
      <rPr>
        <sz val="8"/>
        <color rgb="FFFFFFFF"/>
        <rFont val="Helvetica"/>
        <family val="2"/>
      </rPr>
      <t>50,000.00 307,973.98</t>
    </r>
  </si>
  <si>
    <t>50,000.00 307,973.98</t>
  </si>
  <si>
    <t>20 Jun Fast Pymt In 26.02 308,000.00</t>
  </si>
  <si>
    <t>2 Jul TXN INITIATED BY-9018614 TRANSFER TO 814282 50503609 Hofman</t>
  </si>
  <si>
    <t>Brett REF: July Mortgage 1,572.70 306,427.30</t>
  </si>
  <si>
    <r>
      <t xml:space="preserve">3 Jul Fast Pymt In </t>
    </r>
    <r>
      <rPr>
        <sz val="8"/>
        <color rgb="FF000000"/>
        <rFont val="Helvetica"/>
        <family val="2"/>
      </rPr>
      <t xml:space="preserve">3 Jul Fast Pymt In </t>
    </r>
    <r>
      <rPr>
        <sz val="8"/>
        <color rgb="FFFFFFFF"/>
        <rFont val="Helvetica"/>
        <family val="2"/>
      </rPr>
      <t>2,497.85 308,925.15</t>
    </r>
  </si>
  <si>
    <t>2,497.85 308,925.15</t>
  </si>
  <si>
    <t>OO_Monthly OO_Monthly 5,257.03 303,668.12</t>
  </si>
  <si>
    <r>
      <t xml:space="preserve">6 Jul Fast Pymt In </t>
    </r>
    <r>
      <rPr>
        <sz val="8"/>
        <color rgb="FF000000"/>
        <rFont val="Helvetica"/>
        <family val="2"/>
      </rPr>
      <t xml:space="preserve">6 Jul Fast Pymt In </t>
    </r>
    <r>
      <rPr>
        <sz val="8"/>
        <color rgb="FFFFFFFF"/>
        <rFont val="Helvetica"/>
        <family val="2"/>
      </rPr>
      <t>2,000.00 305,668.12</t>
    </r>
  </si>
  <si>
    <t>2,000.00 305,668.12</t>
  </si>
  <si>
    <t>21 Jul CLOSING BALANCE 305,668.12</t>
  </si>
  <si>
    <t>E-3228/S-94704/I-177273</t>
  </si>
  <si>
    <t>22 Jan OPENING BALANCE 8,690.88</t>
  </si>
  <si>
    <r>
      <t xml:space="preserve">31 Jan Interest Paid </t>
    </r>
    <r>
      <rPr>
        <sz val="8"/>
        <color rgb="FF000000"/>
        <rFont val="Helvetica"/>
        <family val="2"/>
      </rPr>
      <t xml:space="preserve">31 Jan Interest Paid </t>
    </r>
    <r>
      <rPr>
        <sz val="8"/>
        <color rgb="FFFFFFFF"/>
        <rFont val="Helvetica"/>
        <family val="2"/>
      </rPr>
      <t>0.74 8,691.62</t>
    </r>
  </si>
  <si>
    <t>0.74 8,691.62</t>
  </si>
  <si>
    <t>24 Feb BPAY BPAY HBF HEALTH LIMITED REF: 20250224201828357 461.91 8,229.71</t>
  </si>
  <si>
    <r>
      <t xml:space="preserve">28 Feb Interest Paid </t>
    </r>
    <r>
      <rPr>
        <sz val="8"/>
        <color rgb="FF000000"/>
        <rFont val="Helvetica"/>
        <family val="2"/>
      </rPr>
      <t xml:space="preserve">28 Feb Interest Paid </t>
    </r>
    <r>
      <rPr>
        <sz val="8"/>
        <color rgb="FFFFFFFF"/>
        <rFont val="Helvetica"/>
        <family val="2"/>
      </rPr>
      <t>0.66 8,230.37</t>
    </r>
  </si>
  <si>
    <t>0.66 8,230.37</t>
  </si>
  <si>
    <t>31 Mar Interest Paid 0.70 8,231.07</t>
  </si>
  <si>
    <r>
      <t xml:space="preserve">30 Apr Interest Paid </t>
    </r>
    <r>
      <rPr>
        <sz val="8"/>
        <color rgb="FF000000"/>
        <rFont val="Helvetica"/>
        <family val="2"/>
      </rPr>
      <t xml:space="preserve">30 Apr Interest Paid </t>
    </r>
    <r>
      <rPr>
        <sz val="8"/>
        <color rgb="FFFFFFFF"/>
        <rFont val="Helvetica"/>
        <family val="2"/>
      </rPr>
      <t>0.68 8,231.75</t>
    </r>
  </si>
  <si>
    <t>0.68 8,231.75</t>
  </si>
  <si>
    <t>18 May Len Amherst top up TXN INITIATED BY-9018614 TRANSFER TO 814282</t>
  </si>
  <si>
    <t>50455259 Hofman Brett 1,231.75 7,000.00</t>
  </si>
  <si>
    <r>
      <t xml:space="preserve">31 May Interest Paid </t>
    </r>
    <r>
      <rPr>
        <sz val="8"/>
        <color rgb="FF000000"/>
        <rFont val="Helvetica"/>
        <family val="2"/>
      </rPr>
      <t xml:space="preserve">31 May Interest Paid </t>
    </r>
    <r>
      <rPr>
        <sz val="8"/>
        <color rgb="FFFFFFFF"/>
        <rFont val="Helvetica"/>
        <family val="2"/>
      </rPr>
      <t>0.65 7,000.65</t>
    </r>
  </si>
  <si>
    <t>0.65 7,000.65</t>
  </si>
  <si>
    <t>15 Jun BPAY BPAY WA TRANSPORT DVS REF: 20250615100957789 385.85 6,614.80</t>
  </si>
  <si>
    <r>
      <t xml:space="preserve">30 Jun Interest Paid </t>
    </r>
    <r>
      <rPr>
        <sz val="8"/>
        <color rgb="FF000000"/>
        <rFont val="Helvetica"/>
        <family val="2"/>
      </rPr>
      <t xml:space="preserve">30 Jun Interest Paid </t>
    </r>
    <r>
      <rPr>
        <sz val="8"/>
        <color rgb="FFFFFFFF"/>
        <rFont val="Helvetica"/>
        <family val="2"/>
      </rPr>
      <t>0.56 6,615.36</t>
    </r>
  </si>
  <si>
    <t>0.56 6,615.36</t>
  </si>
  <si>
    <t>21 Jul CLOSING BALANCE 6,615.36</t>
  </si>
  <si>
    <t>Interest Paid $3.99 $0.00 $8.34</t>
  </si>
  <si>
    <r>
      <t xml:space="preserve">Account: </t>
    </r>
    <r>
      <rPr>
        <sz val="9"/>
        <color rgb="FF000000"/>
        <rFont val="Helvetica"/>
        <family val="2"/>
      </rPr>
      <t xml:space="preserve">50503609 Brett William Hofman, Laura Nicole Hofman </t>
    </r>
    <r>
      <rPr>
        <sz val="8"/>
        <color rgb="FF000000"/>
        <rFont val="Helvetica"/>
        <family val="2"/>
      </rPr>
      <t>CURRENT INTEREST RATE 6.04% P.A.</t>
    </r>
  </si>
  <si>
    <t>22 Jan OPENING BALANCE 471,447.67</t>
  </si>
  <si>
    <t>30 Jan ACT TYPE CHG Basic Inv IO TO Basic Inv P&amp;I</t>
  </si>
  <si>
    <t>30 Jan RATE CHANGED FM 6.54 % TO 6.34 %</t>
  </si>
  <si>
    <t>31 Jan Interest Charged 2,613.50 474,061.17</t>
  </si>
  <si>
    <t>1 Feb Loan Repay REF: IO_Monthly IO_Monthly From: Hofman Brett 2,623.79 471,437.38</t>
  </si>
  <si>
    <t>10 Feb ACT TYPE CHG Basic Inv P&amp;I TO Basic Inv IO</t>
  </si>
  <si>
    <t>10 Feb RATE CHANGED FM 6.34 % TO 6.54 %</t>
  </si>
  <si>
    <t>28 Feb Interest Charged 2,341.95 473,779.33</t>
  </si>
  <si>
    <t>1 Mar Loan Repay REF: IO_Monthly IO_Monthly From: Hofman Brett 2,623.79 471,155.54</t>
  </si>
  <si>
    <r>
      <t xml:space="preserve">4 Mar </t>
    </r>
    <r>
      <rPr>
        <sz val="8"/>
        <color rgb="FF000000"/>
        <rFont val="Helvetica"/>
        <family val="2"/>
      </rPr>
      <t xml:space="preserve">4 Mar </t>
    </r>
    <r>
      <rPr>
        <sz val="8"/>
        <color rgb="FFFFFFFF"/>
        <rFont val="Helvetica"/>
        <family val="2"/>
      </rPr>
      <t>RATE CHANGED FM 6.54 % TO 6.29 %</t>
    </r>
  </si>
  <si>
    <t>RATE CHANGED FM 6.54 % TO 6.29 %</t>
  </si>
  <si>
    <t>31 Mar Interest Charged 2,526.68 473,682.22</t>
  </si>
  <si>
    <t>1 Apr Loan Repay REF: IO_Monthly IO_Monthly From: Hofman Brett 2,623.79 471,058.43</t>
  </si>
  <si>
    <t>30 Apr Interest Charged 2,435.31 473,493.74</t>
  </si>
  <si>
    <t>1 May Loan Repay REF: IO_Monthly IO_Monthly From: Hofman Brett 2,623.79 470,869.95</t>
  </si>
  <si>
    <t>31 May Interest Charged 2,515.48 473,385.43</t>
  </si>
  <si>
    <r>
      <t xml:space="preserve">3 Jun </t>
    </r>
    <r>
      <rPr>
        <sz val="8"/>
        <color rgb="FF000000"/>
        <rFont val="Helvetica"/>
        <family val="2"/>
      </rPr>
      <t xml:space="preserve">3 Jun </t>
    </r>
    <r>
      <rPr>
        <sz val="8"/>
        <color rgb="FFFFFFFF"/>
        <rFont val="Helvetica"/>
        <family val="2"/>
      </rPr>
      <t>RATE CHANGED FM 6.29 % TO 6.04 %</t>
    </r>
  </si>
  <si>
    <t>RATE CHANGED FM 6.29 % TO 6.04 %</t>
  </si>
  <si>
    <t>30 Jun Interest Charged 2,356.55 475,741.98</t>
  </si>
  <si>
    <r>
      <t xml:space="preserve">2 Jul Credit Transfer REF: July Mortgage </t>
    </r>
    <r>
      <rPr>
        <sz val="8"/>
        <color rgb="FF000000"/>
        <rFont val="Helvetica"/>
        <family val="2"/>
      </rPr>
      <t xml:space="preserve">2 Jul Credit Transfer REF: July Mortgage </t>
    </r>
    <r>
      <rPr>
        <sz val="8"/>
        <color rgb="FFFFFFFF"/>
        <rFont val="Helvetica"/>
        <family val="2"/>
      </rPr>
      <t>1,572.70 474,169.28</t>
    </r>
  </si>
  <si>
    <t>1,572.70 474,169.28</t>
  </si>
  <si>
    <t>21 Jul CLOSING BALANCE 474,169.28</t>
  </si>
  <si>
    <t>Interest Charged -$14,789.47 $0.00 -$31,228.60</t>
  </si>
  <si>
    <t>E-3228/S-94705/I-177274</t>
  </si>
  <si>
    <r>
      <t xml:space="preserve">Account: </t>
    </r>
    <r>
      <rPr>
        <sz val="9"/>
        <color rgb="FF000000"/>
        <rFont val="Helvetica"/>
        <family val="2"/>
      </rPr>
      <t xml:space="preserve">51001645 Brett William Hofman, Laura Nicole Hofman </t>
    </r>
    <r>
      <rPr>
        <sz val="8"/>
        <color rgb="FF000000"/>
        <rFont val="Helvetica"/>
        <family val="2"/>
      </rPr>
      <t>CURRENT INTEREST RATE 5.89% P.A.</t>
    </r>
  </si>
  <si>
    <t>22 Jan OPENING BALANCE 759,431.52</t>
  </si>
  <si>
    <t>31 Jan INT SAVED BY BALANCE OFFSET 51.17</t>
  </si>
  <si>
    <t>31 Jan Interest Charged 4,074.04 763,505.56</t>
  </si>
  <si>
    <t>5 Feb Loan Repay REF: OO_Monthly OO_Monthly From: Hofman Brett 5,257.03 758,248.53</t>
  </si>
  <si>
    <t>28 Feb INT SAVED BY BALANCE OFFSET 94.55</t>
  </si>
  <si>
    <t>28 Feb Interest Charged 3,626.00 761,874.53</t>
  </si>
  <si>
    <t>4 Mar RATE CHANGED FM 6.39 % TO 6.14 %</t>
  </si>
  <si>
    <r>
      <t xml:space="preserve">4 Mar </t>
    </r>
    <r>
      <rPr>
        <sz val="8"/>
        <color rgb="FF000000"/>
        <rFont val="Helvetica"/>
        <family val="2"/>
      </rPr>
      <t xml:space="preserve">4 Mar </t>
    </r>
    <r>
      <rPr>
        <sz val="8"/>
        <color rgb="FFFFFFFF"/>
        <rFont val="Helvetica"/>
        <family val="2"/>
      </rPr>
      <t>REPAY CHG FM 5257.03 TO 5151.51 EFF. 04/03/2025</t>
    </r>
  </si>
  <si>
    <t>REPAY CHG FM 5257.03 TO 5151.51 EFF. 04/03/2025</t>
  </si>
  <si>
    <t>5 Mar Loan Repay REF: OO_Monthly OO_Monthly From: Hofman Brett 5,257.03 756,617.50</t>
  </si>
  <si>
    <t>31 Mar INT SAVED BY BALANCE OFFSET 127.11</t>
  </si>
  <si>
    <t>31 Mar Interest Charged 3,837.69 760,455.19</t>
  </si>
  <si>
    <t>5 Apr Loan Repay REF: OO_Monthly OO_Monthly From: Hofman Brett 5,257.03 755,198.16</t>
  </si>
  <si>
    <t>30 Apr INT SAVED BY BALANCE OFFSET 216.13</t>
  </si>
  <si>
    <t>30 Apr Interest Charged 3,598.57 758,796.73</t>
  </si>
  <si>
    <t>5 May Loan Repay REF: OO_Monthly OO_Monthly From: Hofman Brett 5,257.03 753,539.70</t>
  </si>
  <si>
    <t>31 May INT SAVED BY BALANCE OFFSET 253.03</t>
  </si>
  <si>
    <t>31 May Interest Charged 3,680.06 757,219.76</t>
  </si>
  <si>
    <r>
      <t xml:space="preserve">3 Jun </t>
    </r>
    <r>
      <rPr>
        <sz val="8"/>
        <color rgb="FF000000"/>
        <rFont val="Helvetica"/>
        <family val="2"/>
      </rPr>
      <t xml:space="preserve">3 Jun </t>
    </r>
    <r>
      <rPr>
        <sz val="8"/>
        <color rgb="FFFFFFFF"/>
        <rFont val="Helvetica"/>
        <family val="2"/>
      </rPr>
      <t>RATE CHANGED FM 6.14 % TO 5.89 %</t>
    </r>
  </si>
  <si>
    <t>RATE CHANGED FM 6.14 % TO 5.89 %</t>
  </si>
  <si>
    <t>3 Jun REPAY CHG FM 5151.51 TO 5026.75 EFF. 03/06/2025</t>
  </si>
  <si>
    <t>5 Jun Loan Repay REF: OO_Monthly OO_Monthly From: Hofman Brett 5,257.03 751,962.73</t>
  </si>
  <si>
    <t>30 Jun INT SAVED BY BALANCE OFFSET 793.14</t>
  </si>
  <si>
    <t>30 Jun Interest Charged 2,860.95 754,823.68</t>
  </si>
  <si>
    <t>5 Jul Loan Repay REF: OO_Monthly OO_Monthly From: Hofman Brett 5,257.03 749,566.65</t>
  </si>
  <si>
    <t>21 Jul CLOSING BALANCE 749,566.65</t>
  </si>
  <si>
    <t>Interest Charged -$21,677.31 $0.00 -$34,005.04</t>
  </si>
  <si>
    <t>E-3228/S-94705/I-177275</t>
  </si>
  <si>
    <t>Issue date: 21/01/2026</t>
  </si>
  <si>
    <t>50455259 Brett Laura Prime Access $305,668.12 $78,734.13 $89,788.49 $294,613.76</t>
  </si>
  <si>
    <t>50456034 Len eSaver Plus $6,615.36 $2.84 $3,618.20 $3,000.00</t>
  </si>
  <si>
    <t>50503609 Albany Variable INV IO -$474,169.28 $14,196.50 $14,020.51 -$473,993.29</t>
  </si>
  <si>
    <t>51001645 Arnold Offset Var OO PI -$749,566.65 $29,413.10 $12,781.25 -$732,934.80</t>
  </si>
  <si>
    <r>
      <t xml:space="preserve">Account name: </t>
    </r>
    <r>
      <rPr>
        <sz val="9"/>
        <color rgb="FF000000"/>
        <rFont val="Helvetica"/>
        <family val="2"/>
      </rPr>
      <t>Brett Laura Prime Access</t>
    </r>
  </si>
  <si>
    <r>
      <t xml:space="preserve">Statement period: </t>
    </r>
    <r>
      <rPr>
        <sz val="9"/>
        <color rgb="FF000000"/>
        <rFont val="Helvetica"/>
        <family val="2"/>
      </rPr>
      <t>22 JUL 2025 To 21 JAN 2026</t>
    </r>
  </si>
  <si>
    <t>E-1380/S-85139/I-159995EM. 1380NNNNNN 9018614</t>
  </si>
  <si>
    <t>22 Jul OPENING BALANCE 305,668.12</t>
  </si>
  <si>
    <r>
      <t xml:space="preserve">1 Aug </t>
    </r>
    <r>
      <rPr>
        <sz val="8"/>
        <color rgb="FF000000"/>
        <rFont val="Helvetica"/>
        <family val="2"/>
      </rPr>
      <t>1 Aug Loan Repay TRANSFER TO 814282 50503609 Hofman Brett REF: IO</t>
    </r>
  </si>
  <si>
    <t>Loan Repay TRANSFER TO 814282 50503609 Hofman Brett REF: IO</t>
  </si>
  <si>
    <t>Monthly Payment IO Monthly Payment 2,390.00 303,278.12</t>
  </si>
  <si>
    <r>
      <t xml:space="preserve">1 Aug </t>
    </r>
    <r>
      <rPr>
        <sz val="8"/>
        <color rgb="FF000000"/>
        <rFont val="Helvetica"/>
        <family val="2"/>
      </rPr>
      <t xml:space="preserve">1 Aug </t>
    </r>
    <r>
      <rPr>
        <sz val="8"/>
        <color rgb="FFFFFFFF"/>
        <rFont val="Helvetica"/>
        <family val="2"/>
      </rPr>
      <t>TXN INITIATED BY-9018614 TRANSFER TO 814282 50503609 Hofman</t>
    </r>
  </si>
  <si>
    <t>Brett 42.68 303,235.44</t>
  </si>
  <si>
    <t>5 Aug Loan Repay TRANSFER TO 814282 51001645 Hofman Brett REF:</t>
  </si>
  <si>
    <t>OO_Monthly OO_Monthly 5,257.03 297,978.41</t>
  </si>
  <si>
    <r>
      <t xml:space="preserve">7 Aug Fast Pymt In </t>
    </r>
    <r>
      <rPr>
        <sz val="8"/>
        <color rgb="FFFFFFFF"/>
        <rFont val="Helvetica"/>
        <family val="2"/>
      </rPr>
      <t xml:space="preserve">7 Aug Fast Pymt In </t>
    </r>
    <r>
      <rPr>
        <sz val="8"/>
        <color rgb="FF000000"/>
        <rFont val="Helvetica"/>
        <family val="2"/>
      </rPr>
      <t>1,893.59 299,872.00</t>
    </r>
  </si>
  <si>
    <t>1,893.59 299,872.00</t>
  </si>
  <si>
    <t>7 Aug Fast Pymt In 28.00 299,900.00</t>
  </si>
  <si>
    <r>
      <t xml:space="preserve">7 Aug Fast Pymt In </t>
    </r>
    <r>
      <rPr>
        <sz val="8"/>
        <color rgb="FFFFFFFF"/>
        <rFont val="Helvetica"/>
        <family val="2"/>
      </rPr>
      <t xml:space="preserve">7 Aug Fast Pymt In </t>
    </r>
    <r>
      <rPr>
        <sz val="8"/>
        <color rgb="FF000000"/>
        <rFont val="Helvetica"/>
        <family val="2"/>
      </rPr>
      <t>100.00 300,000.00</t>
    </r>
  </si>
  <si>
    <t>100.00 300,000.00</t>
  </si>
  <si>
    <t>8 Aug Fast Pymt Out Brett ING Brett and Laura ING 299,000.00</t>
  </si>
  <si>
    <r>
      <t xml:space="preserve">24 Aug Fast Pymt Out Brett ING Brett and Laura ING </t>
    </r>
    <r>
      <rPr>
        <sz val="8"/>
        <color rgb="FFFFFFFF"/>
        <rFont val="Helvetica"/>
        <family val="2"/>
      </rPr>
      <t xml:space="preserve">24 Aug Fast Pymt Out Brett ING Brett and Laura ING </t>
    </r>
    <r>
      <rPr>
        <sz val="8"/>
        <color rgb="FF000000"/>
        <rFont val="Helvetica"/>
        <family val="2"/>
      </rPr>
      <t>295,000.00</t>
    </r>
  </si>
  <si>
    <r>
      <t xml:space="preserve">1,000.00 </t>
    </r>
    <r>
      <rPr>
        <sz val="8"/>
        <color rgb="FFFFFFFF"/>
        <rFont val="Helvetica"/>
        <family val="2"/>
      </rPr>
      <t xml:space="preserve">4,000.00 </t>
    </r>
    <r>
      <rPr>
        <sz val="8"/>
        <color rgb="FF000000"/>
        <rFont val="Helvetica"/>
        <family val="2"/>
      </rPr>
      <t xml:space="preserve">4,000.00 </t>
    </r>
    <r>
      <rPr>
        <sz val="7"/>
        <color rgb="FF000000"/>
        <rFont val="Helvetica"/>
        <family val="2"/>
      </rPr>
      <t>1 of 6</t>
    </r>
  </si>
  <si>
    <t>3,500.00 298,500.00</t>
  </si>
  <si>
    <t>28 Aug Fast Pymt In 28 Aug REF:Mortgage top up</t>
  </si>
  <si>
    <t>28 Aug REF:Mortgage top up</t>
  </si>
  <si>
    <t>1 Sep Loan Repay TRANSFER TO 814282 50503609 Hofman Brett REF: Interest</t>
  </si>
  <si>
    <t>Interest 2,337.72 296,162.28</t>
  </si>
  <si>
    <t>1 Sep TXN INITIATED BY-9018614 TRANSFER TO 814282 50503609 Hofman</t>
  </si>
  <si>
    <t>Brett 75.22 296,087.06</t>
  </si>
  <si>
    <r>
      <t xml:space="preserve">3 Sep BPAY BPAY Qantas Credit Cards REF: 20250903180241703 6,000.00 </t>
    </r>
    <r>
      <rPr>
        <sz val="8"/>
        <color rgb="FFFFFFFF"/>
        <rFont val="Helvetica"/>
        <family val="2"/>
      </rPr>
      <t xml:space="preserve">3 Sep BPAY BPAY Qantas Credit Cards REF: 20250903180241703 6,000.00 </t>
    </r>
    <r>
      <rPr>
        <sz val="8"/>
        <color rgb="FF000000"/>
        <rFont val="Helvetica"/>
        <family val="2"/>
      </rPr>
      <t xml:space="preserve">3 Sep Fast Pymt Out DSC Brett W Hofman 5 Sep </t>
    </r>
    <r>
      <rPr>
        <sz val="8"/>
        <color rgb="FFFFFFFF"/>
        <rFont val="Helvetica"/>
        <family val="2"/>
      </rPr>
      <t xml:space="preserve">5 Sep </t>
    </r>
    <r>
      <rPr>
        <sz val="8"/>
        <color rgb="FF000000"/>
        <rFont val="Helvetica"/>
        <family val="2"/>
      </rPr>
      <t>Loan Repay TRANSFER TO 814282 51001645 Hofman Brett REF:</t>
    </r>
  </si>
  <si>
    <r>
      <t xml:space="preserve">2,000.00 </t>
    </r>
    <r>
      <rPr>
        <sz val="8"/>
        <color rgb="FFFFFFFF"/>
        <rFont val="Helvetica"/>
        <family val="2"/>
      </rPr>
      <t>290,087.06</t>
    </r>
  </si>
  <si>
    <r>
      <t xml:space="preserve">17 Sep Fast Pymt In 23 Sep BPAY BPAY Qantas Credit Cards REF: 20250923125212271 9,690.39 </t>
    </r>
    <r>
      <rPr>
        <sz val="8"/>
        <color rgb="FFFFFFFF"/>
        <rFont val="Helvetica"/>
        <family val="2"/>
      </rPr>
      <t xml:space="preserve">23 Sep BPAY BPAY Qantas Credit Cards REF: 20250923125212271 9,690.39 </t>
    </r>
    <r>
      <rPr>
        <sz val="8"/>
        <color rgb="FF000000"/>
        <rFont val="Helvetica"/>
        <family val="2"/>
      </rPr>
      <t xml:space="preserve">23 Sep Fast Pymt In 23 Sep Fast Pymt In </t>
    </r>
    <r>
      <rPr>
        <sz val="8"/>
        <color rgb="FFFFFFFF"/>
        <rFont val="Helvetica"/>
        <family val="2"/>
      </rPr>
      <t>23 Sep Fast Pymt In Mortgage Mortgage 4,880.65 283,206.41</t>
    </r>
  </si>
  <si>
    <t>Mortgage Mortgage 4,880.65 283,206.41</t>
  </si>
  <si>
    <t>4,000.00 287,206.41</t>
  </si>
  <si>
    <t>140.52 277,656.54</t>
  </si>
  <si>
    <t>2,000.00 279,656.54</t>
  </si>
  <si>
    <t>23 Sep REF:To mortgage acct</t>
  </si>
  <si>
    <r>
      <t xml:space="preserve">25 Sep Fast Pymt In </t>
    </r>
    <r>
      <rPr>
        <sz val="8"/>
        <color rgb="FFFFFFFF"/>
        <rFont val="Helvetica"/>
        <family val="2"/>
      </rPr>
      <t>25 Sep Fast Pymt In 3,210.87 282,867.41</t>
    </r>
  </si>
  <si>
    <t>3,210.87 282,867.41</t>
  </si>
  <si>
    <t>1 Oct Loan Repay TRANSFER TO 814282 50503609 Hofman Brett REF: Interest</t>
  </si>
  <si>
    <t>Interest 2,337.72 280,529.69</t>
  </si>
  <si>
    <t>5 Oct Loan Repay TRANSFER TO 814282 51001645 Hofman Brett REF:</t>
  </si>
  <si>
    <t>Mortgage Mortgage 4,880.65 275,649.04</t>
  </si>
  <si>
    <r>
      <t xml:space="preserve">7 Oct Fast Pymt In </t>
    </r>
    <r>
      <rPr>
        <sz val="8"/>
        <color rgb="FFFFFFFF"/>
        <rFont val="Helvetica"/>
        <family val="2"/>
      </rPr>
      <t xml:space="preserve">7 Oct Fast Pymt In </t>
    </r>
    <r>
      <rPr>
        <sz val="8"/>
        <color rgb="FF000000"/>
        <rFont val="Helvetica"/>
        <family val="2"/>
      </rPr>
      <t>5,000.00 280,649.04</t>
    </r>
  </si>
  <si>
    <t>5,000.00 280,649.04</t>
  </si>
  <si>
    <t>8 Oct Fast Pymt In 5,000.00 285,649.04</t>
  </si>
  <si>
    <r>
      <t xml:space="preserve">9 Oct Fast Pymt In </t>
    </r>
    <r>
      <rPr>
        <sz val="8"/>
        <color rgb="FFFFFFFF"/>
        <rFont val="Helvetica"/>
        <family val="2"/>
      </rPr>
      <t xml:space="preserve">9 Oct Fast Pymt In </t>
    </r>
    <r>
      <rPr>
        <sz val="8"/>
        <color rgb="FF000000"/>
        <rFont val="Helvetica"/>
        <family val="2"/>
      </rPr>
      <t>5,000.00 290,649.04</t>
    </r>
  </si>
  <si>
    <t>5,000.00 290,649.04</t>
  </si>
  <si>
    <t>9 Oct Fast Pymt In 1,250.00 291,899.04</t>
  </si>
  <si>
    <r>
      <t xml:space="preserve">9 Oct Fast Pymt Out Aircon thank you Delroys </t>
    </r>
    <r>
      <rPr>
        <sz val="8"/>
        <color rgb="FFFFFFFF"/>
        <rFont val="Helvetica"/>
        <family val="2"/>
      </rPr>
      <t xml:space="preserve">9 Oct Fast Pymt Out Aircon thank you Delroys </t>
    </r>
    <r>
      <rPr>
        <sz val="8"/>
        <color rgb="FF000000"/>
        <rFont val="Helvetica"/>
        <family val="2"/>
      </rPr>
      <t>291,399.04</t>
    </r>
  </si>
  <si>
    <t>10 Oct Fast Pymt In 600.96 292,000.00</t>
  </si>
  <si>
    <r>
      <t xml:space="preserve">14 Oct Fast Pymt In </t>
    </r>
    <r>
      <rPr>
        <sz val="8"/>
        <color rgb="FFFFFFFF"/>
        <rFont val="Helvetica"/>
        <family val="2"/>
      </rPr>
      <t xml:space="preserve">14 Oct Fast Pymt In </t>
    </r>
    <r>
      <rPr>
        <sz val="8"/>
        <color rgb="FF000000"/>
        <rFont val="Helvetica"/>
        <family val="2"/>
      </rPr>
      <t>500.00 292,500.00</t>
    </r>
  </si>
  <si>
    <t>500.00 292,500.00</t>
  </si>
  <si>
    <t>23 Oct Fast Pymt In 3,000.00 295,500.00</t>
  </si>
  <si>
    <r>
      <t xml:space="preserve">28 Oct Fast Pymt In </t>
    </r>
    <r>
      <rPr>
        <sz val="8"/>
        <color rgb="FFFFFFFF"/>
        <rFont val="Helvetica"/>
        <family val="2"/>
      </rPr>
      <t xml:space="preserve">28 Oct Fast Pymt In </t>
    </r>
    <r>
      <rPr>
        <sz val="8"/>
        <color rgb="FF000000"/>
        <rFont val="Helvetica"/>
        <family val="2"/>
      </rPr>
      <t>161.72 295,661.72</t>
    </r>
  </si>
  <si>
    <t>161.72 295,661.72</t>
  </si>
  <si>
    <t>28 Oct Welcome to banking! TXN INITIATED BY-9018614 TRANSFER TO 814282</t>
  </si>
  <si>
    <t>52117051 Hofman Beckett 25.00 295,636.72</t>
  </si>
  <si>
    <r>
      <t xml:space="preserve">28 Oct </t>
    </r>
    <r>
      <rPr>
        <sz val="8"/>
        <color rgb="FF000000"/>
        <rFont val="Helvetica"/>
        <family val="2"/>
      </rPr>
      <t>28 Oct Welcome to saving! TXN INITIATED BY-9018614 TRANSFER TO 814282</t>
    </r>
  </si>
  <si>
    <t>Welcome to saving! TXN INITIATED BY-9018614 TRANSFER TO 814282</t>
  </si>
  <si>
    <r>
      <t xml:space="preserve">500.00 </t>
    </r>
    <r>
      <rPr>
        <sz val="8"/>
        <color rgb="FF000000"/>
        <rFont val="Helvetica"/>
        <family val="2"/>
      </rPr>
      <t xml:space="preserve">500.00 </t>
    </r>
    <r>
      <rPr>
        <sz val="8"/>
        <color rgb="FFFFFFFF"/>
        <rFont val="Helvetica"/>
        <family val="2"/>
      </rPr>
      <t>52117068 Hofman Quinn 25.00 295,611.72</t>
    </r>
  </si>
  <si>
    <t>52117068 Hofman Quinn 25.00 295,611.72</t>
  </si>
  <si>
    <t>28 Oct From: Hofman Brett REF: Top up Len Bankwest 2,617.02 298,228.74</t>
  </si>
  <si>
    <r>
      <t xml:space="preserve">28 Oct Fast Pymt Out For Amherst gap Len Bankwest </t>
    </r>
    <r>
      <rPr>
        <sz val="8"/>
        <color rgb="FF000000"/>
        <rFont val="Helvetica"/>
        <family val="2"/>
      </rPr>
      <t xml:space="preserve">28 Oct Fast Pymt Out For Amherst gap Len Bankwest </t>
    </r>
    <r>
      <rPr>
        <sz val="8"/>
        <color rgb="FFFFFFFF"/>
        <rFont val="Helvetica"/>
        <family val="2"/>
      </rPr>
      <t xml:space="preserve">2,617.02 </t>
    </r>
    <r>
      <rPr>
        <sz val="8"/>
        <color rgb="FF000000"/>
        <rFont val="Helvetica"/>
        <family val="2"/>
      </rPr>
      <t xml:space="preserve">2,617.02 </t>
    </r>
    <r>
      <rPr>
        <sz val="8"/>
        <color rgb="FFFFFFFF"/>
        <rFont val="Helvetica"/>
        <family val="2"/>
      </rPr>
      <t>295,611.72</t>
    </r>
  </si>
  <si>
    <t>29 Oct Fast Pymt In 5,000.00 300,611.72</t>
  </si>
  <si>
    <r>
      <t xml:space="preserve">1 Nov </t>
    </r>
    <r>
      <rPr>
        <sz val="8"/>
        <color rgb="FF000000"/>
        <rFont val="Helvetica"/>
        <family val="2"/>
      </rPr>
      <t>1 Nov Loan Repay TRANSFER TO 814282 50503609 Hofman Brett REF: Interest</t>
    </r>
  </si>
  <si>
    <t>Loan Repay TRANSFER TO 814282 50503609 Hofman Brett REF: Interest</t>
  </si>
  <si>
    <t>Interest 2,337.72 298,274.00</t>
  </si>
  <si>
    <r>
      <t xml:space="preserve">1 Nov Fast Pymt In </t>
    </r>
    <r>
      <rPr>
        <sz val="8"/>
        <color rgb="FF000000"/>
        <rFont val="Helvetica"/>
        <family val="2"/>
      </rPr>
      <t>1 Nov Fast Pymt In 1 Nov REF:Beckett cash</t>
    </r>
  </si>
  <si>
    <r>
      <t xml:space="preserve">1 Nov </t>
    </r>
    <r>
      <rPr>
        <sz val="8"/>
        <color rgb="FF000000"/>
        <rFont val="Helvetica"/>
        <family val="2"/>
      </rPr>
      <t xml:space="preserve">1 Nov </t>
    </r>
    <r>
      <rPr>
        <sz val="8"/>
        <color rgb="FFFFFFFF"/>
        <rFont val="Helvetica"/>
        <family val="2"/>
      </rPr>
      <t>Becketts savings TXN INITIATED BY-9018614 TRANSFER TO 814282</t>
    </r>
  </si>
  <si>
    <t>Becketts savings TXN INITIATED BY-9018614 TRANSFER TO 814282</t>
  </si>
  <si>
    <t>630.00 298,904.00</t>
  </si>
  <si>
    <t>52117051 Hofman Beckett 500.00 298,404.00</t>
  </si>
  <si>
    <t>1 Nov Beckett savings TXN INITIATED BY-9018614 TRANSFER TO 814282</t>
  </si>
  <si>
    <t>52117052 Hofman Beckett 130.00 298,274.00</t>
  </si>
  <si>
    <r>
      <t xml:space="preserve">2 Nov Fast Pymt In </t>
    </r>
    <r>
      <rPr>
        <sz val="8"/>
        <color rgb="FFFFFFFF"/>
        <rFont val="Helvetica"/>
        <family val="2"/>
      </rPr>
      <t xml:space="preserve">2 Nov Fast Pymt In </t>
    </r>
    <r>
      <rPr>
        <sz val="8"/>
        <color rgb="FF000000"/>
        <rFont val="Helvetica"/>
        <family val="2"/>
      </rPr>
      <t>1,726.00 300,000.00</t>
    </r>
  </si>
  <si>
    <t>1,726.00 300,000.00</t>
  </si>
  <si>
    <t>2 Nov REF:Top up mortgage 30</t>
  </si>
  <si>
    <r>
      <t xml:space="preserve">2 Nov Fast Pymt In </t>
    </r>
    <r>
      <rPr>
        <sz val="8"/>
        <color rgb="FFFFFFFF"/>
        <rFont val="Helvetica"/>
        <family val="2"/>
      </rPr>
      <t>2 Nov Fast Pymt In 220.00 300,220.00</t>
    </r>
  </si>
  <si>
    <t>220.00 300,220.00</t>
  </si>
  <si>
    <t>2 Nov TXN INITIATED BY-9018614 TRANSFER TO 814282 52117068 Hofman</t>
  </si>
  <si>
    <t>Quinn 220.00 300,000.00</t>
  </si>
  <si>
    <r>
      <t xml:space="preserve">3 Nov Fast Pymt In </t>
    </r>
    <r>
      <rPr>
        <sz val="8"/>
        <color rgb="FFFFFFFF"/>
        <rFont val="Helvetica"/>
        <family val="2"/>
      </rPr>
      <t xml:space="preserve">3 Nov Fast Pymt In </t>
    </r>
    <r>
      <rPr>
        <sz val="8"/>
        <color rgb="FF000000"/>
        <rFont val="Helvetica"/>
        <family val="2"/>
      </rPr>
      <t>170.00 300,170.00</t>
    </r>
  </si>
  <si>
    <t>170.00 300,170.00</t>
  </si>
  <si>
    <t>3 Nov REF:November pocket $$</t>
  </si>
  <si>
    <r>
      <t xml:space="preserve">5 Nov </t>
    </r>
    <r>
      <rPr>
        <sz val="8"/>
        <color rgb="FFFFFFFF"/>
        <rFont val="Helvetica"/>
        <family val="2"/>
      </rPr>
      <t xml:space="preserve">5 Nov </t>
    </r>
    <r>
      <rPr>
        <sz val="8"/>
        <color rgb="FF000000"/>
        <rFont val="Helvetica"/>
        <family val="2"/>
      </rPr>
      <t>Loan Repay TRANSFER TO 814282 51001645 Hofman Brett REF:</t>
    </r>
  </si>
  <si>
    <t>Mortgage Mortgage 4,880.65 295,289.35</t>
  </si>
  <si>
    <t>4,710.65 300,000.00</t>
  </si>
  <si>
    <r>
      <t xml:space="preserve">6 Nov Fast Pymt In </t>
    </r>
    <r>
      <rPr>
        <sz val="8"/>
        <color rgb="FFFFFFFF"/>
        <rFont val="Helvetica"/>
        <family val="2"/>
      </rPr>
      <t xml:space="preserve">7 Nov </t>
    </r>
    <r>
      <rPr>
        <sz val="8"/>
        <color rgb="FF000000"/>
        <rFont val="Helvetica"/>
        <family val="2"/>
      </rPr>
      <t xml:space="preserve">7 Nov </t>
    </r>
    <r>
      <rPr>
        <sz val="8"/>
        <color rgb="FFFFFFFF"/>
        <rFont val="Helvetica"/>
        <family val="2"/>
      </rPr>
      <t>Auto Payment TRANSFER TO 814282 52117051 Hofman Beckett REF:</t>
    </r>
  </si>
  <si>
    <t>Auto Payment TRANSFER TO 814282 52117051 Hofman Beckett REF:</t>
  </si>
  <si>
    <t>E-1380/S-85139/I-159996</t>
  </si>
  <si>
    <r>
      <t xml:space="preserve">7 Nov </t>
    </r>
    <r>
      <rPr>
        <sz val="8"/>
        <color rgb="FFFFFFFF"/>
        <rFont val="Helvetica"/>
        <family val="2"/>
      </rPr>
      <t xml:space="preserve">7 Nov </t>
    </r>
    <r>
      <rPr>
        <sz val="8"/>
        <color rgb="FF000000"/>
        <rFont val="Helvetica"/>
        <family val="2"/>
      </rPr>
      <t xml:space="preserve">7 Nov </t>
    </r>
    <r>
      <rPr>
        <sz val="8"/>
        <color rgb="FFFFFFFF"/>
        <rFont val="Helvetica"/>
        <family val="2"/>
      </rPr>
      <t>Weekly savings money 20.00 299,980.00</t>
    </r>
  </si>
  <si>
    <t>Weekly savings money 20.00 299,980.00</t>
  </si>
  <si>
    <t>Auto Payment TRANSFER TO 814282 52117052 Hofman Beckett REF:</t>
  </si>
  <si>
    <t>Weekly Spending 5.00 299,975.00</t>
  </si>
  <si>
    <t>Auto Payment TRANSFER TO 814282 52117068 Hofman Quinn REF: Quinn</t>
  </si>
  <si>
    <t>Pocket Money 17.50 299,957.50</t>
  </si>
  <si>
    <r>
      <t xml:space="preserve">7 Nov Fast Pymt In </t>
    </r>
    <r>
      <rPr>
        <sz val="8"/>
        <color rgb="FFFFFFFF"/>
        <rFont val="Helvetica"/>
        <family val="2"/>
      </rPr>
      <t xml:space="preserve">8 Nov From: Hofman Quinn REF: Minecraft </t>
    </r>
    <r>
      <rPr>
        <sz val="8"/>
        <color rgb="FF000000"/>
        <rFont val="Helvetica"/>
        <family val="2"/>
      </rPr>
      <t>8 Nov From: Hofman Quinn REF: Minecraft 42.50 300,000.00</t>
    </r>
  </si>
  <si>
    <t>9.99 300,009.99</t>
  </si>
  <si>
    <t>2 of 6</t>
  </si>
  <si>
    <t>2,000.00 302,009.99</t>
  </si>
  <si>
    <r>
      <t xml:space="preserve">12 Nov Fast Pymt In </t>
    </r>
    <r>
      <rPr>
        <sz val="8"/>
        <color rgb="FFFFFFFF"/>
        <rFont val="Helvetica"/>
        <family val="2"/>
      </rPr>
      <t xml:space="preserve">14 Nov </t>
    </r>
    <r>
      <rPr>
        <sz val="8"/>
        <color rgb="FF000000"/>
        <rFont val="Helvetica"/>
        <family val="2"/>
      </rPr>
      <t xml:space="preserve">14 Nov </t>
    </r>
    <r>
      <rPr>
        <sz val="8"/>
        <color rgb="FFFFFFFF"/>
        <rFont val="Helvetica"/>
        <family val="2"/>
      </rPr>
      <t>Auto Payment TRANSFER TO 814282 52117051 Hofman Beckett REF:</t>
    </r>
  </si>
  <si>
    <r>
      <t xml:space="preserve">14 Nov </t>
    </r>
    <r>
      <rPr>
        <sz val="8"/>
        <color rgb="FFFFFFFF"/>
        <rFont val="Helvetica"/>
        <family val="2"/>
      </rPr>
      <t xml:space="preserve">14 Nov </t>
    </r>
    <r>
      <rPr>
        <sz val="8"/>
        <color rgb="FF000000"/>
        <rFont val="Helvetica"/>
        <family val="2"/>
      </rPr>
      <t xml:space="preserve">14 Nov </t>
    </r>
    <r>
      <rPr>
        <sz val="8"/>
        <color rgb="FFFFFFFF"/>
        <rFont val="Helvetica"/>
        <family val="2"/>
      </rPr>
      <t>Weekly savings money 20.00 301,989.99</t>
    </r>
  </si>
  <si>
    <t>Weekly savings money 20.00 301,989.99</t>
  </si>
  <si>
    <t>Weekly Spending 5.00 301,984.99</t>
  </si>
  <si>
    <t>Pocket Money 17.50 301,967.49</t>
  </si>
  <si>
    <t>20 Nov Fast Pymt In 4,080.29 306,047.78</t>
  </si>
  <si>
    <r>
      <t xml:space="preserve">20 Nov Fast Pymt Out RWC Flights Brett W Hofman </t>
    </r>
    <r>
      <rPr>
        <sz val="8"/>
        <color rgb="FF000000"/>
        <rFont val="Helvetica"/>
        <family val="2"/>
      </rPr>
      <t xml:space="preserve">20 Nov Fast Pymt Out RWC Flights Brett W Hofman 200.00 </t>
    </r>
    <r>
      <rPr>
        <sz val="8"/>
        <color rgb="FFFFFFFF"/>
        <rFont val="Helvetica"/>
        <family val="2"/>
      </rPr>
      <t xml:space="preserve">200.00 </t>
    </r>
    <r>
      <rPr>
        <sz val="8"/>
        <color rgb="FF000000"/>
        <rFont val="Helvetica"/>
        <family val="2"/>
      </rPr>
      <t>305,847.78</t>
    </r>
  </si>
  <si>
    <t>20 Nov BPAY BPAY Qantas Credit Cards REF: 20251120212957846 10,059.73 295,788.05</t>
  </si>
  <si>
    <r>
      <t xml:space="preserve">21 Nov </t>
    </r>
    <r>
      <rPr>
        <sz val="8"/>
        <color rgb="FF000000"/>
        <rFont val="Helvetica"/>
        <family val="2"/>
      </rPr>
      <t xml:space="preserve">21 Nov </t>
    </r>
    <r>
      <rPr>
        <sz val="8"/>
        <color rgb="FFFFFFFF"/>
        <rFont val="Helvetica"/>
        <family val="2"/>
      </rPr>
      <t>Auto Payment TRANSFER TO 814282 52117051 Hofman Beckett REF:</t>
    </r>
  </si>
  <si>
    <r>
      <t xml:space="preserve">21 Nov </t>
    </r>
    <r>
      <rPr>
        <sz val="8"/>
        <color rgb="FFFFFFFF"/>
        <rFont val="Helvetica"/>
        <family val="2"/>
      </rPr>
      <t xml:space="preserve">21 Nov </t>
    </r>
    <r>
      <rPr>
        <sz val="8"/>
        <color rgb="FF000000"/>
        <rFont val="Helvetica"/>
        <family val="2"/>
      </rPr>
      <t xml:space="preserve">21 Nov </t>
    </r>
    <r>
      <rPr>
        <sz val="8"/>
        <color rgb="FFFFFFFF"/>
        <rFont val="Helvetica"/>
        <family val="2"/>
      </rPr>
      <t>Weekly savings money 20.00 295,768.05</t>
    </r>
  </si>
  <si>
    <t>Weekly savings money 20.00 295,768.05</t>
  </si>
  <si>
    <t>Weekly Spending 5.00 295,763.05</t>
  </si>
  <si>
    <r>
      <t xml:space="preserve">27 Nov </t>
    </r>
    <r>
      <rPr>
        <sz val="8"/>
        <color rgb="FFFFFFFF"/>
        <rFont val="Helvetica"/>
        <family val="2"/>
      </rPr>
      <t xml:space="preserve">28 Nov </t>
    </r>
    <r>
      <rPr>
        <sz val="8"/>
        <color rgb="FF000000"/>
        <rFont val="Helvetica"/>
        <family val="2"/>
      </rPr>
      <t xml:space="preserve">28 Nov </t>
    </r>
    <r>
      <rPr>
        <sz val="8"/>
        <color rgb="FFFFFFFF"/>
        <rFont val="Helvetica"/>
        <family val="2"/>
      </rPr>
      <t>Pocket Money 17.50 295,745.55</t>
    </r>
  </si>
  <si>
    <t>Pocket Money 17.50 295,745.55</t>
  </si>
  <si>
    <t>TXN INITIATED BY-9018614 TRANSFER TO 814282 52117068 Hofman</t>
  </si>
  <si>
    <t>Quinn 5.00 295,740.55</t>
  </si>
  <si>
    <r>
      <t xml:space="preserve">28 Nov </t>
    </r>
    <r>
      <rPr>
        <sz val="8"/>
        <color rgb="FFFFFFFF"/>
        <rFont val="Helvetica"/>
        <family val="2"/>
      </rPr>
      <t xml:space="preserve">28 Nov </t>
    </r>
    <r>
      <rPr>
        <sz val="8"/>
        <color rgb="FF000000"/>
        <rFont val="Helvetica"/>
        <family val="2"/>
      </rPr>
      <t xml:space="preserve">28 Nov </t>
    </r>
    <r>
      <rPr>
        <sz val="8"/>
        <color rgb="FFFFFFFF"/>
        <rFont val="Helvetica"/>
        <family val="2"/>
      </rPr>
      <t>Weekly savings money 20.00 295,720.55</t>
    </r>
  </si>
  <si>
    <t>Weekly savings money 20.00 295,720.55</t>
  </si>
  <si>
    <t>Weekly Spending 5.00 295,715.55</t>
  </si>
  <si>
    <t>Pocket Money 17.50 295,698.05</t>
  </si>
  <si>
    <t>1 Dec Loan Repay TRANSFER TO 814282 50503609 Hofman Brett REF: Interest</t>
  </si>
  <si>
    <t>Interest 2,337.72 293,360.33</t>
  </si>
  <si>
    <r>
      <t xml:space="preserve">2 Dec Fast Pymt In 4 Dec Fast Pymt In </t>
    </r>
    <r>
      <rPr>
        <sz val="8"/>
        <color rgb="FFFFFFFF"/>
        <rFont val="Helvetica"/>
        <family val="2"/>
      </rPr>
      <t xml:space="preserve">4 Dec Fast Pymt In </t>
    </r>
    <r>
      <rPr>
        <sz val="8"/>
        <color rgb="FF000000"/>
        <rFont val="Helvetica"/>
        <family val="2"/>
      </rPr>
      <t>1,000.00 294,360.33</t>
    </r>
  </si>
  <si>
    <t>4,000.00 298,360.33</t>
  </si>
  <si>
    <t>5 Dec Auto Payment TRANSFER TO 814282 52117051 Hofman Beckett REF:</t>
  </si>
  <si>
    <t>Weekly savings money 20.00 298,340.33</t>
  </si>
  <si>
    <r>
      <t xml:space="preserve">5 Dec </t>
    </r>
    <r>
      <rPr>
        <sz val="8"/>
        <color rgb="FF000000"/>
        <rFont val="Helvetica"/>
        <family val="2"/>
      </rPr>
      <t>5 Dec Auto Payment TRANSFER TO 814282 52117052 Hofman Beckett REF:</t>
    </r>
  </si>
  <si>
    <r>
      <t xml:space="preserve">5 Dec </t>
    </r>
    <r>
      <rPr>
        <sz val="8"/>
        <color rgb="FFFFFFFF"/>
        <rFont val="Helvetica"/>
        <family val="2"/>
      </rPr>
      <t xml:space="preserve">5 Dec </t>
    </r>
    <r>
      <rPr>
        <sz val="8"/>
        <color rgb="FF000000"/>
        <rFont val="Helvetica"/>
        <family val="2"/>
      </rPr>
      <t xml:space="preserve">5 Dec </t>
    </r>
    <r>
      <rPr>
        <sz val="8"/>
        <color rgb="FFFFFFFF"/>
        <rFont val="Helvetica"/>
        <family val="2"/>
      </rPr>
      <t>Weekly Spending 5.00 298,335.33</t>
    </r>
  </si>
  <si>
    <t>Weekly Spending 5.00 298,335.33</t>
  </si>
  <si>
    <t>Pocket Money 17.50 298,317.83</t>
  </si>
  <si>
    <r>
      <t xml:space="preserve">12 Dec </t>
    </r>
    <r>
      <rPr>
        <sz val="8"/>
        <color rgb="FFFFFFFF"/>
        <rFont val="Helvetica"/>
        <family val="2"/>
      </rPr>
      <t xml:space="preserve">12 Dec </t>
    </r>
    <r>
      <rPr>
        <sz val="8"/>
        <color rgb="FF000000"/>
        <rFont val="Helvetica"/>
        <family val="2"/>
      </rPr>
      <t xml:space="preserve">12 Dec </t>
    </r>
    <r>
      <rPr>
        <sz val="8"/>
        <color rgb="FFFFFFFF"/>
        <rFont val="Helvetica"/>
        <family val="2"/>
      </rPr>
      <t>Mortgage Monthly Mortgage Monthly 4,757.06 293,560.77</t>
    </r>
  </si>
  <si>
    <t>Mortgage Monthly Mortgage Monthly 4,757.06 293,560.77</t>
  </si>
  <si>
    <t>Weekly savings money 20.00 293,540.77</t>
  </si>
  <si>
    <t>Weekly Spending 5.00 293,535.77</t>
  </si>
  <si>
    <t>12 Dec Auto Payment TRANSFER TO 814282 52117068 Hofman Quinn REF: Quinn</t>
  </si>
  <si>
    <t>Pocket Money 17.50 293,518.27</t>
  </si>
  <si>
    <r>
      <t xml:space="preserve">12 Dec Fast Pymt In </t>
    </r>
    <r>
      <rPr>
        <sz val="8"/>
        <color rgb="FFFFFFFF"/>
        <rFont val="Helvetica"/>
        <family val="2"/>
      </rPr>
      <t xml:space="preserve">12 Dec Fast Pymt In </t>
    </r>
    <r>
      <rPr>
        <sz val="8"/>
        <color rgb="FF000000"/>
        <rFont val="Helvetica"/>
        <family val="2"/>
      </rPr>
      <t>481.73 294,000.00</t>
    </r>
  </si>
  <si>
    <t>481.73 294,000.00</t>
  </si>
  <si>
    <t>18 Dec Fast Pymt In 4,000.00 298,000.00</t>
  </si>
  <si>
    <r>
      <t xml:space="preserve">19 Dec </t>
    </r>
    <r>
      <rPr>
        <sz val="8"/>
        <color rgb="FFFFFFFF"/>
        <rFont val="Helvetica"/>
        <family val="2"/>
      </rPr>
      <t>19 Dec Auto Payment TRANSFER TO 814282 52117051 Hofman Beckett REF:</t>
    </r>
  </si>
  <si>
    <r>
      <t xml:space="preserve">19 Dec </t>
    </r>
    <r>
      <rPr>
        <sz val="8"/>
        <color rgb="FFFFFFFF"/>
        <rFont val="Helvetica"/>
        <family val="2"/>
      </rPr>
      <t xml:space="preserve">19 Dec </t>
    </r>
    <r>
      <rPr>
        <sz val="8"/>
        <color rgb="FF000000"/>
        <rFont val="Helvetica"/>
        <family val="2"/>
      </rPr>
      <t xml:space="preserve">19 Dec </t>
    </r>
    <r>
      <rPr>
        <sz val="8"/>
        <color rgb="FFFFFFFF"/>
        <rFont val="Helvetica"/>
        <family val="2"/>
      </rPr>
      <t>Weekly savings money 20.00 297,980.00</t>
    </r>
  </si>
  <si>
    <t>Weekly savings money 20.00 297,980.00</t>
  </si>
  <si>
    <t>Weekly Spending 5.00 297,975.00</t>
  </si>
  <si>
    <t>8,664.25 Pocket Money 17.50 297,957.50</t>
  </si>
  <si>
    <t>Pocket Money 17.50 297,957.50</t>
  </si>
  <si>
    <r>
      <t xml:space="preserve">22 Dec BPAY BPAY Qantas Credit Cards REF: 20251222155445610 23 Dec Fast Pymt In </t>
    </r>
    <r>
      <rPr>
        <sz val="8"/>
        <color rgb="FFFFFFFF"/>
        <rFont val="Helvetica"/>
        <family val="2"/>
      </rPr>
      <t xml:space="preserve">23 Dec Fast Pymt In </t>
    </r>
    <r>
      <rPr>
        <sz val="8"/>
        <color rgb="FF000000"/>
        <rFont val="Helvetica"/>
        <family val="2"/>
      </rPr>
      <t>289,293.25</t>
    </r>
  </si>
  <si>
    <t>2,000.00 291,293.25</t>
  </si>
  <si>
    <t>26 Dec Auto Payment TRANSFER TO 814282 52117051 Hofman Beckett REF:</t>
  </si>
  <si>
    <t>Weekly savings money 20.00 291,273.25</t>
  </si>
  <si>
    <r>
      <t xml:space="preserve">26 Dec </t>
    </r>
    <r>
      <rPr>
        <sz val="8"/>
        <color rgb="FF000000"/>
        <rFont val="Helvetica"/>
        <family val="2"/>
      </rPr>
      <t>26 Dec Auto Payment TRANSFER TO 814282 52117052 Hofman Beckett REF:</t>
    </r>
  </si>
  <si>
    <t>Weekly Spending 5.00 291,268.25</t>
  </si>
  <si>
    <t>26 Dec Auto Payment TRANSFER TO 814282 52117068 Hofman Quinn REF: Quinn</t>
  </si>
  <si>
    <t>Pocket Money 17.50 291,250.75</t>
  </si>
  <si>
    <r>
      <t xml:space="preserve">26 Dec Fast Pymt In </t>
    </r>
    <r>
      <rPr>
        <sz val="8"/>
        <color rgb="FFFFFFFF"/>
        <rFont val="Helvetica"/>
        <family val="2"/>
      </rPr>
      <t xml:space="preserve">26 Dec Fast Pymt In </t>
    </r>
    <r>
      <rPr>
        <sz val="8"/>
        <color rgb="FF000000"/>
        <rFont val="Helvetica"/>
        <family val="2"/>
      </rPr>
      <t>50.00 291,300.75</t>
    </r>
  </si>
  <si>
    <t>50.00 291,300.75</t>
  </si>
  <si>
    <t>26 Dec REF:Quinn Xmas Grand m</t>
  </si>
  <si>
    <r>
      <t xml:space="preserve">26 Dec </t>
    </r>
    <r>
      <rPr>
        <sz val="8"/>
        <color rgb="FFFFFFFF"/>
        <rFont val="Helvetica"/>
        <family val="2"/>
      </rPr>
      <t xml:space="preserve">26 Dec </t>
    </r>
    <r>
      <rPr>
        <sz val="8"/>
        <color rgb="FF000000"/>
        <rFont val="Helvetica"/>
        <family val="2"/>
      </rPr>
      <t>Xmas Grand ma pa TXN INITIATED BY-9018614 TRANSFER TO 814282</t>
    </r>
  </si>
  <si>
    <t>Xmas Grand ma pa TXN INITIATED BY-9018614 TRANSFER TO 814282</t>
  </si>
  <si>
    <t>E-1380/S-85140/I-159997</t>
  </si>
  <si>
    <r>
      <t xml:space="preserve">26 Dec </t>
    </r>
    <r>
      <rPr>
        <sz val="8"/>
        <color rgb="FFFFFFFF"/>
        <rFont val="Helvetica"/>
        <family val="2"/>
      </rPr>
      <t>52117068 Hofman Quinn 50.00 291,250.75</t>
    </r>
  </si>
  <si>
    <t>52117068 Hofman Quinn 50.00 291,250.75</t>
  </si>
  <si>
    <t>Cmas movie cash TXN INITIATED BY-9018614 TRANSFER TO 814282</t>
  </si>
  <si>
    <t>52117052 Hofman Beckett 25.00 291,225.75</t>
  </si>
  <si>
    <t>3 of 6</t>
  </si>
  <si>
    <t>3,236.52 294,462.27</t>
  </si>
  <si>
    <r>
      <t xml:space="preserve">31 Dec Fast Pymt In </t>
    </r>
    <r>
      <rPr>
        <sz val="8"/>
        <color rgb="FF000000"/>
        <rFont val="Helvetica"/>
        <family val="2"/>
      </rPr>
      <t>31 Dec Fast Pymt In 31 Dec REF:Dec Salary to Mort</t>
    </r>
  </si>
  <si>
    <r>
      <t xml:space="preserve">1 Jan </t>
    </r>
    <r>
      <rPr>
        <sz val="8"/>
        <color rgb="FF000000"/>
        <rFont val="Helvetica"/>
        <family val="2"/>
      </rPr>
      <t xml:space="preserve">1 Jan </t>
    </r>
    <r>
      <rPr>
        <sz val="8"/>
        <color rgb="FFFFFFFF"/>
        <rFont val="Helvetica"/>
        <family val="2"/>
      </rPr>
      <t>Loan Repay TRANSFER TO 814282 50503609 Hofman Brett REF: Interest</t>
    </r>
  </si>
  <si>
    <t>Interest 2,337.72 292,124.55</t>
  </si>
  <si>
    <r>
      <t xml:space="preserve">2 Jan </t>
    </r>
    <r>
      <rPr>
        <sz val="8"/>
        <color rgb="FF000000"/>
        <rFont val="Helvetica"/>
        <family val="2"/>
      </rPr>
      <t xml:space="preserve">2 Jan </t>
    </r>
    <r>
      <rPr>
        <sz val="8"/>
        <color rgb="FFFFFFFF"/>
        <rFont val="Helvetica"/>
        <family val="2"/>
      </rPr>
      <t>Auto Payment TRANSFER TO 814282 52117051 Hofman Beckett REF:</t>
    </r>
  </si>
  <si>
    <r>
      <t xml:space="preserve">2 Jan </t>
    </r>
    <r>
      <rPr>
        <sz val="8"/>
        <color rgb="FFFFFFFF"/>
        <rFont val="Helvetica"/>
        <family val="2"/>
      </rPr>
      <t xml:space="preserve">2 Jan </t>
    </r>
    <r>
      <rPr>
        <sz val="8"/>
        <color rgb="FF000000"/>
        <rFont val="Helvetica"/>
        <family val="2"/>
      </rPr>
      <t xml:space="preserve">2 Jan </t>
    </r>
    <r>
      <rPr>
        <sz val="8"/>
        <color rgb="FFFFFFFF"/>
        <rFont val="Helvetica"/>
        <family val="2"/>
      </rPr>
      <t>Weekly savings money 20.00 292,104.55</t>
    </r>
  </si>
  <si>
    <t>Weekly savings money 20.00 292,104.55</t>
  </si>
  <si>
    <t>Weekly Spending 5.00 292,099.55</t>
  </si>
  <si>
    <t>Pocket Money 17.50 292,082.05</t>
  </si>
  <si>
    <t>Mortgage Monthly Mortgage Monthly 4,757.06 287,324.99</t>
  </si>
  <si>
    <r>
      <t xml:space="preserve">5 Jan Fast Pymt In </t>
    </r>
    <r>
      <rPr>
        <sz val="8"/>
        <color rgb="FFFFFFFF"/>
        <rFont val="Helvetica"/>
        <family val="2"/>
      </rPr>
      <t xml:space="preserve">5 Jan Fast Pymt In </t>
    </r>
    <r>
      <rPr>
        <sz val="8"/>
        <color rgb="FF000000"/>
        <rFont val="Helvetica"/>
        <family val="2"/>
      </rPr>
      <t>1,573.77 288,898.76</t>
    </r>
  </si>
  <si>
    <t>1,573.77 288,898.76</t>
  </si>
  <si>
    <t>5 Jan REF:Mortgage</t>
  </si>
  <si>
    <r>
      <t xml:space="preserve">9 Jan </t>
    </r>
    <r>
      <rPr>
        <sz val="8"/>
        <color rgb="FFFFFFFF"/>
        <rFont val="Helvetica"/>
        <family val="2"/>
      </rPr>
      <t xml:space="preserve">9 Jan </t>
    </r>
    <r>
      <rPr>
        <sz val="8"/>
        <color rgb="FF000000"/>
        <rFont val="Helvetica"/>
        <family val="2"/>
      </rPr>
      <t>Auto Payment TRANSFER TO 814282 52117051 Hofman Beckett REF:</t>
    </r>
  </si>
  <si>
    <r>
      <t xml:space="preserve">9 Jan </t>
    </r>
    <r>
      <rPr>
        <sz val="8"/>
        <color rgb="FFFFFFFF"/>
        <rFont val="Helvetica"/>
        <family val="2"/>
      </rPr>
      <t xml:space="preserve">9 Jan </t>
    </r>
    <r>
      <rPr>
        <sz val="8"/>
        <color rgb="FF000000"/>
        <rFont val="Helvetica"/>
        <family val="2"/>
      </rPr>
      <t xml:space="preserve">9 Jan </t>
    </r>
    <r>
      <rPr>
        <sz val="8"/>
        <color rgb="FFFFFFFF"/>
        <rFont val="Helvetica"/>
        <family val="2"/>
      </rPr>
      <t>Weekly savings money 20.00 288,878.76</t>
    </r>
  </si>
  <si>
    <t>Weekly savings money 20.00 288,878.76</t>
  </si>
  <si>
    <t>Weekly Spending 5.00 288,873.76</t>
  </si>
  <si>
    <t>Pocket Money 17.50 288,856.26</t>
  </si>
  <si>
    <t>4,000.00 292,856.26</t>
  </si>
  <si>
    <r>
      <t xml:space="preserve">15 Jan Fast Pymt In </t>
    </r>
    <r>
      <rPr>
        <sz val="8"/>
        <color rgb="FFFFFFFF"/>
        <rFont val="Helvetica"/>
        <family val="2"/>
      </rPr>
      <t xml:space="preserve">16 Jan </t>
    </r>
    <r>
      <rPr>
        <sz val="8"/>
        <color rgb="FF000000"/>
        <rFont val="Helvetica"/>
        <family val="2"/>
      </rPr>
      <t xml:space="preserve">16 Jan </t>
    </r>
    <r>
      <rPr>
        <sz val="8"/>
        <color rgb="FFFFFFFF"/>
        <rFont val="Helvetica"/>
        <family val="2"/>
      </rPr>
      <t>Auto Payment TRANSFER TO 814282 52117051 Hofman Beckett REF:</t>
    </r>
  </si>
  <si>
    <r>
      <t xml:space="preserve">16 Jan </t>
    </r>
    <r>
      <rPr>
        <sz val="8"/>
        <color rgb="FFFFFFFF"/>
        <rFont val="Helvetica"/>
        <family val="2"/>
      </rPr>
      <t xml:space="preserve">16 Jan </t>
    </r>
    <r>
      <rPr>
        <sz val="8"/>
        <color rgb="FF000000"/>
        <rFont val="Helvetica"/>
        <family val="2"/>
      </rPr>
      <t xml:space="preserve">16 Jan </t>
    </r>
    <r>
      <rPr>
        <sz val="8"/>
        <color rgb="FFFFFFFF"/>
        <rFont val="Helvetica"/>
        <family val="2"/>
      </rPr>
      <t>Weekly savings money 20.00 292,836.26</t>
    </r>
  </si>
  <si>
    <t>Weekly savings money 20.00 292,836.26</t>
  </si>
  <si>
    <t>Weekly Spending 5.00 292,831.26</t>
  </si>
  <si>
    <t>Pocket Money 17.50 292,813.76</t>
  </si>
  <si>
    <t>20 Jan Fast Pymt In 1,800.00 294,613.76</t>
  </si>
  <si>
    <t>21 Jan CLOSING BALANCE 294,613.76</t>
  </si>
  <si>
    <r>
      <t xml:space="preserve">Account name: </t>
    </r>
    <r>
      <rPr>
        <sz val="9"/>
        <color rgb="FF000000"/>
        <rFont val="Helvetica"/>
        <family val="2"/>
      </rPr>
      <t>Len eSaver Plus</t>
    </r>
  </si>
  <si>
    <t>22 Jul OPENING BALANCE 6,615.36</t>
  </si>
  <si>
    <r>
      <t xml:space="preserve">31 Jul Interest Paid </t>
    </r>
    <r>
      <rPr>
        <sz val="8"/>
        <color rgb="FFFFFFFF"/>
        <rFont val="Helvetica"/>
        <family val="2"/>
      </rPr>
      <t xml:space="preserve">31 Jul Interest Paid </t>
    </r>
    <r>
      <rPr>
        <sz val="8"/>
        <color rgb="FF000000"/>
        <rFont val="Helvetica"/>
        <family val="2"/>
      </rPr>
      <t>0.56 6,615.92</t>
    </r>
  </si>
  <si>
    <t>0.56 6,615.92</t>
  </si>
  <si>
    <t>31 Aug Interest Paid 0.56 6,616.48</t>
  </si>
  <si>
    <r>
      <t xml:space="preserve">30 Sep Interest Paid </t>
    </r>
    <r>
      <rPr>
        <sz val="8"/>
        <color rgb="FFFFFFFF"/>
        <rFont val="Helvetica"/>
        <family val="2"/>
      </rPr>
      <t xml:space="preserve">30 Sep Interest Paid </t>
    </r>
    <r>
      <rPr>
        <sz val="8"/>
        <color rgb="FF000000"/>
        <rFont val="Helvetica"/>
        <family val="2"/>
      </rPr>
      <t>0.54 6,617.02</t>
    </r>
  </si>
  <si>
    <t>0.54 6,617.02</t>
  </si>
  <si>
    <t>28 Oct Top up Len Bankwest TXN INITIATED BY-9018614 TRANSFER TO 814282</t>
  </si>
  <si>
    <t>50455259 Hofman Brett 2,617.02 4,000.00</t>
  </si>
  <si>
    <r>
      <t xml:space="preserve">31 Oct Interest Paid </t>
    </r>
    <r>
      <rPr>
        <sz val="8"/>
        <color rgb="FFFFFFFF"/>
        <rFont val="Helvetica"/>
        <family val="2"/>
      </rPr>
      <t xml:space="preserve">31 Oct Interest Paid </t>
    </r>
    <r>
      <rPr>
        <sz val="8"/>
        <color rgb="FF000000"/>
        <rFont val="Helvetica"/>
        <family val="2"/>
      </rPr>
      <t>0.53 4,000.53</t>
    </r>
  </si>
  <si>
    <t>0.53 4,000.53</t>
  </si>
  <si>
    <t>30 Nov Interest Paid 0.33 4,000.86</t>
  </si>
  <si>
    <r>
      <t xml:space="preserve">2 Dec BPAY BPAY WA TRANSPORT DVS REF: 20251202094746286 200.70 </t>
    </r>
    <r>
      <rPr>
        <sz val="8"/>
        <color rgb="FFFFFFFF"/>
        <rFont val="Helvetica"/>
        <family val="2"/>
      </rPr>
      <t xml:space="preserve">2 Dec BPAY BPAY WA TRANSPORT DVS REF: 20251202094746286 200.70 </t>
    </r>
    <r>
      <rPr>
        <sz val="8"/>
        <color rgb="FF000000"/>
        <rFont val="Helvetica"/>
        <family val="2"/>
      </rPr>
      <t>3,800.16</t>
    </r>
  </si>
  <si>
    <t>31 Dec Interest Paid 0.32 3,800.48</t>
  </si>
  <si>
    <r>
      <t xml:space="preserve">15 Jan Fast Pymt Out For car insurance Len Bankwest </t>
    </r>
    <r>
      <rPr>
        <sz val="8"/>
        <color rgb="FFFFFFFF"/>
        <rFont val="Helvetica"/>
        <family val="2"/>
      </rPr>
      <t xml:space="preserve">15 Jan Fast Pymt Out For car insurance Len Bankwest 800.48 </t>
    </r>
    <r>
      <rPr>
        <sz val="8"/>
        <color rgb="FF000000"/>
        <rFont val="Helvetica"/>
        <family val="2"/>
      </rPr>
      <t>800.48 3,000.00</t>
    </r>
  </si>
  <si>
    <t>21 Jan CLOSING BALANCE 3,000.00</t>
  </si>
  <si>
    <t>E-1380/S-85140/I-159998</t>
  </si>
  <si>
    <t>Interest Paid $2.84 $2.84 $8.34</t>
  </si>
  <si>
    <t>4 of 6</t>
  </si>
  <si>
    <r>
      <t xml:space="preserve">Account name: </t>
    </r>
    <r>
      <rPr>
        <sz val="9"/>
        <color rgb="FF000000"/>
        <rFont val="Helvetica"/>
        <family val="2"/>
      </rPr>
      <t>Albany Variable INV IO</t>
    </r>
  </si>
  <si>
    <r>
      <t xml:space="preserve">Account: </t>
    </r>
    <r>
      <rPr>
        <sz val="9"/>
        <color rgb="FF000000"/>
        <rFont val="Helvetica"/>
        <family val="2"/>
      </rPr>
      <t xml:space="preserve">50503609 Brett William Hofman, Laura Nicole Hofman </t>
    </r>
    <r>
      <rPr>
        <sz val="8"/>
        <color rgb="FF000000"/>
        <rFont val="Helvetica"/>
        <family val="2"/>
      </rPr>
      <t>CURRENT INTEREST RATE 5.79% P.A.</t>
    </r>
  </si>
  <si>
    <t>22 Jul OPENING BALANCE 474,169.28</t>
  </si>
  <si>
    <t>31 Jul Interest Charged 2,432.68 476,601.96</t>
  </si>
  <si>
    <t>1 Aug Loan Repay REF: IO Monthly Payment IO Monthly Payment From:</t>
  </si>
  <si>
    <t>Hofman Brett 2,390.00 474,211.96</t>
  </si>
  <si>
    <r>
      <t xml:space="preserve">1 Aug Credit Transfer </t>
    </r>
    <r>
      <rPr>
        <sz val="8"/>
        <color rgb="FF000000"/>
        <rFont val="Helvetica"/>
        <family val="2"/>
      </rPr>
      <t xml:space="preserve">1 Aug Credit Transfer </t>
    </r>
    <r>
      <rPr>
        <sz val="8"/>
        <color rgb="FFFFFFFF"/>
        <rFont val="Helvetica"/>
        <family val="2"/>
      </rPr>
      <t>42.68 474,169.28</t>
    </r>
  </si>
  <si>
    <t>42.68 474,169.28</t>
  </si>
  <si>
    <t>26 Aug RATE CHANGED FM 6.04 % TO 5.79 %</t>
  </si>
  <si>
    <t>31 Aug Interest Charged 2,412.94 476,582.22</t>
  </si>
  <si>
    <t>1 Sep Loan Repay REF: Interest Interest From: Hofman Brett 2,337.72 474,244.50</t>
  </si>
  <si>
    <r>
      <t xml:space="preserve">1 Sep Credit Transfer </t>
    </r>
    <r>
      <rPr>
        <sz val="8"/>
        <color rgb="FF000000"/>
        <rFont val="Helvetica"/>
        <family val="2"/>
      </rPr>
      <t xml:space="preserve">1 Sep Credit Transfer </t>
    </r>
    <r>
      <rPr>
        <sz val="8"/>
        <color rgb="FFFFFFFF"/>
        <rFont val="Helvetica"/>
        <family val="2"/>
      </rPr>
      <t>75.22 474,169.28</t>
    </r>
  </si>
  <si>
    <t>75.22 474,169.28</t>
  </si>
  <si>
    <t>30 Sep Interest Charged 2,256.53 476,425.81</t>
  </si>
  <si>
    <t>1 Oct Loan Repay REF: Interest Interest From: Hofman Brett 2,337.72 474,088.09</t>
  </si>
  <si>
    <t>31 Oct Interest Charged 2,331.34 476,419.43</t>
  </si>
  <si>
    <t>1 Nov Loan Repay REF: Interest Interest From: Hofman Brett 2,337.72 474,081.71</t>
  </si>
  <si>
    <t>30 Nov Interest Charged 2,256.11 476,337.82</t>
  </si>
  <si>
    <t>1 Dec Loan Repay REF: Interest Interest From: Hofman Brett 2,337.72 474,000.10</t>
  </si>
  <si>
    <t>31 Dec Interest Charged 2,330.91 476,331.01</t>
  </si>
  <si>
    <t>1 Jan Loan Repay REF: Interest Interest From: Hofman Brett 2,337.72 473,993.29</t>
  </si>
  <si>
    <t>21 Jan CLOSING BALANCE 473,993.29</t>
  </si>
  <si>
    <t>Interest Charged -$14,020.51 -$14,020.51 -$31,228.60</t>
  </si>
  <si>
    <t>E-1380/S-85141/I-159999</t>
  </si>
  <si>
    <r>
      <t xml:space="preserve">Account name: </t>
    </r>
    <r>
      <rPr>
        <sz val="9"/>
        <color rgb="FF000000"/>
        <rFont val="Helvetica"/>
        <family val="2"/>
      </rPr>
      <t>Arnold Offset Var OO PI</t>
    </r>
  </si>
  <si>
    <r>
      <t xml:space="preserve">Account: </t>
    </r>
    <r>
      <rPr>
        <sz val="9"/>
        <color rgb="FF000000"/>
        <rFont val="Helvetica"/>
        <family val="2"/>
      </rPr>
      <t xml:space="preserve">51001645 Brett William Hofman, Laura Nicole Hofman </t>
    </r>
    <r>
      <rPr>
        <sz val="8"/>
        <color rgb="FF000000"/>
        <rFont val="Helvetica"/>
        <family val="2"/>
      </rPr>
      <t>CURRENT INTEREST RATE 5.44% P.A.</t>
    </r>
  </si>
  <si>
    <t>22 Jul OPENING BALANCE 749,566.65</t>
  </si>
  <si>
    <t>31 Jul INT SAVED BY BALANCE OFFSET 1530.32</t>
  </si>
  <si>
    <t>31 Jul Interest Charged 2,222.75 751,789.40</t>
  </si>
  <si>
    <t>5 Aug Loan Repay REF: OO_Monthly OO_Monthly From: Hofman Brett 5,257.03 746,532.37</t>
  </si>
  <si>
    <t>26 Aug RATE CHANGED FM 5.89 % TO 5.64 %</t>
  </si>
  <si>
    <r>
      <t xml:space="preserve">26 Aug </t>
    </r>
    <r>
      <rPr>
        <sz val="8"/>
        <color rgb="FF000000"/>
        <rFont val="Helvetica"/>
        <family val="2"/>
      </rPr>
      <t xml:space="preserve">26 Aug </t>
    </r>
    <r>
      <rPr>
        <sz val="8"/>
        <color rgb="FFFFFFFF"/>
        <rFont val="Helvetica"/>
        <family val="2"/>
      </rPr>
      <t>REPAY CHG FM 5026.75 TO 4880.65 EFF. 26/08/2025</t>
    </r>
  </si>
  <si>
    <t>REPAY CHG FM 5026.75 TO 4880.65 EFF. 26/08/2025</t>
  </si>
  <si>
    <t>31 Aug INT SAVED BY BALANCE OFFSET 1483.18</t>
  </si>
  <si>
    <t>31 Aug Interest Charged 2,224.04 748,756.41</t>
  </si>
  <si>
    <t>5 Sep Loan Repay REF: Mortgage Mortgage From: Hofman Brett 4,880.65 743,875.76</t>
  </si>
  <si>
    <t>30 Sep INT SAVED BY BALANCE OFFSET 1320.62</t>
  </si>
  <si>
    <t>30 Sep Interest Charged 2,130.72 746,006.48</t>
  </si>
  <si>
    <t>5 Oct Loan Repay REF: Mortgage Mortgage From: Hofman Brett 4,880.65 741,125.83</t>
  </si>
  <si>
    <t>31 Oct INT SAVED BY BALANCE OFFSET 1391.70</t>
  </si>
  <si>
    <t>31 Oct Interest Charged 2,161.41 743,287.24</t>
  </si>
  <si>
    <t>5 of 6</t>
  </si>
  <si>
    <t>5 Nov Loan Repay REF: Mortgage Mortgage From: Hofman Brett 4,880.65 738,406.59</t>
  </si>
  <si>
    <r>
      <t xml:space="preserve">13 Nov </t>
    </r>
    <r>
      <rPr>
        <sz val="8"/>
        <color rgb="FF000000"/>
        <rFont val="Helvetica"/>
        <family val="2"/>
      </rPr>
      <t xml:space="preserve">13 Nov </t>
    </r>
    <r>
      <rPr>
        <sz val="8"/>
        <color rgb="FFFFFFFF"/>
        <rFont val="Helvetica"/>
        <family val="2"/>
      </rPr>
      <t>2.01 % DISC TO Offset Variable OO P&amp;I REF RATE</t>
    </r>
  </si>
  <si>
    <t>2.01 % DISC TO Offset Variable OO P&amp;I REF RATE</t>
  </si>
  <si>
    <t>13 Nov REPAY CHG FM 4880.65 TO 4757.06 EFF. 13/11/2025</t>
  </si>
  <si>
    <r>
      <t xml:space="preserve">13 Nov </t>
    </r>
    <r>
      <rPr>
        <sz val="8"/>
        <color rgb="FF000000"/>
        <rFont val="Helvetica"/>
        <family val="2"/>
      </rPr>
      <t xml:space="preserve">13 Nov </t>
    </r>
    <r>
      <rPr>
        <sz val="8"/>
        <color rgb="FFFFFFFF"/>
        <rFont val="Helvetica"/>
        <family val="2"/>
      </rPr>
      <t>RATE CHANGED FM 5.64 % TO 5.44 %</t>
    </r>
  </si>
  <si>
    <t>RATE CHANGED FM 5.64 % TO 5.44 %</t>
  </si>
  <si>
    <t>30 Nov INT SAVED BY BALANCE OFFSET 1355.54</t>
  </si>
  <si>
    <t>30 Nov Interest Charged 1,997.62 740,404.21</t>
  </si>
  <si>
    <t>5 Dec Loan Repay REF: Mortgage Monthly Mortgage Monthly From: Hofman</t>
  </si>
  <si>
    <t>Brett 4,757.06 735,647.15</t>
  </si>
  <si>
    <t>31 Dec INT SAVED BY BALANCE OFFSET 1357.02</t>
  </si>
  <si>
    <t>31 Dec Interest Charged 2,044.71 737,691.86</t>
  </si>
  <si>
    <r>
      <t xml:space="preserve">5 Jan </t>
    </r>
    <r>
      <rPr>
        <sz val="8"/>
        <color rgb="FF000000"/>
        <rFont val="Helvetica"/>
        <family val="2"/>
      </rPr>
      <t xml:space="preserve">5 Jan </t>
    </r>
    <r>
      <rPr>
        <sz val="8"/>
        <color rgb="FFFFFFFF"/>
        <rFont val="Helvetica"/>
        <family val="2"/>
      </rPr>
      <t xml:space="preserve">Loan Repay REF: Mortgage Monthly </t>
    </r>
    <r>
      <rPr>
        <sz val="8"/>
        <color rgb="FF000000"/>
        <rFont val="Helvetica"/>
        <family val="2"/>
      </rPr>
      <t xml:space="preserve">Loan Repay REF: Mortgage Monthly </t>
    </r>
    <r>
      <rPr>
        <sz val="8"/>
        <color rgb="FFFFFFFF"/>
        <rFont val="Helvetica"/>
        <family val="2"/>
      </rPr>
      <t>Mortgage Monthly From: Hofman</t>
    </r>
  </si>
  <si>
    <t>Mortgage Monthly From: Hofman</t>
  </si>
  <si>
    <t>Brett 4,757.06 732,934.80</t>
  </si>
  <si>
    <t>21 Jan CLOSING BALANCE 732,934.80</t>
  </si>
  <si>
    <t>Interest Charged -$12,781.25 -$12,781.25 -$34,005.04</t>
  </si>
  <si>
    <t>E-1380/S-85141/I-160000</t>
  </si>
  <si>
    <t>6 of 6</t>
  </si>
  <si>
    <t>Interest Rate</t>
  </si>
  <si>
    <t>BALANCE</t>
  </si>
  <si>
    <t>Interest Charged</t>
  </si>
  <si>
    <t>Auto Payment</t>
  </si>
  <si>
    <t>Loan Repayment</t>
  </si>
  <si>
    <t>Loan Inputs</t>
  </si>
  <si>
    <t>IP1</t>
  </si>
  <si>
    <t>Opening Loan Balance</t>
  </si>
  <si>
    <t>Interest Rate (annual)</t>
  </si>
  <si>
    <t>Loan Start Year</t>
  </si>
  <si>
    <t>Original Loan Term (yrs)</t>
  </si>
  <si>
    <t>Bank_Charge_Assumption_Loan_Change_Fee</t>
  </si>
  <si>
    <t>Borrowing Costs</t>
  </si>
  <si>
    <t>Conveyance</t>
  </si>
  <si>
    <t>Loan Establishment Fee</t>
  </si>
  <si>
    <t>Registration of Title</t>
  </si>
  <si>
    <t>Stamp Duty (add to cost base for CGT when disposal of property)</t>
  </si>
  <si>
    <t>Exempt</t>
  </si>
  <si>
    <t>First year available for rent</t>
  </si>
  <si>
    <t>Amort years (ATO)</t>
  </si>
  <si>
    <t>ACTUAL INTEREST FROM GSB</t>
  </si>
  <si>
    <t>Schedule (Annual)</t>
  </si>
  <si>
    <t>Age</t>
  </si>
  <si>
    <t>Repayment Mode</t>
  </si>
  <si>
    <t>Remaining Term (yrs)</t>
  </si>
  <si>
    <t>Interest Expense</t>
  </si>
  <si>
    <t>Annual Repayment</t>
  </si>
  <si>
    <t>Principal Repayment</t>
  </si>
  <si>
    <t>Closing Balance</t>
  </si>
  <si>
    <t>“Borrowing Exp – Theoretical”</t>
  </si>
  <si>
    <t>PPOR</t>
  </si>
  <si>
    <t>Registration of Title / Lands Titles Office Fee</t>
  </si>
  <si>
    <t>Lands Titles / Electronic settlement fee</t>
  </si>
  <si>
    <t>ID Verification</t>
  </si>
  <si>
    <t xml:space="preserve">File administrative costs </t>
  </si>
  <si>
    <t>N/A</t>
  </si>
  <si>
    <t>Interest saved by Balance Offset</t>
  </si>
  <si>
    <r>
      <t>Offset Balance</t>
    </r>
    <r>
      <rPr>
        <sz val="11"/>
        <color rgb="FF000000"/>
        <rFont val="Calibri"/>
        <family val="2"/>
        <scheme val="minor"/>
      </rPr>
      <t> (cash sitting against mortgage)</t>
    </r>
  </si>
  <si>
    <r>
      <t>Effective Interest Balance</t>
    </r>
    <r>
      <rPr>
        <sz val="11"/>
        <color rgb="FF000000"/>
        <rFont val="Calibri"/>
        <family val="2"/>
        <scheme val="minor"/>
      </rPr>
      <t> (= loan balance minus offset)</t>
    </r>
  </si>
  <si>
    <r>
      <t>Interest Expense</t>
    </r>
    <r>
      <rPr>
        <sz val="11"/>
        <color rgb="FF000000"/>
        <rFont val="Calibri"/>
        <family val="2"/>
        <scheme val="minor"/>
      </rPr>
      <t> (= effective balance × rate)</t>
    </r>
  </si>
  <si>
    <t>PPOR (from Gmail)</t>
  </si>
  <si>
    <t>Your file ref: KM25145 
Professional Fees charged by Tuckfields Price ($) Conveyancing 695*</t>
  </si>
  <si>
    <t>Third-Party &amp; Government Fees/Charges</t>
  </si>
  <si>
    <t>Stamp duty based on purchase price [$1,125,000.00] 55,705.00</t>
  </si>
  <si>
    <t>Lands Titles Office Fee based on purchase price $1,125,000.00 9,635.00</t>
  </si>
  <si>
    <t>Government searches Lands Titles / Electronic settlement fee 115</t>
  </si>
  <si>
    <t>Legislative secure storage of your file and identity for 7 years 77</t>
  </si>
  <si>
    <t>Verification of your identity ($49-59 per person if conducted at Australia Post or ZIP ID) Complimentary if conducted at Tuckfields</t>
  </si>
  <si>
    <t>File administrative costs 140*</t>
  </si>
  <si>
    <t>Investment Property Expenses – Detailed (Annual)</t>
  </si>
  <si>
    <t>Enter annual landlord costs per property. Feeds rental cashflow and negative gearing.</t>
  </si>
  <si>
    <t>Landlord Insurance</t>
  </si>
  <si>
    <t>Property Management %</t>
  </si>
  <si>
    <t>Property Management</t>
  </si>
  <si>
    <t>Repairs &amp; Maintenance</t>
  </si>
  <si>
    <t>Strata – Admin</t>
  </si>
  <si>
    <t>Strata – 
Capital Works</t>
  </si>
  <si>
    <t>Council Rates</t>
  </si>
  <si>
    <t>Water Charges</t>
  </si>
  <si>
    <t>NRMA</t>
  </si>
  <si>
    <t>Lane Marriott</t>
  </si>
  <si>
    <t>C/O Lane Marriott</t>
  </si>
  <si>
    <t>StrataChoice</t>
  </si>
  <si>
    <t>North Sydney</t>
  </si>
  <si>
    <t>Sydney Water</t>
  </si>
  <si>
    <t>Vendors</t>
  </si>
  <si>
    <t>IP1 - Albany St Crows Nest</t>
  </si>
  <si>
    <t>Rental Tax &amp; Negative Gearing (AU)</t>
  </si>
  <si>
    <t>AU taxable rental income, negative gearing benefit, after-tax cashflow.</t>
  </si>
  <si>
    <t>Gross Rent</t>
  </si>
  <si>
    <t>Total Expenses</t>
  </si>
  <si>
    <t>Interest</t>
  </si>
  <si>
    <t>Taxable Rental Income</t>
  </si>
  <si>
    <t>Marginal Tax Rate</t>
  </si>
  <si>
    <t>Tax Benefit / (Payable)</t>
  </si>
  <si>
    <t>After-Tax Cashflow</t>
  </si>
  <si>
    <t>Assumptions (Active Scenario View)</t>
  </si>
  <si>
    <t>Single-source assumptions used by projections.</t>
  </si>
  <si>
    <t>Assumption</t>
  </si>
  <si>
    <t>Scenario-linked</t>
  </si>
  <si>
    <t>Rental Expense Ratio</t>
  </si>
  <si>
    <t>Editable</t>
  </si>
  <si>
    <t>Monte Carlo sims</t>
  </si>
  <si>
    <t>Generated values</t>
  </si>
  <si>
    <t>Property_CF Assumptions</t>
  </si>
  <si>
    <t xml:space="preserve"> 8. Insurance - Landlord </t>
  </si>
  <si>
    <t>Landlords insurance on an apartment in Crows Nest, NSW, a reasonable assumption for annual percentage increase would be 5-7%.</t>
  </si>
  <si>
    <t>Weekly Rental Premium Annual Increase % ~ For your financial workbook, I'd suggest:</t>
  </si>
  <si>
    <r>
      <t>Conservative estimate</t>
    </r>
    <r>
      <rPr>
        <sz val="11"/>
        <color rgb="FF000000"/>
        <rFont val="Aptos"/>
      </rPr>
      <t>: 7% (accounts for continued market volatility)</t>
    </r>
  </si>
  <si>
    <r>
      <t>Moderate estimate</t>
    </r>
    <r>
      <rPr>
        <sz val="11"/>
        <color rgb="FF000000"/>
        <rFont val="Aptos"/>
      </rPr>
      <t>: 5-6% (assumes market stabilization)</t>
    </r>
  </si>
  <si>
    <r>
      <t>Optimistic estimate</t>
    </r>
    <r>
      <rPr>
        <sz val="11"/>
        <color rgb="FF000000"/>
        <rFont val="Aptos"/>
      </rPr>
      <t>: 4-5% (if market conditions improve significantly)</t>
    </r>
  </si>
  <si>
    <r>
      <t>I'd recommend using </t>
    </r>
    <r>
      <rPr>
        <b/>
        <sz val="11"/>
        <color rgb="FF000000"/>
        <rFont val="Aptos"/>
      </rPr>
      <t>6%</t>
    </r>
    <r>
      <rPr>
        <sz val="11"/>
        <color rgb="FF000000"/>
        <rFont val="Aptos"/>
      </rPr>
      <t> as a reasonable middle-ground assumption for medium-term planning (3-5 years), but you might want to stress-test your model with a higher rate like 8% to ensure your investment remains viable even if premiums rise more than expected.</t>
    </r>
  </si>
  <si>
    <t>Keep in mind that actual increases can vary significantly year-to-year based on insurer performance, claims history, and broader market conditions.</t>
  </si>
  <si>
    <t xml:space="preserve">16. Bank Charges
</t>
  </si>
  <si>
    <t>(Likely IO rollover / admin / package fees)</t>
  </si>
  <si>
    <r>
      <rPr>
        <b/>
        <sz val="11"/>
        <color theme="1"/>
        <rFont val="Aptos"/>
      </rPr>
      <t xml:space="preserve">Assumption (planner-grade):  </t>
    </r>
    <r>
      <rPr>
        <sz val="11"/>
        <color theme="1"/>
        <rFont val="Aptos"/>
      </rPr>
      <t>Bank charges are lumpy, not inflationary |Typically occur: At IO expiry, Possibly at refinance / extension</t>
    </r>
  </si>
  <si>
    <t>Do not inflate annually</t>
  </si>
  <si>
    <t>Clean deterministic assumption</t>
  </si>
  <si>
    <t>One-off charge in the IO → P&amp;I switch year</t>
  </si>
  <si>
    <t>Zero otherwise</t>
  </si>
  <si>
    <t>17. Legal Expenses</t>
  </si>
  <si>
    <t>(Tenant disputes, tribunal, etc.)</t>
  </si>
  <si>
    <t>Formula</t>
  </si>
  <si>
    <t>=0</t>
  </si>
  <si>
    <t>18. Advertising for Tenants</t>
  </si>
  <si>
    <t>(This one matters — let’s do it properly)</t>
  </si>
  <si>
    <t>Year-to-year leases ≠ new tenant every year</t>
  </si>
  <si>
    <t>Typical metro assumption:</t>
  </si>
  <si>
    <t>New tenant every 3–5 years</t>
  </si>
  <si>
    <r>
      <t>Advertising + letting costs occur </t>
    </r>
    <r>
      <rPr>
        <b/>
        <sz val="11"/>
        <color rgb="FF000000"/>
        <rFont val="Aptos"/>
      </rPr>
      <t>only on tenant change</t>
    </r>
    <r>
      <rPr>
        <sz val="11"/>
        <color rgb="FF000000"/>
        <rFont val="Aptos"/>
      </rPr>
      <t xml:space="preserve"> (Letting Costs - One weeks rent plus GST)</t>
    </r>
  </si>
  <si>
    <t>Adviser-grade deterministic assumption
Tenant_Turnover_Years = 4 (good default)
Letting_Cost = 1 week rent + GST
Letting_Advertising = $560</t>
  </si>
  <si>
    <t>Gross_Weekly_Rent</t>
  </si>
  <si>
    <t>Marriott Lane</t>
  </si>
  <si>
    <t>Letting_Cost</t>
  </si>
  <si>
    <t>Letting Advertising</t>
  </si>
  <si>
    <t>Tenant_Turnover_Years = 4 (good default)</t>
  </si>
  <si>
    <t>Letting_Cost = e.g. 1 week rent + $500 advertising</t>
  </si>
  <si>
    <t>24. Depreciation – Plant &amp; Equipment</t>
  </si>
  <si>
    <t>ATO reality (post-2017)</t>
  </si>
  <si>
    <r>
      <t>Second-hand assets purchased after 9 May 2017</t>
    </r>
    <r>
      <rPr>
        <sz val="11"/>
        <color rgb="FF000000"/>
        <rFont val="Calibri"/>
        <family val="2"/>
        <scheme val="minor"/>
      </rPr>
      <t> → </t>
    </r>
    <r>
      <rPr>
        <b/>
        <sz val="11"/>
        <color rgb="FF000000"/>
        <rFont val="Calibri"/>
        <family val="2"/>
        <scheme val="minor"/>
      </rPr>
      <t>NOT deductible</t>
    </r>
  </si>
  <si>
    <t>New assets (e.g. blinds, appliances added later) → deductible</t>
  </si>
  <si>
    <t>Formula - Unless you explicitly know you have deductible P&amp;E:</t>
  </si>
  <si>
    <t>You can later replace with:</t>
  </si>
  <si>
    <t>= Depreciation_Schedule!Current_Year</t>
  </si>
  <si>
    <t>25. Capital Works Deduction (2.5%)</t>
  </si>
  <si>
    <r>
      <t>Capital_Works_Base</t>
    </r>
    <r>
      <rPr>
        <sz val="11"/>
        <color rgb="FF000000"/>
        <rFont val="Calibri"/>
        <family val="2"/>
        <scheme val="minor"/>
      </rPr>
      <t> = eligible construction amount</t>
    </r>
  </si>
  <si>
    <r>
      <t>Capital_Works_Rate</t>
    </r>
    <r>
      <rPr>
        <sz val="11"/>
        <color rgb="FF000000"/>
        <rFont val="Calibri"/>
        <family val="2"/>
        <scheme val="minor"/>
      </rPr>
      <t> = 2.5%</t>
    </r>
  </si>
  <si>
    <t>26. Borrowing Expenses (Amortised)</t>
  </si>
  <si>
    <t>ATO rule</t>
  </si>
  <si>
    <r>
      <t>Amortise over </t>
    </r>
    <r>
      <rPr>
        <b/>
        <sz val="11"/>
        <color rgb="FF000000"/>
        <rFont val="Aptos"/>
      </rPr>
      <t>5 years or loan term</t>
    </r>
    <r>
      <rPr>
        <sz val="11"/>
        <color rgb="FF000000"/>
        <rFont val="Aptos"/>
      </rPr>
      <t>, whichever is shorter</t>
    </r>
  </si>
  <si>
    <t>Inputs</t>
  </si>
  <si>
    <t>Total_Borrowing_Costs</t>
  </si>
  <si>
    <t>Loan_Term_Years</t>
  </si>
  <si>
    <t>Borrowing Amort Years</t>
  </si>
  <si>
    <t>=MIN(5, B75)</t>
  </si>
  <si>
    <t>28. Total Deductible Expenses</t>
  </si>
  <si>
    <r>
      <t>Sum </t>
    </r>
    <r>
      <rPr>
        <b/>
        <sz val="11"/>
        <color rgb="FF000000"/>
        <rFont val="Calibri"/>
        <family val="2"/>
        <scheme val="minor"/>
      </rPr>
      <t>only deductible items</t>
    </r>
    <r>
      <rPr>
        <sz val="11"/>
        <color rgb="FF000000"/>
        <rFont val="Calibri"/>
        <family val="2"/>
        <scheme val="minor"/>
      </rPr>
      <t>:</t>
    </r>
  </si>
  <si>
    <t>= SUM( Council_Rates_Cell, Water_Charges_Cell, BC_Admin_Cell, BC_Capital_Works_Cell, Landlord_Insurance_Cell, RE_Management_Fees_Cell,
  Cleaning_Cell, Gardening_Cell,  Lawn_Cell, Pest_Cell, Interest_Expense_Cell,
  Bank_Charges_Cell,  Legal_Expenses_Cell, Advertising_Cell, Repairs_Cell,  Depreciation_Cell, Capital_Works_Deduction_Cell,  Borrowing_Expenses_Cell, Other_Deductible_Cell)</t>
  </si>
  <si>
    <t>✔ Excludes non-deductible travel</t>
  </si>
  <si>
    <t>✔ Matches tax logic</t>
  </si>
  <si>
    <t>= Gross_Rent_Cell - Total_Deductible_Expenses_Cell</t>
  </si>
  <si>
    <r>
      <t>This is the </t>
    </r>
    <r>
      <rPr>
        <b/>
        <sz val="11"/>
        <color rgb="FF000000"/>
        <rFont val="Calibri"/>
        <family val="2"/>
        <scheme val="minor"/>
      </rPr>
      <t>only</t>
    </r>
    <r>
      <rPr>
        <sz val="11"/>
        <color rgb="FF000000"/>
        <rFont val="Calibri"/>
        <family val="2"/>
        <scheme val="minor"/>
      </rPr>
      <t> number that flows into </t>
    </r>
    <r>
      <rPr>
        <b/>
        <sz val="11"/>
        <color rgb="FF000000"/>
        <rFont val="Calibri"/>
        <family val="2"/>
        <scheme val="minor"/>
      </rPr>
      <t>Taxable Income</t>
    </r>
    <r>
      <rPr>
        <sz val="11"/>
        <color rgb="FF000000"/>
        <rFont val="Calibri"/>
        <family val="2"/>
        <scheme val="minor"/>
      </rPr>
      <t>.</t>
    </r>
  </si>
  <si>
    <t>30. Net Rental Cashflow (cash only)  ← CASH NUMBER</t>
  </si>
  <si>
    <t>= Net_Rental_Income_Cell  + Depreciation_Cell + Capital_Works_Deduction_Cell + Borrowing_Expenses_Cell</t>
  </si>
  <si>
    <t>Why:</t>
  </si>
  <si>
    <r>
      <t>These are </t>
    </r>
    <r>
      <rPr>
        <b/>
        <sz val="11"/>
        <color rgb="FF000000"/>
        <rFont val="Calibri"/>
        <family val="2"/>
        <scheme val="minor"/>
      </rPr>
      <t>non-cash deductions</t>
    </r>
  </si>
  <si>
    <t>They reduce tax but not cash</t>
  </si>
  <si>
    <t>Rental Cashflow (Snapshot, p.a.)</t>
  </si>
  <si>
    <t>Net cashflow = Rent - expenses - interest. Snapshot for IPs.</t>
  </si>
  <si>
    <t>Expenses</t>
  </si>
  <si>
    <t>Net Cashflow</t>
  </si>
  <si>
    <t>Monte Carlo Probability Fan (Generated Demo)</t>
  </si>
  <si>
    <t>Year-by-year P10/P50/P90 balance for retirement years (generated with demo parameters).</t>
  </si>
  <si>
    <t>P10</t>
  </si>
  <si>
    <t>P50</t>
  </si>
  <si>
    <t>P90</t>
  </si>
  <si>
    <t>Success Probability</t>
  </si>
  <si>
    <t>Start Assets (demo)</t>
  </si>
  <si>
    <t>Start Spending (demo)</t>
  </si>
  <si>
    <t>EXECUTIVE DASHBOARD (Report View)</t>
  </si>
  <si>
    <t>KPI tiles + charts. Green &amp; Gold theme across the workbook.</t>
  </si>
  <si>
    <t>Target Retire Age</t>
  </si>
  <si>
    <t>Total Net Worth (Today)</t>
  </si>
  <si>
    <t>Net Rental Cashflow</t>
  </si>
  <si>
    <t>MC Success Probability</t>
  </si>
  <si>
    <t>Investment Loan Modelling (IO → P&amp;I)</t>
  </si>
  <si>
    <t>Models IO until IO End Age, then P&amp;I thereafter.</t>
  </si>
  <si>
    <t>Annual Interest</t>
  </si>
  <si>
    <t>Annual Principal</t>
  </si>
  <si>
    <t>Annual P&amp;I</t>
  </si>
  <si>
    <t>1) Use 'Control Centre' to set Active Scenario, Profile inputs and AU rules.</t>
  </si>
  <si>
    <t>2) Enter your detailed monthly budget on 'Budget'.</t>
  </si>
  <si>
    <t>3) Enter balances and cashflows on 'Assets &amp; Liabilities', 'Superannuation (Inputs)', 'Properties'.</t>
  </si>
  <si>
    <t>4) Review 'Projections' + 'Monte Carlo', then the 'Dashboard'.</t>
  </si>
  <si>
    <t>Legacy mirror sheet. Primary edits now happen on 'Control Centre'. This sheet remains to preserve workbook links.</t>
  </si>
  <si>
    <t>Active Rental Income Growth</t>
  </si>
  <si>
    <t>Control Centre | Household Profile + Scenarios + AU Rules</t>
  </si>
  <si>
    <t>Household Profile</t>
  </si>
  <si>
    <t>Scenario Matrix</t>
  </si>
  <si>
    <t>Base</t>
  </si>
  <si>
    <t>Conservative</t>
  </si>
  <si>
    <t>Rental Growth Rationale</t>
  </si>
  <si>
    <t>Roughly long-run CPI</t>
  </si>
  <si>
    <t>CPI + modest real growth</t>
  </si>
  <si>
    <t>Tight rental market, wage pressure</t>
  </si>
  <si>
    <t>already exists</t>
  </si>
  <si>
    <t>Inflation Rationale</t>
  </si>
  <si>
    <t>Why</t>
  </si>
  <si>
    <t>Higher cost pressure, stagflation risk</t>
  </si>
  <si>
    <t>RBA midpoint, long-run normal</t>
  </si>
  <si>
    <t>AU Rules</t>
  </si>
  <si>
    <t>Super concessional cap</t>
  </si>
  <si>
    <t>Update for current FY</t>
  </si>
  <si>
    <t>Super tax rate (contrib/earnings)</t>
  </si>
  <si>
    <t>Typical concessional tax</t>
  </si>
  <si>
    <t>Preservation age</t>
  </si>
  <si>
    <t>Depends on DOB; common for many cohorts</t>
  </si>
  <si>
    <t>Medicare levy (base)</t>
  </si>
  <si>
    <t>Approx</t>
  </si>
  <si>
    <t>Safe withdrawal rate</t>
  </si>
  <si>
    <t>Rule-of-thumb baseline</t>
  </si>
  <si>
    <t>Task (including Persona and Format), Context, References, Evaluate, and Iterate.</t>
  </si>
  <si>
    <t>Primary input sheet for the workbook. 
Update household profile, scenario assumptions and AU rule settings here. 
Legacy sheets remain as mirrors so existing model links keep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</si>
</sst>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8" formatCode="&quot;$&quot;#,##0.00_);[Red]\(&quot;$&quot;#,##0.00\)"/>
    <numFmt numFmtId="44" formatCode="_(&quot;$&quot;* #,##0.00_);_(&quot;$&quot;* \(#,##0.00\);_(&quot;$&quot;* &quot;-&quot;??_);_(@_)"/>
    <numFmt numFmtId="164" formatCode="&quot;$&quot;#,##0;&quot;-&quot;&quot;$&quot;#,##0"/>
    <numFmt numFmtId="165" formatCode="_(&quot;$&quot;* #,##0_);_(&quot;$&quot;* \(#,##0\);_(&quot;$&quot;* &quot;-&quot;??_);_(@_)"/>
    <numFmt numFmtId="166" formatCode="0;\-0;;@"/>
    <numFmt numFmtId="167" formatCode="0.0000"/>
    <numFmt numFmtId="168" formatCode="0.000"/>
    <numFmt numFmtId="169" formatCode="&quot;$&quot;#,##0.00"/>
    <numFmt numFmtId="170" formatCode="_(&quot;$&quot;* #,##0.0_);_(&quot;$&quot;* \(#,##0.0\);_(&quot;$&quot;* &quot;-&quot;??_);_(@_)"/>
    <numFmt numFmtId="171" formatCode="\$#,##0;[Red]\(\$#,##0\);\-"/>
    <numFmt numFmtId="172" formatCode="0.0%;[Red]\(0.0%\);\-"/>
  </numFmts>
  <fonts count="84">
    <font>
      <sz val="11"/>
      <color theme="1"/>
      <name val="Calibri"/>
    </font>
    <font>
      <sz val="12"/>
      <color theme="1"/>
      <name val="Calibri"/>
      <family val="2"/>
    </font>
    <font>
      <b/>
      <sz val="18"/>
      <color rgb="FF0B5D1E"/>
      <name val="Aptos"/>
    </font>
    <font>
      <i/>
      <sz val="10"/>
      <color rgb="FF4B5563"/>
      <name val="Aptos"/>
    </font>
    <font>
      <b/>
      <sz val="13"/>
      <color rgb="FF0B5D1E"/>
      <name val="Aptos"/>
    </font>
    <font>
      <sz val="11"/>
      <name val="Aptos"/>
    </font>
    <font>
      <b/>
      <sz val="11"/>
      <name val="Aptos"/>
    </font>
    <font>
      <b/>
      <sz val="12"/>
      <color rgb="FFFFFFFF"/>
      <name val="Aptos"/>
    </font>
    <font>
      <b/>
      <sz val="12"/>
      <name val="Aptos"/>
    </font>
    <font>
      <b/>
      <sz val="13"/>
      <name val="Aptos"/>
    </font>
    <font>
      <b/>
      <sz val="14"/>
      <name val="Aptos"/>
    </font>
    <font>
      <b/>
      <sz val="11"/>
      <color rgb="FF0B5D1E"/>
      <name val="Aptos"/>
    </font>
    <font>
      <sz val="11"/>
      <color theme="1"/>
      <name val="Calibri"/>
      <family val="2"/>
    </font>
    <font>
      <sz val="11"/>
      <color theme="1"/>
      <name val="Aptos"/>
    </font>
    <font>
      <b/>
      <sz val="12"/>
      <color rgb="FFFFBE00"/>
      <name val="Aptos"/>
    </font>
    <font>
      <i/>
      <sz val="10"/>
      <name val="Aptos"/>
    </font>
    <font>
      <i/>
      <sz val="11"/>
      <color theme="8" tint="-0.49995422223578601"/>
      <name val="Calibri"/>
      <family val="2"/>
    </font>
    <font>
      <i/>
      <sz val="11"/>
      <color rgb="FF4B5563"/>
      <name val="Aptos"/>
    </font>
    <font>
      <b/>
      <i/>
      <sz val="11"/>
      <name val="Aptos"/>
    </font>
    <font>
      <i/>
      <sz val="9"/>
      <color theme="8" tint="-0.49995422223578601"/>
      <name val="Calibri"/>
      <family val="2"/>
    </font>
    <font>
      <sz val="11"/>
      <color rgb="FF000000"/>
      <name val="Calibri"/>
      <family val="2"/>
    </font>
    <font>
      <b/>
      <sz val="11"/>
      <color rgb="FF000000"/>
      <name val="Calibri"/>
      <family val="2"/>
    </font>
    <font>
      <sz val="10"/>
      <color rgb="FF000000"/>
      <name val="Arial Unicode MS"/>
      <family val="2"/>
    </font>
    <font>
      <sz val="11"/>
      <name val="Calibri"/>
      <family val="2"/>
    </font>
    <font>
      <sz val="14"/>
      <color rgb="FF000000"/>
      <name val="-webkit-standard"/>
    </font>
    <font>
      <b/>
      <sz val="11"/>
      <color theme="1"/>
      <name val="Calibri"/>
      <family val="2"/>
    </font>
    <font>
      <b/>
      <sz val="18"/>
      <color rgb="FF000000"/>
      <name val="Calibri"/>
      <family val="2"/>
    </font>
    <font>
      <sz val="10"/>
      <color theme="1"/>
      <name val="Aptos"/>
    </font>
    <font>
      <b/>
      <sz val="11"/>
      <color rgb="FF000000"/>
      <name val="Aptos"/>
    </font>
    <font>
      <sz val="11"/>
      <color rgb="FF000000"/>
      <name val="Aptos"/>
    </font>
    <font>
      <i/>
      <sz val="11"/>
      <color rgb="FF000000"/>
      <name val="Aptos"/>
    </font>
    <font>
      <b/>
      <sz val="13"/>
      <color rgb="FF000000"/>
      <name val="Calibri"/>
      <family val="2"/>
    </font>
    <font>
      <i/>
      <sz val="10"/>
      <color theme="1"/>
      <name val="Aptos"/>
    </font>
    <font>
      <b/>
      <sz val="11"/>
      <color theme="1"/>
      <name val="Aptos"/>
    </font>
    <font>
      <i/>
      <sz val="11"/>
      <color rgb="FF000000"/>
      <name val="Calibri"/>
      <family val="2"/>
    </font>
    <font>
      <b/>
      <sz val="12"/>
      <color rgb="FF0B5D1E"/>
      <name val="Aptos"/>
    </font>
    <font>
      <i/>
      <sz val="11"/>
      <color theme="1"/>
      <name val="Aptos"/>
    </font>
    <font>
      <sz val="8"/>
      <color rgb="FF000000"/>
      <name val="Helvetica"/>
      <family val="2"/>
    </font>
    <font>
      <sz val="8"/>
      <color rgb="FFFFFFFF"/>
      <name val="Helvetica"/>
      <family val="2"/>
    </font>
    <font>
      <sz val="7"/>
      <color rgb="FF5E6062"/>
      <name val="Helvetica"/>
      <family val="2"/>
    </font>
    <font>
      <sz val="11"/>
      <color rgb="FFED5D2B"/>
      <name val="Helvetica"/>
      <family val="2"/>
    </font>
    <font>
      <sz val="9"/>
      <color rgb="FF5E6062"/>
      <name val="Helvetica"/>
      <family val="2"/>
    </font>
    <font>
      <sz val="6"/>
      <color rgb="FF000000"/>
      <name val="Helvetica"/>
      <family val="2"/>
    </font>
    <font>
      <sz val="9"/>
      <color rgb="FF15A3B5"/>
      <name val="Helvetica"/>
      <family val="2"/>
    </font>
    <font>
      <sz val="9"/>
      <color rgb="FF000000"/>
      <name val="Helvetica"/>
      <family val="2"/>
    </font>
    <font>
      <sz val="12"/>
      <color theme="1"/>
      <name val="Helvetica"/>
      <family val="2"/>
    </font>
    <font>
      <sz val="12"/>
      <color rgb="FFED5D2B"/>
      <name val="Helvetica"/>
      <family val="2"/>
    </font>
    <font>
      <sz val="8"/>
      <color rgb="FF15A3B5"/>
      <name val="Helvetica"/>
      <family val="2"/>
    </font>
    <font>
      <sz val="7"/>
      <color rgb="FF000000"/>
      <name val="Helvetica"/>
      <family val="2"/>
    </font>
    <font>
      <sz val="12"/>
      <color rgb="FF000000"/>
      <name val="Helvetica"/>
      <family val="2"/>
    </font>
    <font>
      <sz val="9"/>
      <color rgb="FFFFFFFF"/>
      <name val="Helvetica"/>
      <family val="2"/>
    </font>
    <font>
      <sz val="11"/>
      <color rgb="FFE9371D"/>
      <name val="Helvetica"/>
      <family val="2"/>
    </font>
    <font>
      <sz val="10"/>
      <color rgb="FF9A9A9A"/>
      <name val="Helvetica"/>
      <family val="2"/>
    </font>
    <font>
      <sz val="9"/>
      <color rgb="FF424342"/>
      <name val="Helvetica"/>
      <family val="2"/>
    </font>
    <font>
      <sz val="29"/>
      <color rgb="FFE9371D"/>
      <name val="Helvetica"/>
      <family val="2"/>
    </font>
    <font>
      <sz val="12"/>
      <color rgb="FFE9371D"/>
      <name val="Helvetica"/>
      <family val="2"/>
    </font>
    <font>
      <sz val="11"/>
      <color rgb="FF042A3C"/>
      <name val="Helvetica"/>
      <family val="2"/>
    </font>
    <font>
      <sz val="7"/>
      <color rgb="FF9A9A9A"/>
      <name val="Helvetica"/>
      <family val="2"/>
    </font>
    <font>
      <sz val="10"/>
      <color rgb="FF424342"/>
      <name val="Helvetica"/>
      <family val="2"/>
    </font>
    <font>
      <sz val="29"/>
      <color rgb="FF042A3C"/>
      <name val="Helvetica"/>
      <family val="2"/>
    </font>
    <font>
      <sz val="9"/>
      <color rgb="FF042A3C"/>
      <name val="Helvetica"/>
      <family val="2"/>
    </font>
    <font>
      <sz val="12"/>
      <color rgb="FF042A3C"/>
      <name val="Helvetica"/>
      <family val="2"/>
    </font>
    <font>
      <sz val="12"/>
      <color rgb="FF15A3B5"/>
      <name val="Helvetica"/>
      <family val="2"/>
    </font>
    <font>
      <sz val="12"/>
      <color rgb="FFFFFFFF"/>
      <name val="Helvetica"/>
      <family val="2"/>
    </font>
    <font>
      <sz val="12"/>
      <color rgb="FF5E6062"/>
      <name val="Helvetica"/>
      <family val="2"/>
    </font>
    <font>
      <b/>
      <sz val="11"/>
      <color rgb="FF000000"/>
      <name val="Arial"/>
      <family val="2"/>
    </font>
    <font>
      <b/>
      <sz val="11"/>
      <color rgb="FFFF0000"/>
      <name val="Calibri"/>
      <family val="2"/>
    </font>
    <font>
      <b/>
      <sz val="10"/>
      <color theme="1"/>
      <name val="Helvetica"/>
      <family val="2"/>
    </font>
    <font>
      <b/>
      <sz val="10"/>
      <color theme="1"/>
      <name val="Calibri"/>
      <family val="2"/>
    </font>
    <font>
      <sz val="11"/>
      <color rgb="FF008000"/>
      <name val="Aptos"/>
    </font>
    <font>
      <b/>
      <sz val="11"/>
      <color rgb="FF008000"/>
      <name val="Calibri"/>
      <family val="2"/>
    </font>
    <font>
      <sz val="11"/>
      <color rgb="FF008000"/>
      <name val="Calibri"/>
      <family val="2"/>
    </font>
    <font>
      <b/>
      <sz val="11"/>
      <color rgb="FF008000"/>
      <name val="Aptos"/>
    </font>
    <font>
      <b/>
      <sz val="12"/>
      <color rgb="FF008000"/>
      <name val="Aptos"/>
    </font>
    <font>
      <sz val="10"/>
      <color rgb="FF008000"/>
      <name val="Arial Unicode MS"/>
      <family val="2"/>
    </font>
    <font>
      <sz val="11"/>
      <color rgb="FF000000"/>
      <name val="Calibri"/>
      <family val="2"/>
      <scheme val="minor"/>
    </font>
    <font>
      <b/>
      <sz val="11"/>
      <color rgb="FF000000"/>
      <name val="Calibri"/>
      <family val="2"/>
      <scheme val="minor"/>
    </font>
    <font>
      <b/>
      <sz val="11"/>
      <color rgb="FF0000FF"/>
      <name val="Aptos"/>
    </font>
    <font>
      <sz val="11"/>
      <color rgb="FF0000FF"/>
      <name val="Aptos"/>
    </font>
    <font>
      <i/>
      <sz val="12"/>
      <color rgb="FF4B5563"/>
      <name val="Aptos"/>
    </font>
    <font>
      <sz val="12"/>
      <color theme="1"/>
      <name val="Aptos"/>
    </font>
    <font>
      <sz val="12"/>
      <name val="Aptos"/>
    </font>
    <font>
      <sz val="12"/>
      <color rgb="FF0000FF"/>
      <name val="Aptos"/>
    </font>
    <font>
      <b/>
      <sz val="12"/>
      <color rgb="FF000000"/>
      <name val="Aptos"/>
    </font>
  </fonts>
  <fills count="13">
    <fill>
      <patternFill patternType="none"/>
    </fill>
    <fill>
      <patternFill patternType="gray125"/>
    </fill>
    <fill>
      <patternFill patternType="solid">
        <fgColor rgb="FFFFF9EC"/>
      </patternFill>
    </fill>
    <fill>
      <patternFill patternType="solid">
        <fgColor rgb="FF0B5D1E"/>
      </patternFill>
    </fill>
    <fill>
      <patternFill patternType="solid">
        <fgColor rgb="FFFFF3D6"/>
      </patternFill>
    </fill>
    <fill>
      <patternFill patternType="solid">
        <fgColor theme="3" tint="0.79995117038483843"/>
        <bgColor indexed="65"/>
      </patternFill>
    </fill>
    <fill>
      <patternFill patternType="solid">
        <fgColor theme="6" tint="0.59996337778862885"/>
        <bgColor indexed="65"/>
      </patternFill>
    </fill>
    <fill>
      <patternFill patternType="solid">
        <fgColor theme="4" tint="0.79995117038483843"/>
        <bgColor indexed="65"/>
      </patternFill>
    </fill>
    <fill>
      <patternFill patternType="solid">
        <fgColor theme="9" tint="0.79995117038483843"/>
        <bgColor indexed="65"/>
      </patternFill>
    </fill>
    <fill>
      <patternFill patternType="solid">
        <fgColor theme="6" tint="0.39997558519241921"/>
        <bgColor indexed="65"/>
      </patternFill>
    </fill>
    <fill>
      <patternFill patternType="solid">
        <fgColor rgb="FF1F4E45"/>
      </patternFill>
    </fill>
    <fill>
      <patternFill patternType="solid">
        <fgColor rgb="FFD9EAD3"/>
      </patternFill>
    </fill>
    <fill>
      <patternFill patternType="solid">
        <fgColor rgb="FFFFFFFF"/>
      </patternFill>
    </fill>
  </fills>
  <borders count="11">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style="thin">
        <color rgb="FFD1D5DB"/>
      </left>
      <right style="thin">
        <color rgb="FFD1D5DB"/>
      </right>
      <top/>
      <bottom style="thin">
        <color rgb="FFD1D5DB"/>
      </bottom>
      <diagonal/>
    </border>
    <border>
      <left style="thin">
        <color auto="1"/>
      </left>
      <right style="thin">
        <color auto="1"/>
      </right>
      <top style="thin">
        <color auto="1"/>
      </top>
      <bottom style="thin">
        <color auto="1"/>
      </bottom>
      <diagonal/>
    </border>
    <border>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diagonal/>
    </border>
    <border>
      <left style="thin">
        <color rgb="FFD1D5DB"/>
      </left>
      <right/>
      <top style="thin">
        <color rgb="FFD1D5DB"/>
      </top>
      <bottom/>
      <diagonal/>
    </border>
  </borders>
  <cellStyleXfs count="3">
    <xf numFmtId="0" fontId="0" fillId="0" borderId="0"/>
    <xf numFmtId="44" fontId="12" fillId="0" borderId="0" applyFont="0" applyFill="0" applyBorder="0" applyAlignment="0" applyProtection="0"/>
    <xf numFmtId="9" fontId="12" fillId="0" borderId="0" applyFont="0" applyFill="0" applyBorder="0" applyAlignment="0" applyProtection="0"/>
  </cellStyleXfs>
  <cellXfs count="216">
    <xf numFmtId="0" fontId="0" fillId="0" borderId="0" xfId="0"/>
    <xf numFmtId="0" fontId="3" fillId="0" borderId="0" xfId="0" applyFont="1" applyAlignment="1">
      <alignment wrapText="1"/>
    </xf>
    <xf numFmtId="0" fontId="4" fillId="0" borderId="0" xfId="0" applyFont="1"/>
    <xf numFmtId="0" fontId="8" fillId="3" borderId="1" xfId="0" applyFont="1" applyFill="1" applyBorder="1" applyAlignment="1">
      <alignment horizontal="center" vertical="center" wrapText="1"/>
    </xf>
    <xf numFmtId="0" fontId="5" fillId="0" borderId="1" xfId="0" applyFont="1" applyBorder="1"/>
    <xf numFmtId="0" fontId="6" fillId="2" borderId="1" xfId="0" applyFont="1" applyFill="1" applyBorder="1"/>
    <xf numFmtId="0" fontId="9" fillId="0" borderId="1" xfId="0" applyFont="1" applyBorder="1"/>
    <xf numFmtId="0" fontId="2" fillId="0" borderId="0" xfId="0" applyFont="1"/>
    <xf numFmtId="165" fontId="10" fillId="4" borderId="1" xfId="1" applyNumberFormat="1" applyFont="1" applyFill="1" applyBorder="1"/>
    <xf numFmtId="49" fontId="13" fillId="0" borderId="0" xfId="0" applyNumberFormat="1" applyFont="1"/>
    <xf numFmtId="0" fontId="5" fillId="0" borderId="1" xfId="0" applyFont="1" applyBorder="1" applyAlignment="1">
      <alignment horizontal="left"/>
    </xf>
    <xf numFmtId="0" fontId="5" fillId="0" borderId="0" xfId="0" applyFont="1" applyAlignment="1">
      <alignment horizontal="left"/>
    </xf>
    <xf numFmtId="44" fontId="5" fillId="0" borderId="1" xfId="1" applyFont="1" applyBorder="1"/>
    <xf numFmtId="44" fontId="5" fillId="0" borderId="0" xfId="1" applyFont="1" applyBorder="1"/>
    <xf numFmtId="44" fontId="0" fillId="0" borderId="0" xfId="1" applyFont="1"/>
    <xf numFmtId="0" fontId="14" fillId="3" borderId="1" xfId="0" applyFont="1" applyFill="1" applyBorder="1" applyAlignment="1">
      <alignment horizontal="center" vertical="center" wrapText="1"/>
    </xf>
    <xf numFmtId="0" fontId="15" fillId="0" borderId="0" xfId="0" applyFont="1"/>
    <xf numFmtId="0" fontId="7" fillId="3" borderId="4" xfId="0" applyFont="1" applyFill="1" applyBorder="1" applyAlignment="1">
      <alignment horizontal="center" vertical="center" wrapText="1"/>
    </xf>
    <xf numFmtId="0" fontId="16" fillId="0" borderId="0" xfId="0" applyFont="1"/>
    <xf numFmtId="0" fontId="3" fillId="0" borderId="0" xfId="0" applyFont="1"/>
    <xf numFmtId="0" fontId="3" fillId="0" borderId="0" xfId="0" applyFont="1" applyAlignment="1">
      <alignment horizontal="left"/>
    </xf>
    <xf numFmtId="49" fontId="13" fillId="0" borderId="0" xfId="0" applyNumberFormat="1" applyFont="1" applyAlignment="1">
      <alignment horizontal="left"/>
    </xf>
    <xf numFmtId="0" fontId="13" fillId="0" borderId="0" xfId="0" applyFont="1"/>
    <xf numFmtId="166" fontId="6" fillId="0" borderId="1" xfId="0" applyNumberFormat="1" applyFont="1" applyBorder="1"/>
    <xf numFmtId="166" fontId="5" fillId="0" borderId="1" xfId="0" applyNumberFormat="1" applyFont="1" applyBorder="1"/>
    <xf numFmtId="166" fontId="6" fillId="0" borderId="0" xfId="0" applyNumberFormat="1" applyFont="1" applyAlignment="1">
      <alignment horizontal="left"/>
    </xf>
    <xf numFmtId="166" fontId="5" fillId="0" borderId="0" xfId="0" applyNumberFormat="1" applyFont="1"/>
    <xf numFmtId="166" fontId="0" fillId="0" borderId="0" xfId="0" applyNumberFormat="1"/>
    <xf numFmtId="165" fontId="5" fillId="0" borderId="1" xfId="1" applyNumberFormat="1" applyFont="1" applyBorder="1"/>
    <xf numFmtId="164" fontId="0" fillId="0" borderId="0" xfId="0" applyNumberFormat="1"/>
    <xf numFmtId="0" fontId="17" fillId="0" borderId="0" xfId="0" applyFont="1" applyAlignment="1">
      <alignment horizontal="left"/>
    </xf>
    <xf numFmtId="166" fontId="18" fillId="0" borderId="1" xfId="0" applyNumberFormat="1" applyFont="1" applyBorder="1" applyAlignment="1">
      <alignment horizontal="left"/>
    </xf>
    <xf numFmtId="165" fontId="6" fillId="4" borderId="1" xfId="1" applyNumberFormat="1" applyFont="1" applyFill="1" applyBorder="1"/>
    <xf numFmtId="165" fontId="6" fillId="2" borderId="1" xfId="1" applyNumberFormat="1" applyFont="1" applyFill="1" applyBorder="1"/>
    <xf numFmtId="17" fontId="5" fillId="0" borderId="1" xfId="0" applyNumberFormat="1" applyFont="1" applyBorder="1"/>
    <xf numFmtId="0" fontId="5" fillId="5" borderId="1" xfId="0" applyFont="1" applyFill="1" applyBorder="1"/>
    <xf numFmtId="165" fontId="0" fillId="0" borderId="0" xfId="1" applyNumberFormat="1" applyFont="1"/>
    <xf numFmtId="165" fontId="13" fillId="0" borderId="0" xfId="1" applyNumberFormat="1" applyFont="1"/>
    <xf numFmtId="44" fontId="13" fillId="0" borderId="0" xfId="1" applyFont="1"/>
    <xf numFmtId="165" fontId="5" fillId="5" borderId="1" xfId="1" applyNumberFormat="1" applyFont="1" applyFill="1" applyBorder="1"/>
    <xf numFmtId="0" fontId="19" fillId="0" borderId="0" xfId="0" applyFont="1" applyAlignment="1">
      <alignment horizontal="center"/>
    </xf>
    <xf numFmtId="0" fontId="21" fillId="0" borderId="0" xfId="0" applyFont="1"/>
    <xf numFmtId="0" fontId="22" fillId="0" borderId="0" xfId="0" applyFont="1"/>
    <xf numFmtId="0" fontId="20" fillId="0" borderId="0" xfId="0" applyFont="1"/>
    <xf numFmtId="0" fontId="14" fillId="3" borderId="7"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23" fillId="0" borderId="0" xfId="0" applyFont="1"/>
    <xf numFmtId="10" fontId="0" fillId="0" borderId="0" xfId="0" applyNumberFormat="1"/>
    <xf numFmtId="10" fontId="20" fillId="0" borderId="0" xfId="0" applyNumberFormat="1" applyFont="1"/>
    <xf numFmtId="0" fontId="14" fillId="0" borderId="1" xfId="0" applyFont="1" applyBorder="1" applyAlignment="1">
      <alignment horizontal="center" vertical="center" wrapText="1"/>
    </xf>
    <xf numFmtId="9" fontId="20" fillId="0" borderId="0" xfId="0" applyNumberFormat="1" applyFont="1"/>
    <xf numFmtId="165" fontId="5" fillId="0" borderId="1" xfId="1" applyNumberFormat="1" applyFont="1" applyFill="1" applyBorder="1"/>
    <xf numFmtId="44" fontId="20" fillId="0" borderId="0" xfId="1" applyFont="1"/>
    <xf numFmtId="0" fontId="14" fillId="3" borderId="0" xfId="0" applyFont="1" applyFill="1" applyAlignment="1">
      <alignment horizontal="center" vertical="center" wrapText="1"/>
    </xf>
    <xf numFmtId="9" fontId="5" fillId="0" borderId="0" xfId="0" applyNumberFormat="1" applyFont="1"/>
    <xf numFmtId="10" fontId="5" fillId="0" borderId="0" xfId="0" applyNumberFormat="1" applyFont="1"/>
    <xf numFmtId="49" fontId="5" fillId="0" borderId="0" xfId="0" applyNumberFormat="1" applyFont="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5" fillId="0" borderId="1" xfId="0" applyFont="1" applyBorder="1" applyAlignment="1">
      <alignment horizontal="center"/>
    </xf>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5" fillId="0" borderId="1" xfId="0" applyFont="1" applyBorder="1" applyAlignment="1">
      <alignment horizontal="center" vertical="center"/>
    </xf>
    <xf numFmtId="0" fontId="20" fillId="0" borderId="0" xfId="1" applyNumberFormat="1" applyFont="1"/>
    <xf numFmtId="0" fontId="25" fillId="0" borderId="0" xfId="0" applyFont="1"/>
    <xf numFmtId="0" fontId="26" fillId="0" borderId="0" xfId="0" applyFont="1"/>
    <xf numFmtId="0" fontId="13" fillId="0" borderId="0" xfId="0" applyFont="1" applyAlignment="1">
      <alignment horizontal="center" vertical="center"/>
    </xf>
    <xf numFmtId="0" fontId="13" fillId="0" borderId="0" xfId="0" applyFont="1" applyAlignment="1">
      <alignment horizontal="center"/>
    </xf>
    <xf numFmtId="165" fontId="13" fillId="0" borderId="0" xfId="0" applyNumberFormat="1" applyFont="1"/>
    <xf numFmtId="44" fontId="13" fillId="0" borderId="0" xfId="0" applyNumberFormat="1" applyFont="1"/>
    <xf numFmtId="10" fontId="13" fillId="0" borderId="0" xfId="2" applyNumberFormat="1" applyFont="1"/>
    <xf numFmtId="10" fontId="0" fillId="0" borderId="0" xfId="2" applyNumberFormat="1" applyFont="1"/>
    <xf numFmtId="0" fontId="13" fillId="0" borderId="0" xfId="0" applyFont="1" applyAlignment="1">
      <alignment horizontal="right"/>
    </xf>
    <xf numFmtId="0" fontId="27" fillId="0" borderId="0" xfId="0" applyFont="1" applyAlignment="1">
      <alignment horizontal="center"/>
    </xf>
    <xf numFmtId="0" fontId="28" fillId="0" borderId="0" xfId="0" applyFont="1"/>
    <xf numFmtId="165" fontId="29" fillId="0" borderId="0" xfId="1" applyNumberFormat="1" applyFont="1" applyAlignment="1">
      <alignment horizontal="left"/>
    </xf>
    <xf numFmtId="165" fontId="13" fillId="0" borderId="0" xfId="1" applyNumberFormat="1" applyFont="1" applyAlignment="1">
      <alignment horizontal="left"/>
    </xf>
    <xf numFmtId="10" fontId="13" fillId="0" borderId="0" xfId="2" applyNumberFormat="1" applyFont="1" applyAlignment="1">
      <alignment horizontal="center"/>
    </xf>
    <xf numFmtId="0" fontId="29" fillId="0" borderId="0" xfId="0" applyFont="1"/>
    <xf numFmtId="0" fontId="31" fillId="0" borderId="0" xfId="0" applyFont="1"/>
    <xf numFmtId="10" fontId="25" fillId="0" borderId="0" xfId="0" applyNumberFormat="1" applyFont="1"/>
    <xf numFmtId="0" fontId="29" fillId="0" borderId="0" xfId="1" applyNumberFormat="1" applyFont="1" applyAlignment="1">
      <alignment horizontal="center"/>
    </xf>
    <xf numFmtId="165" fontId="28" fillId="0" borderId="0" xfId="1" applyNumberFormat="1" applyFont="1" applyAlignment="1">
      <alignment horizontal="left"/>
    </xf>
    <xf numFmtId="10" fontId="29" fillId="0" borderId="0" xfId="2" applyNumberFormat="1" applyFont="1" applyAlignment="1">
      <alignment horizontal="left"/>
    </xf>
    <xf numFmtId="0" fontId="33" fillId="0" borderId="0" xfId="0" applyFont="1"/>
    <xf numFmtId="165" fontId="13" fillId="7" borderId="0" xfId="1" applyNumberFormat="1" applyFont="1" applyFill="1"/>
    <xf numFmtId="10" fontId="13" fillId="7" borderId="0" xfId="2" applyNumberFormat="1" applyFont="1" applyFill="1" applyAlignment="1">
      <alignment horizontal="center"/>
    </xf>
    <xf numFmtId="165" fontId="13" fillId="8" borderId="0" xfId="1" applyNumberFormat="1" applyFont="1" applyFill="1"/>
    <xf numFmtId="0" fontId="34" fillId="0" borderId="0" xfId="0" applyFont="1"/>
    <xf numFmtId="0" fontId="13" fillId="0" borderId="0" xfId="0" applyFont="1" applyAlignment="1">
      <alignment wrapText="1"/>
    </xf>
    <xf numFmtId="0" fontId="13" fillId="0" borderId="0" xfId="0" applyFont="1" applyAlignment="1">
      <alignment horizontal="left"/>
    </xf>
    <xf numFmtId="0" fontId="35" fillId="0" borderId="0" xfId="0" applyFont="1"/>
    <xf numFmtId="6" fontId="13" fillId="0" borderId="0" xfId="0" applyNumberFormat="1" applyFont="1"/>
    <xf numFmtId="0" fontId="13" fillId="0" borderId="0" xfId="1" applyNumberFormat="1" applyFont="1" applyAlignment="1">
      <alignment horizontal="center"/>
    </xf>
    <xf numFmtId="165" fontId="33" fillId="0" borderId="0" xfId="0" applyNumberFormat="1" applyFont="1"/>
    <xf numFmtId="0" fontId="13" fillId="0" borderId="0" xfId="0" applyFont="1" applyAlignment="1">
      <alignment horizontal="left" wrapText="1"/>
    </xf>
    <xf numFmtId="0" fontId="36" fillId="0" borderId="0" xfId="0" applyFont="1"/>
    <xf numFmtId="0" fontId="21" fillId="0" borderId="0" xfId="0" applyFont="1" applyAlignment="1">
      <alignment horizontal="right"/>
    </xf>
    <xf numFmtId="165" fontId="13" fillId="6" borderId="0" xfId="0" applyNumberFormat="1" applyFont="1" applyFill="1"/>
    <xf numFmtId="165" fontId="0" fillId="0" borderId="0" xfId="0" applyNumberFormat="1"/>
    <xf numFmtId="44" fontId="13" fillId="0" borderId="0" xfId="1" applyFont="1" applyAlignment="1">
      <alignment horizontal="center"/>
    </xf>
    <xf numFmtId="165" fontId="33" fillId="0" borderId="0" xfId="1" applyNumberFormat="1" applyFont="1"/>
    <xf numFmtId="0" fontId="13" fillId="8" borderId="0" xfId="0" applyFont="1" applyFill="1" applyAlignment="1">
      <alignment horizontal="left"/>
    </xf>
    <xf numFmtId="0" fontId="13" fillId="8" borderId="0" xfId="0" applyFont="1" applyFill="1" applyAlignment="1">
      <alignment horizontal="center"/>
    </xf>
    <xf numFmtId="0" fontId="13" fillId="8" borderId="0" xfId="0" applyFont="1" applyFill="1"/>
    <xf numFmtId="10" fontId="37" fillId="0" borderId="0" xfId="0" applyNumberFormat="1" applyFont="1"/>
    <xf numFmtId="4" fontId="38" fillId="0" borderId="0" xfId="0" applyNumberFormat="1" applyFont="1"/>
    <xf numFmtId="16" fontId="0" fillId="0" borderId="0" xfId="0" applyNumberForma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8" fontId="45" fillId="0" borderId="0" xfId="0" applyNumberFormat="1" applyFont="1"/>
    <xf numFmtId="0" fontId="46" fillId="0" borderId="0" xfId="0" applyFont="1"/>
    <xf numFmtId="0" fontId="47" fillId="0" borderId="0" xfId="0" applyFont="1"/>
    <xf numFmtId="0" fontId="37" fillId="0" borderId="0" xfId="0" applyFont="1"/>
    <xf numFmtId="0" fontId="38" fillId="0" borderId="0" xfId="0" applyFont="1"/>
    <xf numFmtId="4" fontId="37" fillId="0" borderId="0" xfId="0" applyNumberFormat="1" applyFont="1"/>
    <xf numFmtId="0" fontId="48" fillId="0" borderId="0" xfId="0" applyFont="1"/>
    <xf numFmtId="4" fontId="45" fillId="0" borderId="0" xfId="0" applyNumberFormat="1" applyFont="1"/>
    <xf numFmtId="0" fontId="50" fillId="0" borderId="0" xfId="0" applyFont="1"/>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1" fillId="0" borderId="0" xfId="0" applyFont="1"/>
    <xf numFmtId="0" fontId="62" fillId="0" borderId="0" xfId="0" applyFont="1"/>
    <xf numFmtId="0" fontId="49" fillId="0" borderId="0" xfId="0" applyFont="1"/>
    <xf numFmtId="0" fontId="63" fillId="0" borderId="0" xfId="0" applyFont="1"/>
    <xf numFmtId="4" fontId="49" fillId="0" borderId="0" xfId="0" applyNumberFormat="1" applyFont="1"/>
    <xf numFmtId="0" fontId="64" fillId="0" borderId="0" xfId="0" applyFont="1"/>
    <xf numFmtId="4" fontId="63" fillId="0" borderId="0" xfId="0" applyNumberFormat="1" applyFont="1"/>
    <xf numFmtId="16" fontId="49" fillId="0" borderId="0" xfId="0" applyNumberFormat="1" applyFont="1"/>
    <xf numFmtId="44" fontId="1" fillId="0" borderId="0" xfId="1" applyFont="1"/>
    <xf numFmtId="44" fontId="62" fillId="0" borderId="0" xfId="1" applyFont="1"/>
    <xf numFmtId="44" fontId="49" fillId="0" borderId="0" xfId="1" applyFont="1"/>
    <xf numFmtId="0" fontId="63" fillId="0" borderId="0" xfId="0" applyFont="1" applyAlignment="1">
      <alignment horizontal="left" vertical="top"/>
    </xf>
    <xf numFmtId="10" fontId="13" fillId="0" borderId="0" xfId="0" applyNumberFormat="1" applyFont="1"/>
    <xf numFmtId="0" fontId="65" fillId="0" borderId="0" xfId="0" applyFont="1"/>
    <xf numFmtId="168" fontId="66" fillId="0" borderId="0" xfId="0" applyNumberFormat="1" applyFont="1"/>
    <xf numFmtId="169" fontId="45" fillId="0" borderId="0" xfId="0" applyNumberFormat="1" applyFont="1"/>
    <xf numFmtId="169" fontId="0" fillId="0" borderId="0" xfId="0" applyNumberFormat="1"/>
    <xf numFmtId="170" fontId="0" fillId="0" borderId="0" xfId="1" applyNumberFormat="1" applyFont="1"/>
    <xf numFmtId="44" fontId="45" fillId="7" borderId="0" xfId="1" applyFont="1" applyFill="1"/>
    <xf numFmtId="44" fontId="45" fillId="9" borderId="0" xfId="1" applyFont="1" applyFill="1"/>
    <xf numFmtId="0" fontId="67" fillId="0" borderId="0" xfId="0" applyFont="1" applyAlignment="1">
      <alignment vertical="center"/>
    </xf>
    <xf numFmtId="0" fontId="68" fillId="0" borderId="0" xfId="0" applyFont="1" applyAlignment="1">
      <alignment vertical="center"/>
    </xf>
    <xf numFmtId="0" fontId="2" fillId="0" borderId="0" xfId="0" applyFont="1" applyAlignment="1">
      <alignment wrapText="1"/>
    </xf>
    <xf numFmtId="0" fontId="69" fillId="0" borderId="5" xfId="0" applyFont="1" applyBorder="1"/>
    <xf numFmtId="0" fontId="69" fillId="0" borderId="1" xfId="0" applyFont="1" applyBorder="1"/>
    <xf numFmtId="167" fontId="69" fillId="0" borderId="1" xfId="0" applyNumberFormat="1" applyFont="1" applyBorder="1"/>
    <xf numFmtId="168" fontId="69" fillId="0" borderId="1" xfId="0" applyNumberFormat="1" applyFont="1" applyBorder="1"/>
    <xf numFmtId="168" fontId="69" fillId="0" borderId="2" xfId="0" applyNumberFormat="1" applyFont="1" applyBorder="1"/>
    <xf numFmtId="1" fontId="69" fillId="0" borderId="2" xfId="0" applyNumberFormat="1" applyFont="1" applyBorder="1"/>
    <xf numFmtId="0" fontId="69" fillId="0" borderId="9" xfId="0" applyFont="1" applyBorder="1"/>
    <xf numFmtId="0" fontId="69" fillId="0" borderId="6" xfId="0" applyFont="1" applyBorder="1"/>
    <xf numFmtId="167" fontId="69" fillId="0" borderId="6" xfId="0" applyNumberFormat="1" applyFont="1" applyBorder="1"/>
    <xf numFmtId="168" fontId="69" fillId="0" borderId="10" xfId="0" applyNumberFormat="1" applyFont="1" applyBorder="1"/>
    <xf numFmtId="1" fontId="69" fillId="0" borderId="10" xfId="0" applyNumberFormat="1" applyFont="1" applyBorder="1"/>
    <xf numFmtId="0" fontId="70" fillId="0" borderId="0" xfId="0" applyFont="1"/>
    <xf numFmtId="10" fontId="70" fillId="0" borderId="0" xfId="0" applyNumberFormat="1" applyFont="1" applyAlignment="1">
      <alignment horizontal="center" vertical="top"/>
    </xf>
    <xf numFmtId="0" fontId="71" fillId="0" borderId="0" xfId="0" applyFont="1"/>
    <xf numFmtId="10" fontId="70" fillId="0" borderId="0" xfId="0" applyNumberFormat="1" applyFont="1"/>
    <xf numFmtId="0" fontId="72" fillId="2" borderId="0" xfId="0" applyFont="1" applyFill="1"/>
    <xf numFmtId="0" fontId="73" fillId="3" borderId="1" xfId="0" applyFont="1" applyFill="1" applyBorder="1" applyAlignment="1">
      <alignment horizontal="center" vertical="center" wrapText="1"/>
    </xf>
    <xf numFmtId="0" fontId="72" fillId="2" borderId="1" xfId="0" applyFont="1" applyFill="1" applyBorder="1"/>
    <xf numFmtId="168" fontId="72" fillId="2" borderId="1" xfId="0" applyNumberFormat="1" applyFont="1" applyFill="1" applyBorder="1"/>
    <xf numFmtId="0" fontId="69" fillId="5" borderId="1" xfId="0" applyFont="1" applyFill="1" applyBorder="1"/>
    <xf numFmtId="0" fontId="74" fillId="0" borderId="0" xfId="0" applyFont="1"/>
    <xf numFmtId="0" fontId="7" fillId="10" borderId="0" xfId="0" applyFont="1" applyFill="1" applyAlignment="1">
      <alignment horizontal="center" vertical="center" wrapText="1"/>
    </xf>
    <xf numFmtId="0" fontId="28" fillId="11" borderId="0" xfId="0" applyFont="1" applyFill="1" applyAlignment="1">
      <alignment horizontal="center" vertical="center" wrapText="1"/>
    </xf>
    <xf numFmtId="0" fontId="77" fillId="11" borderId="0" xfId="0" applyFont="1" applyFill="1" applyAlignment="1">
      <alignment horizontal="center" vertical="center" wrapText="1"/>
    </xf>
    <xf numFmtId="0" fontId="13" fillId="12" borderId="0" xfId="0" applyFont="1" applyFill="1" applyAlignment="1">
      <alignment wrapText="1"/>
    </xf>
    <xf numFmtId="1" fontId="78" fillId="12" borderId="0" xfId="0" applyNumberFormat="1" applyFont="1" applyFill="1" applyAlignment="1">
      <alignment wrapText="1"/>
    </xf>
    <xf numFmtId="172" fontId="78" fillId="12" borderId="0" xfId="0" applyNumberFormat="1" applyFont="1" applyFill="1" applyAlignment="1">
      <alignment wrapText="1"/>
    </xf>
    <xf numFmtId="1" fontId="28" fillId="11" borderId="0" xfId="0" applyNumberFormat="1" applyFont="1" applyFill="1" applyAlignment="1">
      <alignment horizontal="center" vertical="center" wrapText="1"/>
    </xf>
    <xf numFmtId="172" fontId="28" fillId="11" borderId="0" xfId="0" applyNumberFormat="1" applyFont="1" applyFill="1" applyAlignment="1">
      <alignment horizontal="center" vertical="center" wrapText="1"/>
    </xf>
    <xf numFmtId="0" fontId="79" fillId="0" borderId="0" xfId="0" applyFont="1" applyAlignment="1">
      <alignment wrapText="1"/>
    </xf>
    <xf numFmtId="0" fontId="80" fillId="0" borderId="0" xfId="0" applyFont="1"/>
    <xf numFmtId="0" fontId="81" fillId="0" borderId="0" xfId="0" applyFont="1"/>
    <xf numFmtId="0" fontId="80" fillId="0" borderId="0" xfId="0" applyFont="1" applyAlignment="1">
      <alignment wrapText="1"/>
    </xf>
    <xf numFmtId="0" fontId="80" fillId="12" borderId="0" xfId="0" applyFont="1" applyFill="1" applyAlignment="1">
      <alignment wrapText="1"/>
    </xf>
    <xf numFmtId="1" fontId="82" fillId="12" borderId="0" xfId="0" applyNumberFormat="1" applyFont="1" applyFill="1" applyAlignment="1">
      <alignment wrapText="1"/>
    </xf>
    <xf numFmtId="171" fontId="82" fillId="12" borderId="0" xfId="0" applyNumberFormat="1" applyFont="1" applyFill="1" applyAlignment="1">
      <alignment wrapText="1"/>
    </xf>
    <xf numFmtId="0" fontId="83" fillId="11" borderId="0" xfId="0" applyFont="1" applyFill="1" applyAlignment="1">
      <alignment horizontal="center" vertical="center" wrapText="1"/>
    </xf>
    <xf numFmtId="172" fontId="82" fillId="12" borderId="0" xfId="0" applyNumberFormat="1" applyFont="1" applyFill="1" applyAlignment="1">
      <alignment wrapText="1"/>
    </xf>
    <xf numFmtId="0" fontId="13" fillId="0" borderId="0" xfId="0" applyFont="1" applyAlignment="1">
      <alignment wrapText="1"/>
    </xf>
    <xf numFmtId="0" fontId="7" fillId="10" borderId="0" xfId="0" applyFont="1" applyFill="1" applyAlignment="1">
      <alignment horizontal="center" vertical="center" wrapText="1"/>
    </xf>
    <xf numFmtId="0" fontId="28" fillId="11" borderId="0" xfId="0" applyFont="1" applyFill="1" applyAlignment="1">
      <alignment horizontal="center" vertical="center" wrapText="1"/>
    </xf>
    <xf numFmtId="0" fontId="2" fillId="0" borderId="0" xfId="0" applyFont="1"/>
    <xf numFmtId="0" fontId="0" fillId="0" borderId="0" xfId="0"/>
    <xf numFmtId="0" fontId="67" fillId="0" borderId="0" xfId="0" applyFont="1" applyAlignment="1">
      <alignment horizontal="center" vertical="center"/>
    </xf>
    <xf numFmtId="0" fontId="68" fillId="0" borderId="0" xfId="0" applyFont="1" applyAlignment="1">
      <alignment horizontal="center" vertical="center"/>
    </xf>
    <xf numFmtId="0" fontId="45" fillId="0" borderId="0" xfId="0" applyFont="1"/>
    <xf numFmtId="0" fontId="13" fillId="0" borderId="0" xfId="0" applyFont="1"/>
    <xf numFmtId="165" fontId="10" fillId="4" borderId="1" xfId="1" applyNumberFormat="1" applyFont="1" applyFill="1" applyBorder="1" applyAlignment="1">
      <alignment horizontal="center" vertical="center" wrapText="1"/>
    </xf>
    <xf numFmtId="165" fontId="0" fillId="0" borderId="0" xfId="1" applyNumberFormat="1" applyFont="1"/>
    <xf numFmtId="0" fontId="11" fillId="4" borderId="1" xfId="0" applyFont="1" applyFill="1" applyBorder="1" applyAlignment="1">
      <alignment horizontal="center" vertical="center" wrapText="1"/>
    </xf>
    <xf numFmtId="9" fontId="10" fillId="4" borderId="1" xfId="2" applyFont="1" applyFill="1" applyBorder="1" applyAlignment="1">
      <alignment horizontal="center" vertical="center" wrapText="1"/>
    </xf>
    <xf numFmtId="9" fontId="0" fillId="0" borderId="0" xfId="2" applyFont="1"/>
    <xf numFmtId="0" fontId="10" fillId="4" borderId="1" xfId="0" applyFont="1" applyFill="1" applyBorder="1" applyAlignment="1">
      <alignment horizontal="center" vertical="center" wrapText="1"/>
    </xf>
    <xf numFmtId="44" fontId="10" fillId="4" borderId="1" xfId="1" applyFont="1" applyFill="1" applyBorder="1" applyAlignment="1">
      <alignment horizontal="center" vertical="center" wrapText="1"/>
    </xf>
    <xf numFmtId="44" fontId="0" fillId="0" borderId="0" xfId="1" applyFont="1"/>
  </cellXfs>
  <cellStyles count="3">
    <cellStyle name="Currency" xfId="1" xr:uid="{00000000-0005-0000-0000-000000000000}"/>
    <cellStyle name="Normal" xfId="0" builtinId="0"/>
    <cellStyle name="Per cent" xfId="2" xr:uid="{00000000-0005-0000-0000-000002000000}"/>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Net Worth Over Time</a:t>
            </a:r>
          </a:p>
        </c:rich>
      </c:tx>
      <c:overlay val="0"/>
    </c:title>
    <c:autoTitleDeleted val="0"/>
    <c:plotArea>
      <c:layout/>
      <c:lineChart>
        <c:grouping val="standard"/>
        <c:varyColors val="1"/>
        <c:ser>
          <c:idx val="0"/>
          <c:order val="0"/>
          <c:tx>
            <c:strRef>
              <c:f>Projections!$X$5</c:f>
              <c:strCache>
                <c:ptCount val="1"/>
                <c:pt idx="0">
                  <c:v>Total Net Worth</c:v>
                </c:pt>
              </c:strCache>
            </c:strRef>
          </c:tx>
          <c:spPr>
            <a:ln>
              <a:prstDash val="solid"/>
            </a:ln>
          </c:spPr>
          <c:marker>
            <c:symbol val="none"/>
          </c:marker>
          <c:cat>
            <c:numRef>
              <c:f>Projections!$C$6:$C$48</c:f>
              <c:numCache>
                <c:formatCode>General</c:formatCode>
                <c:ptCount val="43"/>
                <c:pt idx="0">
                  <c:v>48</c:v>
                </c:pt>
                <c:pt idx="1">
                  <c:v>49</c:v>
                </c:pt>
                <c:pt idx="2">
                  <c:v>50</c:v>
                </c:pt>
                <c:pt idx="3">
                  <c:v>51</c:v>
                </c:pt>
                <c:pt idx="4">
                  <c:v>52</c:v>
                </c:pt>
                <c:pt idx="5">
                  <c:v>53</c:v>
                </c:pt>
                <c:pt idx="6">
                  <c:v>54</c:v>
                </c:pt>
                <c:pt idx="7">
                  <c:v>55</c:v>
                </c:pt>
                <c:pt idx="8">
                  <c:v>56</c:v>
                </c:pt>
                <c:pt idx="9">
                  <c:v>57</c:v>
                </c:pt>
                <c:pt idx="10">
                  <c:v>58</c:v>
                </c:pt>
                <c:pt idx="11">
                  <c:v>59</c:v>
                </c:pt>
                <c:pt idx="12">
                  <c:v>60</c:v>
                </c:pt>
                <c:pt idx="13">
                  <c:v>61</c:v>
                </c:pt>
                <c:pt idx="14">
                  <c:v>62</c:v>
                </c:pt>
                <c:pt idx="15">
                  <c:v>63</c:v>
                </c:pt>
                <c:pt idx="16">
                  <c:v>64</c:v>
                </c:pt>
                <c:pt idx="17">
                  <c:v>65</c:v>
                </c:pt>
                <c:pt idx="18">
                  <c:v>66</c:v>
                </c:pt>
                <c:pt idx="19">
                  <c:v>67</c:v>
                </c:pt>
                <c:pt idx="20">
                  <c:v>68</c:v>
                </c:pt>
                <c:pt idx="21">
                  <c:v>69</c:v>
                </c:pt>
                <c:pt idx="22">
                  <c:v>70</c:v>
                </c:pt>
                <c:pt idx="23">
                  <c:v>71</c:v>
                </c:pt>
                <c:pt idx="24">
                  <c:v>72</c:v>
                </c:pt>
                <c:pt idx="25">
                  <c:v>73</c:v>
                </c:pt>
                <c:pt idx="26">
                  <c:v>74</c:v>
                </c:pt>
                <c:pt idx="27">
                  <c:v>75</c:v>
                </c:pt>
                <c:pt idx="28">
                  <c:v>76</c:v>
                </c:pt>
                <c:pt idx="29">
                  <c:v>77</c:v>
                </c:pt>
                <c:pt idx="30">
                  <c:v>78</c:v>
                </c:pt>
                <c:pt idx="31">
                  <c:v>79</c:v>
                </c:pt>
                <c:pt idx="32">
                  <c:v>80</c:v>
                </c:pt>
                <c:pt idx="33">
                  <c:v>81</c:v>
                </c:pt>
                <c:pt idx="34">
                  <c:v>82</c:v>
                </c:pt>
                <c:pt idx="35">
                  <c:v>83</c:v>
                </c:pt>
                <c:pt idx="36">
                  <c:v>84</c:v>
                </c:pt>
                <c:pt idx="37">
                  <c:v>85</c:v>
                </c:pt>
                <c:pt idx="38">
                  <c:v>86</c:v>
                </c:pt>
                <c:pt idx="39">
                  <c:v>87</c:v>
                </c:pt>
                <c:pt idx="40">
                  <c:v>88</c:v>
                </c:pt>
                <c:pt idx="41">
                  <c:v>89</c:v>
                </c:pt>
              </c:numCache>
            </c:numRef>
          </c:cat>
          <c:val>
            <c:numRef>
              <c:f>Projections!$X$6:$X$48</c:f>
              <c:numCache>
                <c:formatCode>_("$"* #,##0_);_("$"* \(#,##0\);_("$"* "-"??_);_(@_)</c:formatCode>
                <c:ptCount val="43"/>
                <c:pt idx="0">
                  <c:v>3124387.97</c:v>
                </c:pt>
                <c:pt idx="1">
                  <c:v>3666556.8925173036</c:v>
                </c:pt>
                <c:pt idx="2">
                  <c:v>3900415.9514820725</c:v>
                </c:pt>
                <c:pt idx="3">
                  <c:v>4147164.1920643011</c:v>
                </c:pt>
                <c:pt idx="4">
                  <c:v>4407546.3174156956</c:v>
                </c:pt>
                <c:pt idx="5">
                  <c:v>4682351.5751060583</c:v>
                </c:pt>
                <c:pt idx="6">
                  <c:v>4972416.4885903848</c:v>
                </c:pt>
                <c:pt idx="7">
                  <c:v>5278627.7591400612</c:v>
                </c:pt>
                <c:pt idx="8">
                  <c:v>5601925.3490085145</c:v>
                </c:pt>
                <c:pt idx="9">
                  <c:v>5943305.7572880713</c:v>
                </c:pt>
                <c:pt idx="10">
                  <c:v>6303825.5006452221</c:v>
                </c:pt>
                <c:pt idx="11">
                  <c:v>6684604.8118986646</c:v>
                </c:pt>
                <c:pt idx="12">
                  <c:v>7031831.5702316845</c:v>
                </c:pt>
                <c:pt idx="13">
                  <c:v>7398190.4777105497</c:v>
                </c:pt>
                <c:pt idx="14">
                  <c:v>7784785.1227173014</c:v>
                </c:pt>
                <c:pt idx="15">
                  <c:v>8192784.9675270747</c:v>
                </c:pt>
                <c:pt idx="16">
                  <c:v>8623429.3796615433</c:v>
                </c:pt>
                <c:pt idx="17">
                  <c:v>9078031.9144067466</c:v>
                </c:pt>
                <c:pt idx="18">
                  <c:v>9557984.8643435463</c:v>
                </c:pt>
                <c:pt idx="19">
                  <c:v>10064764.092748046</c:v>
                </c:pt>
                <c:pt idx="20">
                  <c:v>10599934.168792851</c:v>
                </c:pt>
                <c:pt idx="21">
                  <c:v>11165153.823622638</c:v>
                </c:pt>
                <c:pt idx="22">
                  <c:v>11762181.747593058</c:v>
                </c:pt>
                <c:pt idx="23">
                  <c:v>12392882.750255803</c:v>
                </c:pt>
                <c:pt idx="24">
                  <c:v>13059234.306049101</c:v>
                </c:pt>
                <c:pt idx="25">
                  <c:v>13763333.510118006</c:v>
                </c:pt>
                <c:pt idx="26">
                  <c:v>14507404.470247626</c:v>
                </c:pt>
                <c:pt idx="27">
                  <c:v>15293806.162551487</c:v>
                </c:pt>
                <c:pt idx="28">
                  <c:v>16125040.780322686</c:v>
                </c:pt>
                <c:pt idx="29">
                  <c:v>17003762.607334323</c:v>
                </c:pt>
                <c:pt idx="30">
                  <c:v>17932787.448875207</c:v>
                </c:pt>
                <c:pt idx="31">
                  <c:v>18915102.655934744</c:v>
                </c:pt>
                <c:pt idx="32">
                  <c:v>19953877.780215763</c:v>
                </c:pt>
                <c:pt idx="33">
                  <c:v>21052475.900063947</c:v>
                </c:pt>
                <c:pt idx="34">
                  <c:v>22214465.659968123</c:v>
                </c:pt>
                <c:pt idx="35">
                  <c:v>23443634.069015279</c:v>
                </c:pt>
                <c:pt idx="36">
                  <c:v>24744000.106590267</c:v>
                </c:pt>
                <c:pt idx="37">
                  <c:v>26119829.186702322</c:v>
                </c:pt>
                <c:pt idx="38">
                  <c:v>27575648.535612285</c:v>
                </c:pt>
                <c:pt idx="39">
                  <c:v>29116263.540937524</c:v>
                </c:pt>
                <c:pt idx="40">
                  <c:v>30746775.134140346</c:v>
                </c:pt>
                <c:pt idx="41">
                  <c:v>32472598.272274453</c:v>
                </c:pt>
              </c:numCache>
            </c:numRef>
          </c:val>
          <c:smooth val="1"/>
          <c:extLst>
            <c:ext xmlns:c16="http://schemas.microsoft.com/office/drawing/2014/chart" uri="{C3380CC4-5D6E-409C-BE32-E72D297353CC}">
              <c16:uniqueId val="{00000000-6A76-1D40-B4C5-256E2BE0D22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1"/>
        <c:axPos val="b"/>
        <c:title>
          <c:tx>
            <c:rich>
              <a:bodyPr/>
              <a:lstStyle/>
              <a:p>
                <a:r>
                  <a:rPr lang="en-AU"/>
                  <a:t>Age</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a:t>
                </a:r>
              </a:p>
            </c:rich>
          </c:tx>
          <c:overlay val="0"/>
        </c:title>
        <c:numFmt formatCode="_(&quot;$&quot;* #,##0_);_(&quot;$&quot;* \(#,##0\);_(&quot;$&quot;* &quot;-&quot;??_);_(@_)"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After Spend</a:t>
            </a:r>
          </a:p>
        </c:rich>
      </c:tx>
      <c:overlay val="0"/>
    </c:title>
    <c:autoTitleDeleted val="0"/>
    <c:plotArea>
      <c:layout/>
      <c:lineChart>
        <c:grouping val="standard"/>
        <c:varyColors val="1"/>
        <c:ser>
          <c:idx val="0"/>
          <c:order val="0"/>
          <c:tx>
            <c:strRef>
              <c:f>Projections!$Z$5</c:f>
              <c:strCache>
                <c:ptCount val="1"/>
                <c:pt idx="0">
                  <c:v>After Spend</c:v>
                </c:pt>
              </c:strCache>
            </c:strRef>
          </c:tx>
          <c:spPr>
            <a:ln>
              <a:prstDash val="solid"/>
            </a:ln>
          </c:spPr>
          <c:marker>
            <c:symbol val="none"/>
          </c:marker>
          <c:cat>
            <c:numRef>
              <c:f>Projections!$C$6:$C$48</c:f>
              <c:numCache>
                <c:formatCode>General</c:formatCode>
                <c:ptCount val="43"/>
                <c:pt idx="0">
                  <c:v>48</c:v>
                </c:pt>
                <c:pt idx="1">
                  <c:v>49</c:v>
                </c:pt>
                <c:pt idx="2">
                  <c:v>50</c:v>
                </c:pt>
                <c:pt idx="3">
                  <c:v>51</c:v>
                </c:pt>
                <c:pt idx="4">
                  <c:v>52</c:v>
                </c:pt>
                <c:pt idx="5">
                  <c:v>53</c:v>
                </c:pt>
                <c:pt idx="6">
                  <c:v>54</c:v>
                </c:pt>
                <c:pt idx="7">
                  <c:v>55</c:v>
                </c:pt>
                <c:pt idx="8">
                  <c:v>56</c:v>
                </c:pt>
                <c:pt idx="9">
                  <c:v>57</c:v>
                </c:pt>
                <c:pt idx="10">
                  <c:v>58</c:v>
                </c:pt>
                <c:pt idx="11">
                  <c:v>59</c:v>
                </c:pt>
                <c:pt idx="12">
                  <c:v>60</c:v>
                </c:pt>
                <c:pt idx="13">
                  <c:v>61</c:v>
                </c:pt>
                <c:pt idx="14">
                  <c:v>62</c:v>
                </c:pt>
                <c:pt idx="15">
                  <c:v>63</c:v>
                </c:pt>
                <c:pt idx="16">
                  <c:v>64</c:v>
                </c:pt>
                <c:pt idx="17">
                  <c:v>65</c:v>
                </c:pt>
                <c:pt idx="18">
                  <c:v>66</c:v>
                </c:pt>
                <c:pt idx="19">
                  <c:v>67</c:v>
                </c:pt>
                <c:pt idx="20">
                  <c:v>68</c:v>
                </c:pt>
                <c:pt idx="21">
                  <c:v>69</c:v>
                </c:pt>
                <c:pt idx="22">
                  <c:v>70</c:v>
                </c:pt>
                <c:pt idx="23">
                  <c:v>71</c:v>
                </c:pt>
                <c:pt idx="24">
                  <c:v>72</c:v>
                </c:pt>
                <c:pt idx="25">
                  <c:v>73</c:v>
                </c:pt>
                <c:pt idx="26">
                  <c:v>74</c:v>
                </c:pt>
                <c:pt idx="27">
                  <c:v>75</c:v>
                </c:pt>
                <c:pt idx="28">
                  <c:v>76</c:v>
                </c:pt>
                <c:pt idx="29">
                  <c:v>77</c:v>
                </c:pt>
                <c:pt idx="30">
                  <c:v>78</c:v>
                </c:pt>
                <c:pt idx="31">
                  <c:v>79</c:v>
                </c:pt>
                <c:pt idx="32">
                  <c:v>80</c:v>
                </c:pt>
                <c:pt idx="33">
                  <c:v>81</c:v>
                </c:pt>
                <c:pt idx="34">
                  <c:v>82</c:v>
                </c:pt>
                <c:pt idx="35">
                  <c:v>83</c:v>
                </c:pt>
                <c:pt idx="36">
                  <c:v>84</c:v>
                </c:pt>
                <c:pt idx="37">
                  <c:v>85</c:v>
                </c:pt>
                <c:pt idx="38">
                  <c:v>86</c:v>
                </c:pt>
                <c:pt idx="39">
                  <c:v>87</c:v>
                </c:pt>
                <c:pt idx="40">
                  <c:v>88</c:v>
                </c:pt>
                <c:pt idx="41">
                  <c:v>89</c:v>
                </c:pt>
              </c:numCache>
            </c:numRef>
          </c:cat>
          <c:val>
            <c:numRef>
              <c:f>Projections!$Z$6:$Z$48</c:f>
              <c:numCache>
                <c:formatCode>_("$"* #,##0_);_("$"* \(#,##0\);_("$"* "-"??_);_(@_)</c:formatCode>
                <c:ptCount val="43"/>
                <c:pt idx="0">
                  <c:v>3124387.97</c:v>
                </c:pt>
                <c:pt idx="1">
                  <c:v>3666556.8925173036</c:v>
                </c:pt>
                <c:pt idx="2">
                  <c:v>3900415.9514820725</c:v>
                </c:pt>
                <c:pt idx="3">
                  <c:v>4147164.1920643011</c:v>
                </c:pt>
                <c:pt idx="4">
                  <c:v>4407546.3174156956</c:v>
                </c:pt>
                <c:pt idx="5">
                  <c:v>4682351.5751060583</c:v>
                </c:pt>
                <c:pt idx="6">
                  <c:v>4972416.4885903848</c:v>
                </c:pt>
                <c:pt idx="7">
                  <c:v>5278627.7591400612</c:v>
                </c:pt>
                <c:pt idx="8">
                  <c:v>5601925.3490085145</c:v>
                </c:pt>
                <c:pt idx="9">
                  <c:v>5943305.7572880713</c:v>
                </c:pt>
                <c:pt idx="10">
                  <c:v>6303825.5006452221</c:v>
                </c:pt>
                <c:pt idx="11">
                  <c:v>6684604.8118986646</c:v>
                </c:pt>
                <c:pt idx="12">
                  <c:v>7031831.5702316845</c:v>
                </c:pt>
                <c:pt idx="13">
                  <c:v>7398190.4777105497</c:v>
                </c:pt>
                <c:pt idx="14">
                  <c:v>7784785.1227173014</c:v>
                </c:pt>
                <c:pt idx="15">
                  <c:v>8192784.9675270747</c:v>
                </c:pt>
                <c:pt idx="16">
                  <c:v>8623429.3796615433</c:v>
                </c:pt>
                <c:pt idx="17">
                  <c:v>9078031.9144067466</c:v>
                </c:pt>
                <c:pt idx="18">
                  <c:v>9557984.8643435463</c:v>
                </c:pt>
                <c:pt idx="19">
                  <c:v>10064764.092748046</c:v>
                </c:pt>
                <c:pt idx="20">
                  <c:v>10599934.168792851</c:v>
                </c:pt>
                <c:pt idx="21">
                  <c:v>11165153.823622638</c:v>
                </c:pt>
                <c:pt idx="22">
                  <c:v>11762181.747593058</c:v>
                </c:pt>
                <c:pt idx="23">
                  <c:v>12392882.750255803</c:v>
                </c:pt>
                <c:pt idx="24">
                  <c:v>13059234.306049101</c:v>
                </c:pt>
                <c:pt idx="25">
                  <c:v>13763333.510118006</c:v>
                </c:pt>
                <c:pt idx="26">
                  <c:v>14507404.470247626</c:v>
                </c:pt>
                <c:pt idx="27">
                  <c:v>15293806.162551487</c:v>
                </c:pt>
                <c:pt idx="28">
                  <c:v>16125040.780322686</c:v>
                </c:pt>
                <c:pt idx="29">
                  <c:v>17003762.607334323</c:v>
                </c:pt>
                <c:pt idx="30">
                  <c:v>17932787.448875207</c:v>
                </c:pt>
                <c:pt idx="31">
                  <c:v>18915102.655934744</c:v>
                </c:pt>
                <c:pt idx="32">
                  <c:v>19953877.780215763</c:v>
                </c:pt>
                <c:pt idx="33">
                  <c:v>21052475.900063947</c:v>
                </c:pt>
                <c:pt idx="34">
                  <c:v>22214465.659968123</c:v>
                </c:pt>
                <c:pt idx="35">
                  <c:v>23443634.069015279</c:v>
                </c:pt>
                <c:pt idx="36">
                  <c:v>24744000.106590267</c:v>
                </c:pt>
                <c:pt idx="37">
                  <c:v>26119829.186702322</c:v>
                </c:pt>
                <c:pt idx="38">
                  <c:v>27575648.535612285</c:v>
                </c:pt>
                <c:pt idx="39">
                  <c:v>29116263.540937524</c:v>
                </c:pt>
                <c:pt idx="40">
                  <c:v>30746775.134140346</c:v>
                </c:pt>
                <c:pt idx="41">
                  <c:v>32472598.272274453</c:v>
                </c:pt>
              </c:numCache>
            </c:numRef>
          </c:val>
          <c:smooth val="1"/>
          <c:extLst>
            <c:ext xmlns:c16="http://schemas.microsoft.com/office/drawing/2014/chart" uri="{C3380CC4-5D6E-409C-BE32-E72D297353CC}">
              <c16:uniqueId val="{00000000-8E22-FB44-AEA1-1EDA744A0A2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1"/>
        <c:axPos val="b"/>
        <c:title>
          <c:tx>
            <c:rich>
              <a:bodyPr/>
              <a:lstStyle/>
              <a:p>
                <a:r>
                  <a:rPr lang="en-AU"/>
                  <a:t>Age</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a:t>
                </a:r>
              </a:p>
            </c:rich>
          </c:tx>
          <c:overlay val="0"/>
        </c:title>
        <c:numFmt formatCode="_(&quot;$&quot;* #,##0_);_(&quot;$&quot;* \(#,##0\);_(&quot;$&quot;* &quot;-&quot;??_);_(@_)"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Net Rental Cashflow by Property</a:t>
            </a:r>
          </a:p>
        </c:rich>
      </c:tx>
      <c:overlay val="0"/>
    </c:title>
    <c:autoTitleDeleted val="0"/>
    <c:plotArea>
      <c:layout/>
      <c:barChart>
        <c:barDir val="col"/>
        <c:grouping val="clustered"/>
        <c:varyColors val="1"/>
        <c:ser>
          <c:idx val="0"/>
          <c:order val="0"/>
          <c:tx>
            <c:strRef>
              <c:f>'Rental Cashflow'!$E$5</c:f>
              <c:strCache>
                <c:ptCount val="1"/>
                <c:pt idx="0">
                  <c:v>Net Cashflow</c:v>
                </c:pt>
              </c:strCache>
            </c:strRef>
          </c:tx>
          <c:spPr>
            <a:ln>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'Rental Cashflow'!$A$6:$A$8</c:f>
              <c:strCache>
                <c:ptCount val="3"/>
                <c:pt idx="0">
                  <c:v>IP1 - Albany St Crows Nest</c:v>
                </c:pt>
                <c:pt idx="1">
                  <c:v>IP2</c:v>
                </c:pt>
                <c:pt idx="2">
                  <c:v>IP3</c:v>
                </c:pt>
              </c:strCache>
            </c:strRef>
          </c:cat>
          <c:val>
            <c:numRef>
              <c:f>'Rental Cashflow'!$E$6:$E$8</c:f>
              <c:numCache>
                <c:formatCode>_("$"* #,##0_);_("$"* \(#,##0\);_("$"* "-"??_);_(@_)</c:formatCode>
                <c:ptCount val="3"/>
                <c:pt idx="0">
                  <c:v>13056.765450176474</c:v>
                </c:pt>
                <c:pt idx="1">
                  <c:v>-7574.7105882352953</c:v>
                </c:pt>
                <c:pt idx="2">
                  <c:v>-9234.924705882353</c:v>
                </c:pt>
              </c:numCache>
            </c:numRef>
          </c:val>
          <c:extLst>
            <c:ext xmlns:c16="http://schemas.microsoft.com/office/drawing/2014/chart" uri="{C3380CC4-5D6E-409C-BE32-E72D297353CC}">
              <c16:uniqueId val="{00000000-8C90-DA4C-912B-9C30ABF2749C}"/>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 p.a.</a:t>
                </a:r>
              </a:p>
            </c:rich>
          </c:tx>
          <c:overlay val="0"/>
        </c:title>
        <c:numFmt formatCode="_(&quot;$&quot;* #,##0_);_(&quot;$&quot;* \(#,##0\);_(&quot;$&quot;* &quot;-&quot;??_);_(@_)"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Probability Fan (P10/P50/P90)</a:t>
            </a:r>
          </a:p>
        </c:rich>
      </c:tx>
      <c:overlay val="0"/>
    </c:title>
    <c:autoTitleDeleted val="0"/>
    <c:plotArea>
      <c:layout/>
      <c:areaChart>
        <c:grouping val="standard"/>
        <c:varyColors val="1"/>
        <c:ser>
          <c:idx val="0"/>
          <c:order val="0"/>
          <c:tx>
            <c:strRef>
              <c:f>'Monte Carlo'!$C$5</c:f>
              <c:strCache>
                <c:ptCount val="1"/>
                <c:pt idx="0">
                  <c:v>P10</c:v>
                </c:pt>
              </c:strCache>
            </c:strRef>
          </c:tx>
          <c:spPr>
            <a:ln>
              <a:prstDash val="solid"/>
            </a:ln>
          </c:spPr>
          <c:cat>
            <c:numRef>
              <c:f>'Monte Carlo'!$B$6:$B$36</c:f>
              <c:numCache>
                <c:formatCode>General</c:formatCode>
                <c:ptCount val="3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numCache>
            </c:numRef>
          </c:cat>
          <c:val>
            <c:numRef>
              <c:f>'Monte Carlo'!$C$6:$C$36</c:f>
              <c:numCache>
                <c:formatCode>General</c:formatCode>
                <c:ptCount val="31"/>
                <c:pt idx="0">
                  <c:v>2489138.133549857</c:v>
                </c:pt>
                <c:pt idx="1">
                  <c:v>2373853.275537156</c:v>
                </c:pt>
                <c:pt idx="2">
                  <c:v>2296357.3093880368</c:v>
                </c:pt>
                <c:pt idx="3">
                  <c:v>2239042.4018381359</c:v>
                </c:pt>
                <c:pt idx="4">
                  <c:v>2154484.394705486</c:v>
                </c:pt>
                <c:pt idx="5">
                  <c:v>2113805.3405158329</c:v>
                </c:pt>
                <c:pt idx="6">
                  <c:v>2029923.306704218</c:v>
                </c:pt>
                <c:pt idx="7">
                  <c:v>2049040.8721174861</c:v>
                </c:pt>
                <c:pt idx="8">
                  <c:v>1955491.4959925569</c:v>
                </c:pt>
                <c:pt idx="9">
                  <c:v>1926011.8937070579</c:v>
                </c:pt>
                <c:pt idx="10">
                  <c:v>1865588.626755018</c:v>
                </c:pt>
                <c:pt idx="11">
                  <c:v>1799743.450582826</c:v>
                </c:pt>
                <c:pt idx="12">
                  <c:v>1694340.1302159389</c:v>
                </c:pt>
                <c:pt idx="13">
                  <c:v>1626584.483353697</c:v>
                </c:pt>
                <c:pt idx="14">
                  <c:v>1579186.3738156741</c:v>
                </c:pt>
                <c:pt idx="15">
                  <c:v>1489930.214291322</c:v>
                </c:pt>
                <c:pt idx="16">
                  <c:v>1420608.908827842</c:v>
                </c:pt>
                <c:pt idx="17">
                  <c:v>1311713.668085007</c:v>
                </c:pt>
                <c:pt idx="18">
                  <c:v>1227793.213363759</c:v>
                </c:pt>
                <c:pt idx="19">
                  <c:v>1093338.394988222</c:v>
                </c:pt>
                <c:pt idx="20">
                  <c:v>985435.0606527091</c:v>
                </c:pt>
                <c:pt idx="21">
                  <c:v>829566.40731308353</c:v>
                </c:pt>
                <c:pt idx="22">
                  <c:v>689822.23019957705</c:v>
                </c:pt>
                <c:pt idx="23">
                  <c:v>527833.22853686882</c:v>
                </c:pt>
                <c:pt idx="24">
                  <c:v>318923.40084949601</c:v>
                </c:pt>
                <c:pt idx="25">
                  <c:v>144795.9350656012</c:v>
                </c:pt>
                <c:pt idx="26">
                  <c:v>-48124.037980851979</c:v>
                </c:pt>
                <c:pt idx="27">
                  <c:v>-259576.21131563181</c:v>
                </c:pt>
                <c:pt idx="28">
                  <c:v>-495639.69333812431</c:v>
                </c:pt>
                <c:pt idx="29">
                  <c:v>-722890.12279433606</c:v>
                </c:pt>
                <c:pt idx="30">
                  <c:v>-1053470.515489433</c:v>
                </c:pt>
              </c:numCache>
            </c:numRef>
          </c:val>
          <c:extLst>
            <c:ext xmlns:c16="http://schemas.microsoft.com/office/drawing/2014/chart" uri="{C3380CC4-5D6E-409C-BE32-E72D297353CC}">
              <c16:uniqueId val="{00000000-95AB-F14C-9B62-42270DB8EC5F}"/>
            </c:ext>
          </c:extLst>
        </c:ser>
        <c:ser>
          <c:idx val="1"/>
          <c:order val="1"/>
          <c:tx>
            <c:strRef>
              <c:f>'Monte Carlo'!$D$5</c:f>
              <c:strCache>
                <c:ptCount val="1"/>
                <c:pt idx="0">
                  <c:v>P50</c:v>
                </c:pt>
              </c:strCache>
            </c:strRef>
          </c:tx>
          <c:spPr>
            <a:ln>
              <a:prstDash val="solid"/>
            </a:ln>
          </c:spPr>
          <c:cat>
            <c:numRef>
              <c:f>'Monte Carlo'!$B$6:$B$36</c:f>
              <c:numCache>
                <c:formatCode>General</c:formatCode>
                <c:ptCount val="3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numCache>
            </c:numRef>
          </c:cat>
          <c:val>
            <c:numRef>
              <c:f>'Monte Carlo'!$D$6:$D$36</c:f>
              <c:numCache>
                <c:formatCode>General</c:formatCode>
                <c:ptCount val="31"/>
                <c:pt idx="0">
                  <c:v>2881594.145554225</c:v>
                </c:pt>
                <c:pt idx="1">
                  <c:v>2936990.9940132559</c:v>
                </c:pt>
                <c:pt idx="2">
                  <c:v>2980052.4362938418</c:v>
                </c:pt>
                <c:pt idx="3">
                  <c:v>3044067.8000690648</c:v>
                </c:pt>
                <c:pt idx="4">
                  <c:v>3110203.2947724792</c:v>
                </c:pt>
                <c:pt idx="5">
                  <c:v>3119164.9884777712</c:v>
                </c:pt>
                <c:pt idx="6">
                  <c:v>3201390.9177903668</c:v>
                </c:pt>
                <c:pt idx="7">
                  <c:v>3264545.7737569292</c:v>
                </c:pt>
                <c:pt idx="8">
                  <c:v>3321908.0039722682</c:v>
                </c:pt>
                <c:pt idx="9">
                  <c:v>3372292.8487445102</c:v>
                </c:pt>
                <c:pt idx="10">
                  <c:v>3473646.484685421</c:v>
                </c:pt>
                <c:pt idx="11">
                  <c:v>3539986.1501904768</c:v>
                </c:pt>
                <c:pt idx="12">
                  <c:v>3631185.9839892429</c:v>
                </c:pt>
                <c:pt idx="13">
                  <c:v>3670921.286509092</c:v>
                </c:pt>
                <c:pt idx="14">
                  <c:v>3723067.3134534708</c:v>
                </c:pt>
                <c:pt idx="15">
                  <c:v>3772691.9736885</c:v>
                </c:pt>
                <c:pt idx="16">
                  <c:v>3829639.029963539</c:v>
                </c:pt>
                <c:pt idx="17">
                  <c:v>3927742.2043355391</c:v>
                </c:pt>
                <c:pt idx="18">
                  <c:v>3945759.0504903179</c:v>
                </c:pt>
                <c:pt idx="19">
                  <c:v>3972575.4964608462</c:v>
                </c:pt>
                <c:pt idx="20">
                  <c:v>3974130.3126350921</c:v>
                </c:pt>
                <c:pt idx="21">
                  <c:v>4110412.95477338</c:v>
                </c:pt>
                <c:pt idx="22">
                  <c:v>4150205.9891085788</c:v>
                </c:pt>
                <c:pt idx="23">
                  <c:v>4163290.403039773</c:v>
                </c:pt>
                <c:pt idx="24">
                  <c:v>4199224.9741610484</c:v>
                </c:pt>
                <c:pt idx="25">
                  <c:v>4235607.9205289464</c:v>
                </c:pt>
                <c:pt idx="26">
                  <c:v>4270611.0965373786</c:v>
                </c:pt>
                <c:pt idx="27">
                  <c:v>4304817.4468623269</c:v>
                </c:pt>
                <c:pt idx="28">
                  <c:v>4238127.3778830329</c:v>
                </c:pt>
                <c:pt idx="29">
                  <c:v>4283803.9928876618</c:v>
                </c:pt>
                <c:pt idx="30">
                  <c:v>4285630.8342379518</c:v>
                </c:pt>
              </c:numCache>
            </c:numRef>
          </c:val>
          <c:extLst>
            <c:ext xmlns:c16="http://schemas.microsoft.com/office/drawing/2014/chart" uri="{C3380CC4-5D6E-409C-BE32-E72D297353CC}">
              <c16:uniqueId val="{00000001-95AB-F14C-9B62-42270DB8EC5F}"/>
            </c:ext>
          </c:extLst>
        </c:ser>
        <c:ser>
          <c:idx val="2"/>
          <c:order val="2"/>
          <c:tx>
            <c:strRef>
              <c:f>'Monte Carlo'!$E$5</c:f>
              <c:strCache>
                <c:ptCount val="1"/>
                <c:pt idx="0">
                  <c:v>P90</c:v>
                </c:pt>
              </c:strCache>
            </c:strRef>
          </c:tx>
          <c:spPr>
            <a:ln>
              <a:prstDash val="solid"/>
            </a:ln>
          </c:spPr>
          <c:cat>
            <c:numRef>
              <c:f>'Monte Carlo'!$B$6:$B$36</c:f>
              <c:numCache>
                <c:formatCode>General</c:formatCode>
                <c:ptCount val="3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numCache>
            </c:numRef>
          </c:cat>
          <c:val>
            <c:numRef>
              <c:f>'Monte Carlo'!$E$6:$E$36</c:f>
              <c:numCache>
                <c:formatCode>General</c:formatCode>
                <c:ptCount val="31"/>
                <c:pt idx="0">
                  <c:v>3284616.4838674939</c:v>
                </c:pt>
                <c:pt idx="1">
                  <c:v>3544206.8617738788</c:v>
                </c:pt>
                <c:pt idx="2">
                  <c:v>3804318.0709789419</c:v>
                </c:pt>
                <c:pt idx="3">
                  <c:v>4045922.346039216</c:v>
                </c:pt>
                <c:pt idx="4">
                  <c:v>4335957.8320744727</c:v>
                </c:pt>
                <c:pt idx="5">
                  <c:v>4571001.9008739721</c:v>
                </c:pt>
                <c:pt idx="6">
                  <c:v>4818483.2337584831</c:v>
                </c:pt>
                <c:pt idx="7">
                  <c:v>5110588.9064238779</c:v>
                </c:pt>
                <c:pt idx="8">
                  <c:v>5419163.2724865442</c:v>
                </c:pt>
                <c:pt idx="9">
                  <c:v>5641683.5787763046</c:v>
                </c:pt>
                <c:pt idx="10">
                  <c:v>5947621.9019778427</c:v>
                </c:pt>
                <c:pt idx="11">
                  <c:v>6246989.4769301452</c:v>
                </c:pt>
                <c:pt idx="12">
                  <c:v>6560007.4287821148</c:v>
                </c:pt>
                <c:pt idx="13">
                  <c:v>6880757.7407139568</c:v>
                </c:pt>
                <c:pt idx="14">
                  <c:v>7325330.9028354809</c:v>
                </c:pt>
                <c:pt idx="15">
                  <c:v>7640356.8235043753</c:v>
                </c:pt>
                <c:pt idx="16">
                  <c:v>8117001.8621994089</c:v>
                </c:pt>
                <c:pt idx="17">
                  <c:v>8547743.4291830342</c:v>
                </c:pt>
                <c:pt idx="18">
                  <c:v>9068947.0066284817</c:v>
                </c:pt>
                <c:pt idx="19">
                  <c:v>9440347.8813126087</c:v>
                </c:pt>
                <c:pt idx="20">
                  <c:v>10025014.890886489</c:v>
                </c:pt>
                <c:pt idx="21">
                  <c:v>10350333.539751031</c:v>
                </c:pt>
                <c:pt idx="22">
                  <c:v>10888380.917623021</c:v>
                </c:pt>
                <c:pt idx="23">
                  <c:v>11780466.093879269</c:v>
                </c:pt>
                <c:pt idx="24">
                  <c:v>12125533.685076879</c:v>
                </c:pt>
                <c:pt idx="25">
                  <c:v>12498626.43539449</c:v>
                </c:pt>
                <c:pt idx="26">
                  <c:v>13244217.502077</c:v>
                </c:pt>
                <c:pt idx="27">
                  <c:v>14020114.24936969</c:v>
                </c:pt>
                <c:pt idx="28">
                  <c:v>14630598.036049381</c:v>
                </c:pt>
                <c:pt idx="29">
                  <c:v>15244342.389695549</c:v>
                </c:pt>
                <c:pt idx="30">
                  <c:v>16123665.89334107</c:v>
                </c:pt>
              </c:numCache>
            </c:numRef>
          </c:val>
          <c:extLst>
            <c:ext xmlns:c16="http://schemas.microsoft.com/office/drawing/2014/chart" uri="{C3380CC4-5D6E-409C-BE32-E72D297353CC}">
              <c16:uniqueId val="{00000002-95AB-F14C-9B62-42270DB8EC5F}"/>
            </c:ext>
          </c:extLst>
        </c:ser>
        <c:dLbls>
          <c:showLegendKey val="0"/>
          <c:showVal val="0"/>
          <c:showCatName val="0"/>
          <c:showSerName val="0"/>
          <c:showPercent val="0"/>
          <c:showBubbleSize val="0"/>
        </c:dLbls>
        <c:axId val="48650112"/>
        <c:axId val="48672768"/>
      </c:areaChart>
      <c:catAx>
        <c:axId val="48650112"/>
        <c:scaling>
          <c:orientation val="minMax"/>
        </c:scaling>
        <c:delete val="1"/>
        <c:axPos val="b"/>
        <c:title>
          <c:tx>
            <c:rich>
              <a:bodyPr/>
              <a:lstStyle/>
              <a:p>
                <a:r>
                  <a:rPr lang="en-AU"/>
                  <a:t>Age</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a:t>
                </a:r>
              </a:p>
            </c:rich>
          </c:tx>
          <c:overlay val="0"/>
        </c:title>
        <c:numFmt formatCode="General" sourceLinked="1"/>
        <c:majorTickMark val="none"/>
        <c:minorTickMark val="none"/>
        <c:tickLblPos val="nextTo"/>
        <c:crossAx val="48650112"/>
        <c:crosses val="autoZero"/>
        <c:crossBetween val="midCat"/>
      </c:valAx>
    </c:plotArea>
    <c:legend>
      <c:legendPos val="r"/>
      <c:overlay val="1"/>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Net Worth</a:t>
            </a:r>
          </a:p>
        </c:rich>
      </c:tx>
      <c:overlay val="0"/>
    </c:title>
    <c:autoTitleDeleted val="0"/>
    <c:plotArea>
      <c:layout/>
      <c:lineChart>
        <c:grouping val="standard"/>
        <c:varyColors val="1"/>
        <c:ser>
          <c:idx val="0"/>
          <c:order val="0"/>
          <c:tx>
            <c:strRef>
              <c:f>Projections!$X$5</c:f>
              <c:strCache>
                <c:ptCount val="1"/>
                <c:pt idx="0">
                  <c:v>Total Net Worth</c:v>
                </c:pt>
              </c:strCache>
            </c:strRef>
          </c:tx>
          <c:spPr>
            <a:ln>
              <a:prstDash val="solid"/>
            </a:ln>
          </c:spPr>
          <c:marker>
            <c:symbol val="none"/>
          </c:marker>
          <c:cat>
            <c:numRef>
              <c:f>Projections!$C$6:$C$48</c:f>
              <c:numCache>
                <c:formatCode>General</c:formatCode>
                <c:ptCount val="43"/>
                <c:pt idx="0">
                  <c:v>48</c:v>
                </c:pt>
                <c:pt idx="1">
                  <c:v>49</c:v>
                </c:pt>
                <c:pt idx="2">
                  <c:v>50</c:v>
                </c:pt>
                <c:pt idx="3">
                  <c:v>51</c:v>
                </c:pt>
                <c:pt idx="4">
                  <c:v>52</c:v>
                </c:pt>
                <c:pt idx="5">
                  <c:v>53</c:v>
                </c:pt>
                <c:pt idx="6">
                  <c:v>54</c:v>
                </c:pt>
                <c:pt idx="7">
                  <c:v>55</c:v>
                </c:pt>
                <c:pt idx="8">
                  <c:v>56</c:v>
                </c:pt>
                <c:pt idx="9">
                  <c:v>57</c:v>
                </c:pt>
                <c:pt idx="10">
                  <c:v>58</c:v>
                </c:pt>
                <c:pt idx="11">
                  <c:v>59</c:v>
                </c:pt>
                <c:pt idx="12">
                  <c:v>60</c:v>
                </c:pt>
                <c:pt idx="13">
                  <c:v>61</c:v>
                </c:pt>
                <c:pt idx="14">
                  <c:v>62</c:v>
                </c:pt>
                <c:pt idx="15">
                  <c:v>63</c:v>
                </c:pt>
                <c:pt idx="16">
                  <c:v>64</c:v>
                </c:pt>
                <c:pt idx="17">
                  <c:v>65</c:v>
                </c:pt>
                <c:pt idx="18">
                  <c:v>66</c:v>
                </c:pt>
                <c:pt idx="19">
                  <c:v>67</c:v>
                </c:pt>
                <c:pt idx="20">
                  <c:v>68</c:v>
                </c:pt>
                <c:pt idx="21">
                  <c:v>69</c:v>
                </c:pt>
                <c:pt idx="22">
                  <c:v>70</c:v>
                </c:pt>
                <c:pt idx="23">
                  <c:v>71</c:v>
                </c:pt>
                <c:pt idx="24">
                  <c:v>72</c:v>
                </c:pt>
                <c:pt idx="25">
                  <c:v>73</c:v>
                </c:pt>
                <c:pt idx="26">
                  <c:v>74</c:v>
                </c:pt>
                <c:pt idx="27">
                  <c:v>75</c:v>
                </c:pt>
                <c:pt idx="28">
                  <c:v>76</c:v>
                </c:pt>
                <c:pt idx="29">
                  <c:v>77</c:v>
                </c:pt>
                <c:pt idx="30">
                  <c:v>78</c:v>
                </c:pt>
                <c:pt idx="31">
                  <c:v>79</c:v>
                </c:pt>
                <c:pt idx="32">
                  <c:v>80</c:v>
                </c:pt>
                <c:pt idx="33">
                  <c:v>81</c:v>
                </c:pt>
                <c:pt idx="34">
                  <c:v>82</c:v>
                </c:pt>
                <c:pt idx="35">
                  <c:v>83</c:v>
                </c:pt>
                <c:pt idx="36">
                  <c:v>84</c:v>
                </c:pt>
                <c:pt idx="37">
                  <c:v>85</c:v>
                </c:pt>
                <c:pt idx="38">
                  <c:v>86</c:v>
                </c:pt>
                <c:pt idx="39">
                  <c:v>87</c:v>
                </c:pt>
                <c:pt idx="40">
                  <c:v>88</c:v>
                </c:pt>
                <c:pt idx="41">
                  <c:v>89</c:v>
                </c:pt>
              </c:numCache>
            </c:numRef>
          </c:cat>
          <c:val>
            <c:numRef>
              <c:f>Projections!$X$6:$X$48</c:f>
              <c:numCache>
                <c:formatCode>_("$"* #,##0_);_("$"* \(#,##0\);_("$"* "-"??_);_(@_)</c:formatCode>
                <c:ptCount val="43"/>
                <c:pt idx="0">
                  <c:v>3124387.97</c:v>
                </c:pt>
                <c:pt idx="1">
                  <c:v>3666556.8925173036</c:v>
                </c:pt>
                <c:pt idx="2">
                  <c:v>3900415.9514820725</c:v>
                </c:pt>
                <c:pt idx="3">
                  <c:v>4147164.1920643011</c:v>
                </c:pt>
                <c:pt idx="4">
                  <c:v>4407546.3174156956</c:v>
                </c:pt>
                <c:pt idx="5">
                  <c:v>4682351.5751060583</c:v>
                </c:pt>
                <c:pt idx="6">
                  <c:v>4972416.4885903848</c:v>
                </c:pt>
                <c:pt idx="7">
                  <c:v>5278627.7591400612</c:v>
                </c:pt>
                <c:pt idx="8">
                  <c:v>5601925.3490085145</c:v>
                </c:pt>
                <c:pt idx="9">
                  <c:v>5943305.7572880713</c:v>
                </c:pt>
                <c:pt idx="10">
                  <c:v>6303825.5006452221</c:v>
                </c:pt>
                <c:pt idx="11">
                  <c:v>6684604.8118986646</c:v>
                </c:pt>
                <c:pt idx="12">
                  <c:v>7031831.5702316845</c:v>
                </c:pt>
                <c:pt idx="13">
                  <c:v>7398190.4777105497</c:v>
                </c:pt>
                <c:pt idx="14">
                  <c:v>7784785.1227173014</c:v>
                </c:pt>
                <c:pt idx="15">
                  <c:v>8192784.9675270747</c:v>
                </c:pt>
                <c:pt idx="16">
                  <c:v>8623429.3796615433</c:v>
                </c:pt>
                <c:pt idx="17">
                  <c:v>9078031.9144067466</c:v>
                </c:pt>
                <c:pt idx="18">
                  <c:v>9557984.8643435463</c:v>
                </c:pt>
                <c:pt idx="19">
                  <c:v>10064764.092748046</c:v>
                </c:pt>
                <c:pt idx="20">
                  <c:v>10599934.168792851</c:v>
                </c:pt>
                <c:pt idx="21">
                  <c:v>11165153.823622638</c:v>
                </c:pt>
                <c:pt idx="22">
                  <c:v>11762181.747593058</c:v>
                </c:pt>
                <c:pt idx="23">
                  <c:v>12392882.750255803</c:v>
                </c:pt>
                <c:pt idx="24">
                  <c:v>13059234.306049101</c:v>
                </c:pt>
                <c:pt idx="25">
                  <c:v>13763333.510118006</c:v>
                </c:pt>
                <c:pt idx="26">
                  <c:v>14507404.470247626</c:v>
                </c:pt>
                <c:pt idx="27">
                  <c:v>15293806.162551487</c:v>
                </c:pt>
                <c:pt idx="28">
                  <c:v>16125040.780322686</c:v>
                </c:pt>
                <c:pt idx="29">
                  <c:v>17003762.607334323</c:v>
                </c:pt>
                <c:pt idx="30">
                  <c:v>17932787.448875207</c:v>
                </c:pt>
                <c:pt idx="31">
                  <c:v>18915102.655934744</c:v>
                </c:pt>
                <c:pt idx="32">
                  <c:v>19953877.780215763</c:v>
                </c:pt>
                <c:pt idx="33">
                  <c:v>21052475.900063947</c:v>
                </c:pt>
                <c:pt idx="34">
                  <c:v>22214465.659968123</c:v>
                </c:pt>
                <c:pt idx="35">
                  <c:v>23443634.069015279</c:v>
                </c:pt>
                <c:pt idx="36">
                  <c:v>24744000.106590267</c:v>
                </c:pt>
                <c:pt idx="37">
                  <c:v>26119829.186702322</c:v>
                </c:pt>
                <c:pt idx="38">
                  <c:v>27575648.535612285</c:v>
                </c:pt>
                <c:pt idx="39">
                  <c:v>29116263.540937524</c:v>
                </c:pt>
                <c:pt idx="40">
                  <c:v>30746775.134140346</c:v>
                </c:pt>
                <c:pt idx="41">
                  <c:v>32472598.272274453</c:v>
                </c:pt>
              </c:numCache>
            </c:numRef>
          </c:val>
          <c:smooth val="1"/>
          <c:extLst>
            <c:ext xmlns:c16="http://schemas.microsoft.com/office/drawing/2014/chart" uri="{C3380CC4-5D6E-409C-BE32-E72D297353CC}">
              <c16:uniqueId val="{00000000-F83F-4947-B02B-588A5B6C741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1"/>
        <c:axPos val="b"/>
        <c:title>
          <c:tx>
            <c:rich>
              <a:bodyPr/>
              <a:lstStyle/>
              <a:p>
                <a:r>
                  <a:rPr lang="en-AU"/>
                  <a:t>Age</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a:t>
                </a:r>
              </a:p>
            </c:rich>
          </c:tx>
          <c:overlay val="0"/>
        </c:title>
        <c:numFmt formatCode="_(&quot;$&quot;* #,##0_);_(&quot;$&quot;* \(#,##0\);_(&quot;$&quot;* &quot;-&quot;??_);_(@_)"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Rental Net Cashflow</a:t>
            </a:r>
          </a:p>
        </c:rich>
      </c:tx>
      <c:overlay val="0"/>
    </c:title>
    <c:autoTitleDeleted val="0"/>
    <c:plotArea>
      <c:layout/>
      <c:barChart>
        <c:barDir val="col"/>
        <c:grouping val="clustered"/>
        <c:varyColors val="1"/>
        <c:ser>
          <c:idx val="0"/>
          <c:order val="0"/>
          <c:tx>
            <c:strRef>
              <c:f>'Rental Cashflow'!$E$5</c:f>
              <c:strCache>
                <c:ptCount val="1"/>
                <c:pt idx="0">
                  <c:v>Net Cashflow</c:v>
                </c:pt>
              </c:strCache>
            </c:strRef>
          </c:tx>
          <c:spPr>
            <a:ln>
              <a:prstDash val="solid"/>
            </a:ln>
          </c:spPr>
          <c:invertIfNegative val="1"/>
          <c:cat>
            <c:strRef>
              <c:f>'Rental Cashflow'!$A$6:$A$8</c:f>
              <c:strCache>
                <c:ptCount val="3"/>
                <c:pt idx="0">
                  <c:v>IP1 - Albany St Crows Nest</c:v>
                </c:pt>
                <c:pt idx="1">
                  <c:v>IP2</c:v>
                </c:pt>
                <c:pt idx="2">
                  <c:v>IP3</c:v>
                </c:pt>
              </c:strCache>
            </c:strRef>
          </c:cat>
          <c:val>
            <c:numRef>
              <c:f>'Rental Cashflow'!$E$6:$E$8</c:f>
              <c:numCache>
                <c:formatCode>_("$"* #,##0_);_("$"* \(#,##0\);_("$"* "-"??_);_(@_)</c:formatCode>
                <c:ptCount val="3"/>
                <c:pt idx="0">
                  <c:v>13056.765450176474</c:v>
                </c:pt>
                <c:pt idx="1">
                  <c:v>-7574.7105882352953</c:v>
                </c:pt>
                <c:pt idx="2">
                  <c:v>-9234.924705882353</c:v>
                </c:pt>
              </c:numCache>
            </c:numRef>
          </c:val>
          <c:extLst>
            <c:ext xmlns:c16="http://schemas.microsoft.com/office/drawing/2014/chart" uri="{C3380CC4-5D6E-409C-BE32-E72D297353CC}">
              <c16:uniqueId val="{00000000-5661-1143-9434-9201347259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 p.a.</a:t>
                </a:r>
              </a:p>
            </c:rich>
          </c:tx>
          <c:overlay val="0"/>
        </c:title>
        <c:numFmt formatCode="_(&quot;$&quot;* #,##0_);_(&quot;$&quot;* \(#,##0\);_(&quot;$&quot;* &quot;-&quot;??_);_(@_)"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AU"/>
              <a:t>Monte Carlo Fan</a:t>
            </a:r>
          </a:p>
        </c:rich>
      </c:tx>
      <c:overlay val="0"/>
    </c:title>
    <c:autoTitleDeleted val="0"/>
    <c:plotArea>
      <c:layout/>
      <c:areaChart>
        <c:grouping val="standard"/>
        <c:varyColors val="1"/>
        <c:ser>
          <c:idx val="0"/>
          <c:order val="0"/>
          <c:tx>
            <c:strRef>
              <c:f>'Monte Carlo'!$C$5</c:f>
              <c:strCache>
                <c:ptCount val="1"/>
                <c:pt idx="0">
                  <c:v>P10</c:v>
                </c:pt>
              </c:strCache>
            </c:strRef>
          </c:tx>
          <c:spPr>
            <a:ln>
              <a:prstDash val="solid"/>
            </a:ln>
          </c:spPr>
          <c:cat>
            <c:numRef>
              <c:f>'Monte Carlo'!$B$6:$B$36</c:f>
              <c:numCache>
                <c:formatCode>General</c:formatCode>
                <c:ptCount val="3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numCache>
            </c:numRef>
          </c:cat>
          <c:val>
            <c:numRef>
              <c:f>'Monte Carlo'!$C$6:$C$36</c:f>
              <c:numCache>
                <c:formatCode>General</c:formatCode>
                <c:ptCount val="31"/>
                <c:pt idx="0">
                  <c:v>2489138.133549857</c:v>
                </c:pt>
                <c:pt idx="1">
                  <c:v>2373853.275537156</c:v>
                </c:pt>
                <c:pt idx="2">
                  <c:v>2296357.3093880368</c:v>
                </c:pt>
                <c:pt idx="3">
                  <c:v>2239042.4018381359</c:v>
                </c:pt>
                <c:pt idx="4">
                  <c:v>2154484.394705486</c:v>
                </c:pt>
                <c:pt idx="5">
                  <c:v>2113805.3405158329</c:v>
                </c:pt>
                <c:pt idx="6">
                  <c:v>2029923.306704218</c:v>
                </c:pt>
                <c:pt idx="7">
                  <c:v>2049040.8721174861</c:v>
                </c:pt>
                <c:pt idx="8">
                  <c:v>1955491.4959925569</c:v>
                </c:pt>
                <c:pt idx="9">
                  <c:v>1926011.8937070579</c:v>
                </c:pt>
                <c:pt idx="10">
                  <c:v>1865588.626755018</c:v>
                </c:pt>
                <c:pt idx="11">
                  <c:v>1799743.450582826</c:v>
                </c:pt>
                <c:pt idx="12">
                  <c:v>1694340.1302159389</c:v>
                </c:pt>
                <c:pt idx="13">
                  <c:v>1626584.483353697</c:v>
                </c:pt>
                <c:pt idx="14">
                  <c:v>1579186.3738156741</c:v>
                </c:pt>
                <c:pt idx="15">
                  <c:v>1489930.214291322</c:v>
                </c:pt>
                <c:pt idx="16">
                  <c:v>1420608.908827842</c:v>
                </c:pt>
                <c:pt idx="17">
                  <c:v>1311713.668085007</c:v>
                </c:pt>
                <c:pt idx="18">
                  <c:v>1227793.213363759</c:v>
                </c:pt>
                <c:pt idx="19">
                  <c:v>1093338.394988222</c:v>
                </c:pt>
                <c:pt idx="20">
                  <c:v>985435.0606527091</c:v>
                </c:pt>
                <c:pt idx="21">
                  <c:v>829566.40731308353</c:v>
                </c:pt>
                <c:pt idx="22">
                  <c:v>689822.23019957705</c:v>
                </c:pt>
                <c:pt idx="23">
                  <c:v>527833.22853686882</c:v>
                </c:pt>
                <c:pt idx="24">
                  <c:v>318923.40084949601</c:v>
                </c:pt>
                <c:pt idx="25">
                  <c:v>144795.9350656012</c:v>
                </c:pt>
                <c:pt idx="26">
                  <c:v>-48124.037980851979</c:v>
                </c:pt>
                <c:pt idx="27">
                  <c:v>-259576.21131563181</c:v>
                </c:pt>
                <c:pt idx="28">
                  <c:v>-495639.69333812431</c:v>
                </c:pt>
                <c:pt idx="29">
                  <c:v>-722890.12279433606</c:v>
                </c:pt>
                <c:pt idx="30">
                  <c:v>-1053470.515489433</c:v>
                </c:pt>
              </c:numCache>
            </c:numRef>
          </c:val>
          <c:extLst>
            <c:ext xmlns:c16="http://schemas.microsoft.com/office/drawing/2014/chart" uri="{C3380CC4-5D6E-409C-BE32-E72D297353CC}">
              <c16:uniqueId val="{00000000-CC71-014E-8DCD-1B6FDA1A284C}"/>
            </c:ext>
          </c:extLst>
        </c:ser>
        <c:ser>
          <c:idx val="1"/>
          <c:order val="1"/>
          <c:tx>
            <c:strRef>
              <c:f>'Monte Carlo'!$D$5</c:f>
              <c:strCache>
                <c:ptCount val="1"/>
                <c:pt idx="0">
                  <c:v>P50</c:v>
                </c:pt>
              </c:strCache>
            </c:strRef>
          </c:tx>
          <c:spPr>
            <a:ln>
              <a:prstDash val="solid"/>
            </a:ln>
          </c:spPr>
          <c:cat>
            <c:numRef>
              <c:f>'Monte Carlo'!$B$6:$B$36</c:f>
              <c:numCache>
                <c:formatCode>General</c:formatCode>
                <c:ptCount val="3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numCache>
            </c:numRef>
          </c:cat>
          <c:val>
            <c:numRef>
              <c:f>'Monte Carlo'!$D$6:$D$36</c:f>
              <c:numCache>
                <c:formatCode>General</c:formatCode>
                <c:ptCount val="31"/>
                <c:pt idx="0">
                  <c:v>2881594.145554225</c:v>
                </c:pt>
                <c:pt idx="1">
                  <c:v>2936990.9940132559</c:v>
                </c:pt>
                <c:pt idx="2">
                  <c:v>2980052.4362938418</c:v>
                </c:pt>
                <c:pt idx="3">
                  <c:v>3044067.8000690648</c:v>
                </c:pt>
                <c:pt idx="4">
                  <c:v>3110203.2947724792</c:v>
                </c:pt>
                <c:pt idx="5">
                  <c:v>3119164.9884777712</c:v>
                </c:pt>
                <c:pt idx="6">
                  <c:v>3201390.9177903668</c:v>
                </c:pt>
                <c:pt idx="7">
                  <c:v>3264545.7737569292</c:v>
                </c:pt>
                <c:pt idx="8">
                  <c:v>3321908.0039722682</c:v>
                </c:pt>
                <c:pt idx="9">
                  <c:v>3372292.8487445102</c:v>
                </c:pt>
                <c:pt idx="10">
                  <c:v>3473646.484685421</c:v>
                </c:pt>
                <c:pt idx="11">
                  <c:v>3539986.1501904768</c:v>
                </c:pt>
                <c:pt idx="12">
                  <c:v>3631185.9839892429</c:v>
                </c:pt>
                <c:pt idx="13">
                  <c:v>3670921.286509092</c:v>
                </c:pt>
                <c:pt idx="14">
                  <c:v>3723067.3134534708</c:v>
                </c:pt>
                <c:pt idx="15">
                  <c:v>3772691.9736885</c:v>
                </c:pt>
                <c:pt idx="16">
                  <c:v>3829639.029963539</c:v>
                </c:pt>
                <c:pt idx="17">
                  <c:v>3927742.2043355391</c:v>
                </c:pt>
                <c:pt idx="18">
                  <c:v>3945759.0504903179</c:v>
                </c:pt>
                <c:pt idx="19">
                  <c:v>3972575.4964608462</c:v>
                </c:pt>
                <c:pt idx="20">
                  <c:v>3974130.3126350921</c:v>
                </c:pt>
                <c:pt idx="21">
                  <c:v>4110412.95477338</c:v>
                </c:pt>
                <c:pt idx="22">
                  <c:v>4150205.9891085788</c:v>
                </c:pt>
                <c:pt idx="23">
                  <c:v>4163290.403039773</c:v>
                </c:pt>
                <c:pt idx="24">
                  <c:v>4199224.9741610484</c:v>
                </c:pt>
                <c:pt idx="25">
                  <c:v>4235607.9205289464</c:v>
                </c:pt>
                <c:pt idx="26">
                  <c:v>4270611.0965373786</c:v>
                </c:pt>
                <c:pt idx="27">
                  <c:v>4304817.4468623269</c:v>
                </c:pt>
                <c:pt idx="28">
                  <c:v>4238127.3778830329</c:v>
                </c:pt>
                <c:pt idx="29">
                  <c:v>4283803.9928876618</c:v>
                </c:pt>
                <c:pt idx="30">
                  <c:v>4285630.8342379518</c:v>
                </c:pt>
              </c:numCache>
            </c:numRef>
          </c:val>
          <c:extLst>
            <c:ext xmlns:c16="http://schemas.microsoft.com/office/drawing/2014/chart" uri="{C3380CC4-5D6E-409C-BE32-E72D297353CC}">
              <c16:uniqueId val="{00000001-CC71-014E-8DCD-1B6FDA1A284C}"/>
            </c:ext>
          </c:extLst>
        </c:ser>
        <c:ser>
          <c:idx val="2"/>
          <c:order val="2"/>
          <c:tx>
            <c:strRef>
              <c:f>'Monte Carlo'!$E$5</c:f>
              <c:strCache>
                <c:ptCount val="1"/>
                <c:pt idx="0">
                  <c:v>P90</c:v>
                </c:pt>
              </c:strCache>
            </c:strRef>
          </c:tx>
          <c:spPr>
            <a:ln>
              <a:prstDash val="solid"/>
            </a:ln>
          </c:spPr>
          <c:cat>
            <c:numRef>
              <c:f>'Monte Carlo'!$B$6:$B$36</c:f>
              <c:numCache>
                <c:formatCode>General</c:formatCode>
                <c:ptCount val="3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numCache>
            </c:numRef>
          </c:cat>
          <c:val>
            <c:numRef>
              <c:f>'Monte Carlo'!$E$6:$E$36</c:f>
              <c:numCache>
                <c:formatCode>General</c:formatCode>
                <c:ptCount val="31"/>
                <c:pt idx="0">
                  <c:v>3284616.4838674939</c:v>
                </c:pt>
                <c:pt idx="1">
                  <c:v>3544206.8617738788</c:v>
                </c:pt>
                <c:pt idx="2">
                  <c:v>3804318.0709789419</c:v>
                </c:pt>
                <c:pt idx="3">
                  <c:v>4045922.346039216</c:v>
                </c:pt>
                <c:pt idx="4">
                  <c:v>4335957.8320744727</c:v>
                </c:pt>
                <c:pt idx="5">
                  <c:v>4571001.9008739721</c:v>
                </c:pt>
                <c:pt idx="6">
                  <c:v>4818483.2337584831</c:v>
                </c:pt>
                <c:pt idx="7">
                  <c:v>5110588.9064238779</c:v>
                </c:pt>
                <c:pt idx="8">
                  <c:v>5419163.2724865442</c:v>
                </c:pt>
                <c:pt idx="9">
                  <c:v>5641683.5787763046</c:v>
                </c:pt>
                <c:pt idx="10">
                  <c:v>5947621.9019778427</c:v>
                </c:pt>
                <c:pt idx="11">
                  <c:v>6246989.4769301452</c:v>
                </c:pt>
                <c:pt idx="12">
                  <c:v>6560007.4287821148</c:v>
                </c:pt>
                <c:pt idx="13">
                  <c:v>6880757.7407139568</c:v>
                </c:pt>
                <c:pt idx="14">
                  <c:v>7325330.9028354809</c:v>
                </c:pt>
                <c:pt idx="15">
                  <c:v>7640356.8235043753</c:v>
                </c:pt>
                <c:pt idx="16">
                  <c:v>8117001.8621994089</c:v>
                </c:pt>
                <c:pt idx="17">
                  <c:v>8547743.4291830342</c:v>
                </c:pt>
                <c:pt idx="18">
                  <c:v>9068947.0066284817</c:v>
                </c:pt>
                <c:pt idx="19">
                  <c:v>9440347.8813126087</c:v>
                </c:pt>
                <c:pt idx="20">
                  <c:v>10025014.890886489</c:v>
                </c:pt>
                <c:pt idx="21">
                  <c:v>10350333.539751031</c:v>
                </c:pt>
                <c:pt idx="22">
                  <c:v>10888380.917623021</c:v>
                </c:pt>
                <c:pt idx="23">
                  <c:v>11780466.093879269</c:v>
                </c:pt>
                <c:pt idx="24">
                  <c:v>12125533.685076879</c:v>
                </c:pt>
                <c:pt idx="25">
                  <c:v>12498626.43539449</c:v>
                </c:pt>
                <c:pt idx="26">
                  <c:v>13244217.502077</c:v>
                </c:pt>
                <c:pt idx="27">
                  <c:v>14020114.24936969</c:v>
                </c:pt>
                <c:pt idx="28">
                  <c:v>14630598.036049381</c:v>
                </c:pt>
                <c:pt idx="29">
                  <c:v>15244342.389695549</c:v>
                </c:pt>
                <c:pt idx="30">
                  <c:v>16123665.89334107</c:v>
                </c:pt>
              </c:numCache>
            </c:numRef>
          </c:val>
          <c:extLst>
            <c:ext xmlns:c16="http://schemas.microsoft.com/office/drawing/2014/chart" uri="{C3380CC4-5D6E-409C-BE32-E72D297353CC}">
              <c16:uniqueId val="{00000002-CC71-014E-8DCD-1B6FDA1A284C}"/>
            </c:ext>
          </c:extLst>
        </c:ser>
        <c:dLbls>
          <c:showLegendKey val="0"/>
          <c:showVal val="0"/>
          <c:showCatName val="0"/>
          <c:showSerName val="0"/>
          <c:showPercent val="0"/>
          <c:showBubbleSize val="0"/>
        </c:dLbls>
        <c:axId val="48650112"/>
        <c:axId val="48672768"/>
      </c:areaChart>
      <c:catAx>
        <c:axId val="48650112"/>
        <c:scaling>
          <c:orientation val="minMax"/>
        </c:scaling>
        <c:delete val="1"/>
        <c:axPos val="b"/>
        <c:title>
          <c:tx>
            <c:rich>
              <a:bodyPr/>
              <a:lstStyle/>
              <a:p>
                <a:r>
                  <a:rPr lang="en-AU"/>
                  <a:t>Age</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AU"/>
                  <a:t>AUD</a:t>
                </a:r>
              </a:p>
            </c:rich>
          </c:tx>
          <c:overlay val="0"/>
        </c:title>
        <c:numFmt formatCode="General" sourceLinked="1"/>
        <c:majorTickMark val="none"/>
        <c:minorTickMark val="none"/>
        <c:tickLblPos val="nextTo"/>
        <c:crossAx val="48650112"/>
        <c:crosses val="autoZero"/>
        <c:crossBetween val="midCat"/>
      </c:valAx>
    </c:plotArea>
    <c:legend>
      <c:legendPos val="r"/>
      <c:overlay val="1"/>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27</xdr:col>
      <xdr:colOff>0</xdr:colOff>
      <xdr:row>5</xdr:row>
      <xdr:rowOff>0</xdr:rowOff>
    </xdr:from>
    <xdr:ext cx="5400000" cy="2700000"/>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27</xdr:col>
      <xdr:colOff>0</xdr:colOff>
      <xdr:row>21</xdr:row>
      <xdr:rowOff>0</xdr:rowOff>
    </xdr:from>
    <xdr:ext cx="5400000" cy="2700000"/>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702498</xdr:colOff>
      <xdr:row>79</xdr:row>
      <xdr:rowOff>0</xdr:rowOff>
    </xdr:from>
    <xdr:to>
      <xdr:col>6</xdr:col>
      <xdr:colOff>21402</xdr:colOff>
      <xdr:row>161</xdr:row>
      <xdr:rowOff>152859</xdr:rowOff>
    </xdr:to>
    <xdr:sp macro="" textlink="">
      <xdr:nvSpPr>
        <xdr:cNvPr id="2" name="Text">
          <a:extLst>
            <a:ext uri="{FF2B5EF4-FFF2-40B4-BE49-F238E27FC236}">
              <a16:creationId xmlns:a16="http://schemas.microsoft.com/office/drawing/2014/main" id="{00000000-0008-0000-0500-000002000000}"/>
            </a:ext>
          </a:extLst>
        </xdr:cNvPr>
        <xdr:cNvSpPr>
          <a:spLocks noGrp="1"/>
        </xdr:cNvSpPr>
      </xdr:nvSpPr>
      <xdr:spPr>
        <a:xfrm>
          <a:off x="7369998" y="16863871"/>
          <a:ext cx="334904" cy="218088"/>
        </a:xfrm>
        <a:prstGeom prst="rect">
          <a:avLst/>
        </a:prstGeom>
        <a:noFill/>
        <a:ln w="12700" cap="flat">
          <a:noFill/>
          <a:miter/>
        </a:ln>
      </xdr:spPr>
      <xdr:txBody>
        <a:bodyPr/>
        <a:lstStyle/>
        <a:p>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38100</xdr:colOff>
      <xdr:row>64</xdr:row>
      <xdr:rowOff>177800</xdr:rowOff>
    </xdr:to>
    <xdr:sp macro="" textlink="">
      <xdr:nvSpPr>
        <xdr:cNvPr id="3074" name="Text Box 2" hidden="1">
          <a:extLst>
            <a:ext uri="{FF2B5EF4-FFF2-40B4-BE49-F238E27FC236}">
              <a16:creationId xmlns:a16="http://schemas.microsoft.com/office/drawing/2014/main" id="{81F3FD05-90B0-DCE4-9282-0D9A4AFEDF7B}"/>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11</xdr:col>
      <xdr:colOff>38100</xdr:colOff>
      <xdr:row>64</xdr:row>
      <xdr:rowOff>177800</xdr:rowOff>
    </xdr:to>
    <xdr:sp macro="" textlink="">
      <xdr:nvSpPr>
        <xdr:cNvPr id="2" name="AutoShape 2">
          <a:extLst>
            <a:ext uri="{FF2B5EF4-FFF2-40B4-BE49-F238E27FC236}">
              <a16:creationId xmlns:a16="http://schemas.microsoft.com/office/drawing/2014/main" id="{28078194-C4DD-06E1-1B18-6AB47B24E23E}"/>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20</xdr:row>
      <xdr:rowOff>0</xdr:rowOff>
    </xdr:from>
    <xdr:ext cx="12700" cy="12700"/>
    <xdr:pic>
      <xdr:nvPicPr>
        <xdr:cNvPr id="2" name="/xl/media/image1.gif">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63500</xdr:colOff>
      <xdr:row>2</xdr:row>
      <xdr:rowOff>116415</xdr:rowOff>
    </xdr:from>
    <xdr:ext cx="6670001" cy="3672417"/>
    <xdr:graphicFrame macro="">
      <xdr:nvGraphicFramePr>
        <xdr:cNvPr id="2" name="Chart">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6</xdr:col>
      <xdr:colOff>656165</xdr:colOff>
      <xdr:row>10</xdr:row>
      <xdr:rowOff>10584</xdr:rowOff>
    </xdr:from>
    <xdr:ext cx="6275917" cy="3366750"/>
    <xdr:graphicFrame macro="">
      <xdr:nvGraphicFramePr>
        <xdr:cNvPr id="2" name="Chart">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14</xdr:row>
      <xdr:rowOff>0</xdr:rowOff>
    </xdr:from>
    <xdr:ext cx="5400000" cy="2700000"/>
    <xdr:graphicFrame macro="">
      <xdr:nvGraphicFramePr>
        <xdr:cNvPr id="2" name="Chart">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14</xdr:row>
      <xdr:rowOff>0</xdr:rowOff>
    </xdr:from>
    <xdr:ext cx="5400000" cy="2700000"/>
    <xdr:graphicFrame macro="">
      <xdr:nvGraphicFramePr>
        <xdr:cNvPr id="3" name="Chart">
          <a:extLst>
            <a:ext uri="{FF2B5EF4-FFF2-40B4-BE49-F238E27FC236}">
              <a16:creationId xmlns:a16="http://schemas.microsoft.com/office/drawing/2014/main" id="{00000000-0008-0000-1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31</xdr:row>
      <xdr:rowOff>0</xdr:rowOff>
    </xdr:from>
    <xdr:ext cx="5400000" cy="2700000"/>
    <xdr:graphicFrame macro="">
      <xdr:nvGraphicFramePr>
        <xdr:cNvPr id="4" name="Chart">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Scenarios" displayName="tblScenarios" ref="A6:I9">
  <autoFilter ref="A6:I9" xr:uid="{00000000-0009-0000-0100-000004000000}"/>
  <tableColumns count="9">
    <tableColumn id="1" xr3:uid="{00000000-0010-0000-0000-000001000000}" name="Scenario"/>
    <tableColumn id="2" xr3:uid="{00000000-0010-0000-0000-000002000000}" name="Retire Age"/>
    <tableColumn id="3" xr3:uid="{00000000-0010-0000-0000-000003000000}" name="Return Mean"/>
    <tableColumn id="4" xr3:uid="{00000000-0010-0000-0000-000004000000}" name="Volatility"/>
    <tableColumn id="5" xr3:uid="{00000000-0010-0000-0000-000005000000}" name="Inflation"/>
    <tableColumn id="6" xr3:uid="{00000000-0010-0000-0000-000006000000}" name="Property Growth"/>
    <tableColumn id="7" xr3:uid="{00000000-0010-0000-0000-000007000000}" name="Rent Yield"/>
    <tableColumn id="9" xr3:uid="{00000000-0010-0000-0000-000009000000}" name="Rental Income Growth"/>
    <tableColumn id="8" xr3:uid="{00000000-0010-0000-0000-000008000000}" name="Partner Retire Ag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blIncome" displayName="tblIncome" ref="A4:C24">
  <autoFilter ref="A4:C24" xr:uid="{00000000-0009-0000-0100-000007000000}"/>
  <tableColumns count="3">
    <tableColumn id="1" xr3:uid="{00000000-0010-0000-0100-000001000000}" name="Year"/>
    <tableColumn id="2" xr3:uid="{00000000-0010-0000-0100-000002000000}" name="Gross Income"/>
    <tableColumn id="3" xr3:uid="{00000000-0010-0000-0100-000003000000}" name="Spouse _x000a_Gross Income"/>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2" personId="{9AFF2480-727E-7149-8BF4-639162021774}" id="{EDDB20ED-3808-024B-9257-D01AD4077BEB}">
    <text>Strata Unit Entitlement Lot 4 (7 units)</text>
  </threadedComment>
</ThreadedComment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 Id="R83dbf45cebd44d22" Type="http://schemas.microsoft.com/office/2017/10/relationships/threadedComment" Target="../threadedcomments/threadedComment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7" sqref="A7"/>
    </sheetView>
  </sheetViews>
  <sheetFormatPr baseColWidth="10" defaultColWidth="8.83203125" defaultRowHeight="15"/>
  <cols>
    <col min="1" max="1" width="72" customWidth="1"/>
    <col min="2" max="10" width="18" customWidth="1"/>
  </cols>
  <sheetData>
    <row r="1" spans="1:1" ht="150">
      <c r="A1" s="160" t="s">
        <v>0</v>
      </c>
    </row>
    <row r="3" spans="1:1" ht="93.25" customHeight="1">
      <c r="A3" s="190" t="s">
        <v>1</v>
      </c>
    </row>
    <row r="4" spans="1:1" ht="16">
      <c r="A4" s="191"/>
    </row>
    <row r="5" spans="1:1" ht="16">
      <c r="A5" s="94" t="s">
        <v>2</v>
      </c>
    </row>
    <row r="6" spans="1:1" ht="16">
      <c r="A6" s="192" t="s">
        <v>2702</v>
      </c>
    </row>
    <row r="7" spans="1:1" ht="16">
      <c r="A7" s="192" t="s">
        <v>2703</v>
      </c>
    </row>
    <row r="8" spans="1:1" ht="16">
      <c r="A8" s="192" t="s">
        <v>2704</v>
      </c>
    </row>
    <row r="9" spans="1:1" ht="16">
      <c r="A9" s="192" t="s">
        <v>2705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0"/>
  <sheetViews>
    <sheetView tabSelected="1" topLeftCell="A3" zoomScale="120" zoomScaleNormal="120" workbookViewId="0">
      <selection activeCell="N8" sqref="N8"/>
    </sheetView>
  </sheetViews>
  <sheetFormatPr baseColWidth="10" defaultColWidth="8.83203125" defaultRowHeight="16"/>
  <cols>
    <col min="1" max="1" width="34" style="191" customWidth="1"/>
    <col min="2" max="2" width="12.6640625" style="191" bestFit="1" customWidth="1"/>
    <col min="3" max="3" width="28" style="191" customWidth="1"/>
    <col min="4" max="5" width="3.33203125" style="22" customWidth="1"/>
    <col min="6" max="6" width="14" style="22" customWidth="1"/>
    <col min="7" max="8" width="12" style="22" customWidth="1"/>
    <col min="9" max="10" width="11" style="22" customWidth="1"/>
    <col min="11" max="11" width="13" style="22" customWidth="1"/>
    <col min="12" max="12" width="11" style="22" customWidth="1"/>
    <col min="13" max="13" width="16" style="22" customWidth="1"/>
    <col min="14" max="14" width="14" style="22" customWidth="1"/>
    <col min="15" max="15" width="8.83203125" style="22"/>
    <col min="16" max="16" width="18" style="22" customWidth="1"/>
    <col min="17" max="17" width="14" style="22" customWidth="1"/>
    <col min="18" max="16384" width="8.83203125" style="22"/>
  </cols>
  <sheetData>
    <row r="1" spans="1:17" ht="32" customHeight="1">
      <c r="A1" s="200" t="s">
        <v>2708</v>
      </c>
      <c r="B1" s="200"/>
      <c r="C1" s="200"/>
      <c r="D1" s="200"/>
      <c r="E1" s="200"/>
      <c r="F1" s="200"/>
      <c r="G1" s="200"/>
      <c r="H1" s="200"/>
      <c r="I1" s="200"/>
      <c r="J1" s="200"/>
      <c r="K1" s="200"/>
      <c r="L1" s="200"/>
      <c r="M1" s="200"/>
      <c r="N1" s="200"/>
      <c r="O1" s="200"/>
      <c r="P1" s="200"/>
      <c r="Q1" s="200"/>
    </row>
    <row r="2" spans="1:17">
      <c r="A2" s="193"/>
      <c r="B2" s="193"/>
      <c r="C2" s="193"/>
      <c r="D2" s="92"/>
      <c r="E2" s="92"/>
      <c r="F2" s="92"/>
      <c r="G2" s="92"/>
      <c r="H2" s="92"/>
      <c r="I2" s="92"/>
      <c r="J2" s="92"/>
      <c r="K2" s="92"/>
      <c r="L2" s="92"/>
      <c r="M2" s="92"/>
      <c r="N2" s="92"/>
      <c r="O2" s="92"/>
      <c r="P2" s="92"/>
      <c r="Q2" s="92"/>
    </row>
    <row r="3" spans="1:17" ht="42.75" customHeight="1">
      <c r="A3" s="201" t="s">
        <v>2734</v>
      </c>
      <c r="B3" s="201"/>
      <c r="C3" s="201"/>
      <c r="D3" s="201"/>
      <c r="E3" s="201"/>
      <c r="F3" s="201"/>
      <c r="G3" s="201"/>
      <c r="H3" s="201"/>
      <c r="I3" s="201"/>
      <c r="J3" s="201"/>
      <c r="K3" s="201"/>
      <c r="L3" s="201"/>
      <c r="M3" s="201"/>
      <c r="N3" s="201"/>
      <c r="O3" s="201"/>
      <c r="P3" s="201"/>
      <c r="Q3" s="201"/>
    </row>
    <row r="4" spans="1:17">
      <c r="A4" s="193"/>
      <c r="B4" s="193"/>
      <c r="C4" s="193"/>
      <c r="D4" s="92"/>
      <c r="E4" s="92"/>
      <c r="F4" s="92"/>
      <c r="G4" s="92"/>
      <c r="H4" s="92"/>
      <c r="I4" s="92"/>
      <c r="J4" s="92"/>
      <c r="K4" s="92"/>
      <c r="L4" s="92"/>
      <c r="M4" s="92"/>
      <c r="N4" s="92"/>
      <c r="O4" s="92"/>
      <c r="P4" s="92"/>
      <c r="Q4" s="92"/>
    </row>
    <row r="5" spans="1:17">
      <c r="A5" s="200" t="s">
        <v>2709</v>
      </c>
      <c r="B5" s="200"/>
      <c r="C5" s="200"/>
      <c r="D5" s="92"/>
      <c r="E5" s="92"/>
      <c r="F5" s="200" t="s">
        <v>2710</v>
      </c>
      <c r="G5" s="200"/>
      <c r="H5" s="200"/>
      <c r="I5" s="200"/>
      <c r="J5" s="200"/>
      <c r="K5" s="200"/>
      <c r="L5" s="200"/>
      <c r="M5" s="200"/>
      <c r="N5" s="200"/>
      <c r="O5" s="182"/>
      <c r="P5" s="200" t="s">
        <v>4</v>
      </c>
      <c r="Q5" s="200"/>
    </row>
    <row r="6" spans="1:17" ht="34">
      <c r="A6" s="15" t="s">
        <v>66</v>
      </c>
      <c r="B6" s="15" t="s">
        <v>64</v>
      </c>
      <c r="C6" s="15" t="s">
        <v>14</v>
      </c>
      <c r="D6" s="92"/>
      <c r="E6" s="92"/>
      <c r="F6" s="44" t="s">
        <v>5</v>
      </c>
      <c r="G6" s="45" t="s">
        <v>6</v>
      </c>
      <c r="H6" s="45" t="s">
        <v>7</v>
      </c>
      <c r="I6" s="45" t="s">
        <v>8</v>
      </c>
      <c r="J6" s="45" t="s">
        <v>9</v>
      </c>
      <c r="K6" s="45" t="s">
        <v>10</v>
      </c>
      <c r="L6" s="45" t="s">
        <v>11</v>
      </c>
      <c r="M6" s="46" t="s">
        <v>12</v>
      </c>
      <c r="N6" s="46" t="s">
        <v>13</v>
      </c>
      <c r="O6" s="177"/>
      <c r="P6" s="183" t="s">
        <v>4</v>
      </c>
      <c r="Q6" s="184" t="s">
        <v>2711</v>
      </c>
    </row>
    <row r="7" spans="1:17">
      <c r="A7" s="4" t="s">
        <v>68</v>
      </c>
      <c r="B7" s="195">
        <v>48</v>
      </c>
      <c r="C7" s="194"/>
      <c r="D7" s="92"/>
      <c r="E7" s="92"/>
      <c r="F7" s="185" t="s">
        <v>2711</v>
      </c>
      <c r="G7" s="186">
        <v>60</v>
      </c>
      <c r="H7" s="187">
        <v>6.5000000000000002E-2</v>
      </c>
      <c r="I7" s="187">
        <v>0.11</v>
      </c>
      <c r="J7" s="187">
        <v>2.5000000000000001E-2</v>
      </c>
      <c r="K7" s="187">
        <v>4.4999999999999998E-2</v>
      </c>
      <c r="L7" s="187">
        <v>5.0164705882352945E-2</v>
      </c>
      <c r="M7" s="187">
        <v>0.03</v>
      </c>
      <c r="N7" s="186">
        <v>53</v>
      </c>
      <c r="O7" s="92"/>
      <c r="P7" s="183" t="s">
        <v>6</v>
      </c>
      <c r="Q7" s="188">
        <f>IF($Q$6="Base",$G$7,IF($Q$6="Conservative",$G$8,$G$9))</f>
        <v>60</v>
      </c>
    </row>
    <row r="8" spans="1:17">
      <c r="A8" s="4" t="s">
        <v>69</v>
      </c>
      <c r="B8" s="195">
        <v>41</v>
      </c>
      <c r="C8" s="194"/>
      <c r="D8" s="92"/>
      <c r="E8" s="92"/>
      <c r="F8" s="185" t="s">
        <v>2712</v>
      </c>
      <c r="G8" s="186">
        <v>62</v>
      </c>
      <c r="H8" s="187">
        <v>5.5E-2</v>
      </c>
      <c r="I8" s="187">
        <v>0.09</v>
      </c>
      <c r="J8" s="187">
        <v>0.03</v>
      </c>
      <c r="K8" s="187">
        <v>3.5000000000000003E-2</v>
      </c>
      <c r="L8" s="187">
        <v>3.7999999999999999E-2</v>
      </c>
      <c r="M8" s="187">
        <v>2.5000000000000001E-2</v>
      </c>
      <c r="N8" s="186">
        <v>55</v>
      </c>
      <c r="O8" s="92"/>
      <c r="P8" s="183" t="s">
        <v>7</v>
      </c>
      <c r="Q8" s="189">
        <f>IF($Q$6="Base",$H$7,IF($Q$6="Conservative",$H$8,$H$9))</f>
        <v>6.5000000000000002E-2</v>
      </c>
    </row>
    <row r="9" spans="1:17">
      <c r="A9" s="4" t="s">
        <v>71</v>
      </c>
      <c r="B9" s="195">
        <v>90</v>
      </c>
      <c r="C9" s="194"/>
      <c r="D9" s="92"/>
      <c r="E9" s="92"/>
      <c r="F9" s="185" t="s">
        <v>32</v>
      </c>
      <c r="G9" s="186">
        <v>58</v>
      </c>
      <c r="H9" s="187">
        <v>7.4999999999999997E-2</v>
      </c>
      <c r="I9" s="187">
        <v>0.14000000000000001</v>
      </c>
      <c r="J9" s="187">
        <v>0.02</v>
      </c>
      <c r="K9" s="187">
        <v>5.5E-2</v>
      </c>
      <c r="L9" s="187">
        <v>4.2000000000000003E-2</v>
      </c>
      <c r="M9" s="187">
        <v>3.5000000000000003E-2</v>
      </c>
      <c r="N9" s="186">
        <v>51</v>
      </c>
      <c r="O9" s="92"/>
      <c r="P9" s="183" t="s">
        <v>8</v>
      </c>
      <c r="Q9" s="189">
        <f>IF($Q$6="Base",$I$7,IF($Q$6="Conservative",$I$8,$I$9))</f>
        <v>0.11</v>
      </c>
    </row>
    <row r="10" spans="1:17" ht="17">
      <c r="A10" s="4" t="s">
        <v>72</v>
      </c>
      <c r="B10" s="196">
        <v>180000</v>
      </c>
      <c r="C10" s="194" t="s">
        <v>73</v>
      </c>
      <c r="D10" s="92"/>
      <c r="E10" s="92"/>
      <c r="F10" s="92"/>
      <c r="G10" s="92"/>
      <c r="H10" s="92"/>
      <c r="I10" s="92"/>
      <c r="J10" s="92"/>
      <c r="K10" s="92"/>
      <c r="L10" s="92"/>
      <c r="M10" s="92"/>
      <c r="N10" s="92"/>
      <c r="O10" s="92"/>
      <c r="P10" s="183" t="s">
        <v>9</v>
      </c>
      <c r="Q10" s="189">
        <f>IF($Q$6="Base",$J$7,IF($Q$6="Conservative",$J$8,$J$9))</f>
        <v>2.5000000000000001E-2</v>
      </c>
    </row>
    <row r="11" spans="1:17">
      <c r="A11" s="4" t="s">
        <v>74</v>
      </c>
      <c r="B11" s="196">
        <v>166000</v>
      </c>
      <c r="C11" s="194"/>
      <c r="D11" s="92"/>
      <c r="E11" s="92"/>
      <c r="F11" s="92"/>
      <c r="G11" s="92"/>
      <c r="H11" s="92"/>
      <c r="I11" s="92"/>
      <c r="J11" s="92"/>
      <c r="K11" s="92"/>
      <c r="L11" s="92"/>
      <c r="M11" s="92"/>
      <c r="N11" s="92"/>
      <c r="O11" s="92"/>
      <c r="P11" s="183" t="s">
        <v>10</v>
      </c>
      <c r="Q11" s="189">
        <f>IF($Q$6="Base",$K$7,IF($Q$6="Conservative",$K$8,$K$9))</f>
        <v>4.4999999999999998E-2</v>
      </c>
    </row>
    <row r="12" spans="1:17">
      <c r="A12" s="4" t="s">
        <v>75</v>
      </c>
      <c r="B12" s="196">
        <v>172000</v>
      </c>
      <c r="C12" s="194"/>
      <c r="D12" s="92"/>
      <c r="E12" s="92"/>
      <c r="F12" s="199" t="s">
        <v>2713</v>
      </c>
      <c r="G12" s="199"/>
      <c r="H12" s="199"/>
      <c r="I12" s="92"/>
      <c r="J12" s="92"/>
      <c r="K12" s="92"/>
      <c r="L12" s="92"/>
      <c r="M12" s="92"/>
      <c r="N12" s="92"/>
      <c r="O12" s="92"/>
      <c r="P12" s="183" t="s">
        <v>11</v>
      </c>
      <c r="Q12" s="189">
        <f>IF($Q$6="Base",$L$7,IF($Q$6="Conservative",$L$8,$L$9))</f>
        <v>5.0164705882352945E-2</v>
      </c>
    </row>
    <row r="13" spans="1:17" ht="32">
      <c r="A13" s="4" t="s">
        <v>76</v>
      </c>
      <c r="B13" s="195">
        <v>110000</v>
      </c>
      <c r="C13" s="194" t="s">
        <v>77</v>
      </c>
      <c r="D13" s="92"/>
      <c r="E13" s="92"/>
      <c r="F13" s="183" t="s">
        <v>5</v>
      </c>
      <c r="G13" s="183" t="s">
        <v>19</v>
      </c>
      <c r="H13" s="183" t="s">
        <v>20</v>
      </c>
      <c r="I13" s="92"/>
      <c r="J13" s="92"/>
      <c r="K13" s="92"/>
      <c r="L13" s="92"/>
      <c r="M13" s="92"/>
      <c r="N13" s="92"/>
      <c r="O13" s="92"/>
      <c r="P13" s="183" t="s">
        <v>12</v>
      </c>
      <c r="Q13" s="189">
        <f>IF($Q$6="Base",$M$7,IF($Q$6="Conservative",$M$8,$M$9))</f>
        <v>0.03</v>
      </c>
    </row>
    <row r="14" spans="1:17" ht="32">
      <c r="A14" s="4" t="s">
        <v>78</v>
      </c>
      <c r="B14" s="195">
        <v>2</v>
      </c>
      <c r="C14" s="194"/>
      <c r="D14" s="92"/>
      <c r="E14" s="92"/>
      <c r="F14" s="185" t="s">
        <v>2712</v>
      </c>
      <c r="G14" s="187">
        <v>2.5000000000000001E-2</v>
      </c>
      <c r="H14" s="185" t="s">
        <v>2714</v>
      </c>
      <c r="I14" s="92"/>
      <c r="J14" s="92"/>
      <c r="K14" s="92"/>
      <c r="L14" s="92"/>
      <c r="M14" s="92"/>
      <c r="N14" s="92"/>
      <c r="O14" s="92"/>
      <c r="P14" s="183" t="s">
        <v>13</v>
      </c>
      <c r="Q14" s="188">
        <f>IF($Q$6="Base",$N$7,IF($Q$6="Conservative",$N$8,$N$9))</f>
        <v>53</v>
      </c>
    </row>
    <row r="15" spans="1:17" ht="32">
      <c r="A15" s="4" t="s">
        <v>79</v>
      </c>
      <c r="B15" s="195">
        <v>50000</v>
      </c>
      <c r="C15" s="194" t="s">
        <v>77</v>
      </c>
      <c r="D15" s="92"/>
      <c r="E15" s="92"/>
      <c r="F15" s="185" t="s">
        <v>2711</v>
      </c>
      <c r="G15" s="187">
        <v>0.03</v>
      </c>
      <c r="H15" s="185" t="s">
        <v>2715</v>
      </c>
      <c r="I15" s="92"/>
      <c r="J15" s="92"/>
      <c r="K15" s="92"/>
      <c r="L15" s="92"/>
      <c r="M15" s="92"/>
      <c r="N15" s="92"/>
      <c r="O15" s="92"/>
      <c r="P15" s="92"/>
      <c r="Q15" s="92"/>
    </row>
    <row r="16" spans="1:17" ht="48">
      <c r="A16" s="41" t="s">
        <v>80</v>
      </c>
      <c r="B16" s="195">
        <v>7</v>
      </c>
      <c r="C16" s="194"/>
      <c r="D16" s="92"/>
      <c r="E16" s="92"/>
      <c r="F16" s="185" t="s">
        <v>32</v>
      </c>
      <c r="G16" s="187">
        <v>3.5000000000000003E-2</v>
      </c>
      <c r="H16" s="185" t="s">
        <v>2716</v>
      </c>
      <c r="I16" s="92"/>
      <c r="J16" s="92"/>
      <c r="K16" s="92"/>
      <c r="L16" s="92"/>
      <c r="M16" s="92"/>
      <c r="N16" s="92"/>
      <c r="O16" s="92"/>
      <c r="P16" s="92"/>
      <c r="Q16" s="92"/>
    </row>
    <row r="17" spans="1:17" ht="17">
      <c r="A17" s="41" t="s">
        <v>81</v>
      </c>
      <c r="B17" s="195" t="s">
        <v>2717</v>
      </c>
      <c r="C17" s="194"/>
      <c r="D17" s="92"/>
      <c r="E17" s="92"/>
      <c r="F17" s="92"/>
      <c r="G17" s="92"/>
      <c r="H17" s="92"/>
      <c r="I17" s="92"/>
      <c r="J17" s="92"/>
      <c r="K17" s="92"/>
      <c r="L17" s="92"/>
      <c r="M17" s="92"/>
      <c r="N17" s="92"/>
      <c r="O17" s="92"/>
      <c r="P17" s="92"/>
      <c r="Q17" s="92"/>
    </row>
    <row r="18" spans="1:17">
      <c r="A18" s="41" t="s">
        <v>82</v>
      </c>
      <c r="B18" s="195">
        <v>55</v>
      </c>
      <c r="C18" s="194"/>
      <c r="D18" s="92"/>
      <c r="E18" s="92"/>
      <c r="F18" s="199" t="s">
        <v>2718</v>
      </c>
      <c r="G18" s="199"/>
      <c r="H18" s="199"/>
      <c r="I18" s="92"/>
      <c r="J18" s="92"/>
      <c r="K18" s="92"/>
      <c r="L18" s="92"/>
      <c r="M18" s="92"/>
      <c r="N18" s="92"/>
      <c r="O18" s="92"/>
      <c r="P18" s="92"/>
      <c r="Q18" s="92"/>
    </row>
    <row r="19" spans="1:17">
      <c r="A19" s="41" t="s">
        <v>83</v>
      </c>
      <c r="B19" s="195">
        <v>60</v>
      </c>
      <c r="C19" s="194"/>
      <c r="D19" s="92"/>
      <c r="E19" s="92"/>
      <c r="F19" s="183" t="s">
        <v>5</v>
      </c>
      <c r="G19" s="183" t="s">
        <v>9</v>
      </c>
      <c r="H19" s="183" t="s">
        <v>2719</v>
      </c>
      <c r="I19" s="92"/>
      <c r="J19" s="92"/>
      <c r="K19" s="92"/>
      <c r="L19" s="92"/>
      <c r="M19" s="92"/>
      <c r="N19" s="92"/>
      <c r="O19" s="92"/>
      <c r="P19" s="92"/>
      <c r="Q19" s="92"/>
    </row>
    <row r="20" spans="1:17">
      <c r="A20" s="41" t="s">
        <v>84</v>
      </c>
      <c r="B20" s="195">
        <v>53</v>
      </c>
      <c r="C20" s="194"/>
      <c r="D20" s="92"/>
      <c r="E20" s="92"/>
      <c r="F20" s="185" t="s">
        <v>5</v>
      </c>
      <c r="G20" s="187" t="s">
        <v>9</v>
      </c>
      <c r="H20" s="185" t="s">
        <v>2719</v>
      </c>
      <c r="I20" s="92"/>
      <c r="J20" s="92"/>
      <c r="K20" s="92"/>
      <c r="L20" s="92"/>
      <c r="M20" s="92"/>
      <c r="N20" s="92"/>
      <c r="O20" s="92"/>
      <c r="P20" s="92"/>
      <c r="Q20" s="92"/>
    </row>
    <row r="21" spans="1:17" ht="64">
      <c r="A21" s="41" t="s">
        <v>85</v>
      </c>
      <c r="B21" s="195">
        <v>0</v>
      </c>
      <c r="C21" s="194"/>
      <c r="D21" s="92"/>
      <c r="E21" s="92"/>
      <c r="F21" s="185" t="s">
        <v>2712</v>
      </c>
      <c r="G21" s="187">
        <v>0.03</v>
      </c>
      <c r="H21" s="185" t="s">
        <v>2720</v>
      </c>
      <c r="I21" s="92"/>
      <c r="J21" s="92"/>
      <c r="K21" s="22" t="s">
        <v>2733</v>
      </c>
      <c r="L21" s="92"/>
      <c r="M21" s="92"/>
      <c r="N21" s="92"/>
      <c r="O21" s="92"/>
      <c r="P21" s="92"/>
      <c r="Q21" s="92"/>
    </row>
    <row r="22" spans="1:17" ht="64">
      <c r="A22" s="41" t="s">
        <v>86</v>
      </c>
      <c r="B22" s="195">
        <v>0</v>
      </c>
      <c r="C22" s="194"/>
      <c r="D22" s="92"/>
      <c r="E22" s="92"/>
      <c r="F22" s="185" t="s">
        <v>2711</v>
      </c>
      <c r="G22" s="187">
        <v>2.5000000000000001E-2</v>
      </c>
      <c r="H22" s="185" t="s">
        <v>2721</v>
      </c>
      <c r="I22" s="92"/>
      <c r="J22" s="92"/>
      <c r="K22" s="92"/>
      <c r="L22" s="92"/>
      <c r="M22" s="92"/>
      <c r="N22" s="92"/>
      <c r="O22" s="92"/>
      <c r="P22" s="92"/>
      <c r="Q22" s="92"/>
    </row>
    <row r="23" spans="1:17">
      <c r="A23" s="193"/>
      <c r="B23" s="193"/>
      <c r="C23" s="193"/>
      <c r="D23" s="92"/>
      <c r="E23" s="92"/>
      <c r="F23" s="92"/>
      <c r="G23" s="92"/>
      <c r="H23" s="92"/>
      <c r="I23" s="92"/>
      <c r="J23" s="92"/>
      <c r="K23" s="92"/>
      <c r="L23" s="92"/>
      <c r="M23" s="92"/>
      <c r="N23" s="92"/>
      <c r="O23" s="92"/>
      <c r="P23" s="92"/>
      <c r="Q23" s="92"/>
    </row>
    <row r="24" spans="1:17">
      <c r="A24" s="200" t="s">
        <v>2722</v>
      </c>
      <c r="B24" s="200"/>
      <c r="C24" s="200"/>
      <c r="D24" s="92"/>
      <c r="E24" s="92"/>
      <c r="F24" s="92"/>
      <c r="G24" s="92"/>
      <c r="H24" s="92"/>
      <c r="I24" s="92"/>
      <c r="J24" s="92"/>
      <c r="K24" s="92"/>
      <c r="L24" s="92"/>
      <c r="M24" s="92"/>
      <c r="N24" s="92"/>
      <c r="O24" s="92"/>
      <c r="P24" s="92"/>
      <c r="Q24" s="92"/>
    </row>
    <row r="25" spans="1:17" ht="17">
      <c r="A25" s="197" t="s">
        <v>63</v>
      </c>
      <c r="B25" s="197" t="s">
        <v>64</v>
      </c>
      <c r="C25" s="197" t="s">
        <v>14</v>
      </c>
      <c r="D25" s="92"/>
      <c r="E25" s="92"/>
      <c r="F25" s="92"/>
      <c r="G25" s="92"/>
      <c r="H25" s="92"/>
      <c r="I25" s="92"/>
      <c r="J25" s="92"/>
      <c r="K25" s="92"/>
      <c r="L25" s="92"/>
      <c r="M25" s="92"/>
      <c r="N25" s="92"/>
      <c r="O25" s="92"/>
      <c r="P25" s="92"/>
      <c r="Q25" s="92"/>
    </row>
    <row r="26" spans="1:17" ht="17">
      <c r="A26" s="194" t="s">
        <v>2723</v>
      </c>
      <c r="B26" s="196">
        <v>27500</v>
      </c>
      <c r="C26" s="194" t="s">
        <v>2724</v>
      </c>
      <c r="D26" s="92"/>
      <c r="E26" s="92"/>
      <c r="F26" s="92"/>
      <c r="G26" s="92"/>
      <c r="H26" s="92"/>
      <c r="I26" s="92"/>
      <c r="J26" s="92"/>
      <c r="K26" s="92"/>
      <c r="L26" s="92"/>
      <c r="M26" s="92"/>
      <c r="N26" s="92"/>
      <c r="O26" s="92"/>
      <c r="P26" s="92"/>
      <c r="Q26" s="92"/>
    </row>
    <row r="27" spans="1:17" ht="17">
      <c r="A27" s="194" t="s">
        <v>2725</v>
      </c>
      <c r="B27" s="198">
        <v>0.15</v>
      </c>
      <c r="C27" s="194" t="s">
        <v>2726</v>
      </c>
      <c r="D27" s="92"/>
      <c r="E27" s="92"/>
      <c r="F27" s="92"/>
      <c r="G27" s="92"/>
      <c r="H27" s="92"/>
      <c r="I27" s="92"/>
      <c r="J27" s="92"/>
      <c r="K27" s="92"/>
      <c r="L27" s="92"/>
      <c r="M27" s="92"/>
      <c r="N27" s="92"/>
      <c r="O27" s="92"/>
      <c r="P27" s="92"/>
      <c r="Q27" s="92"/>
    </row>
    <row r="28" spans="1:17" ht="34">
      <c r="A28" s="194" t="s">
        <v>2727</v>
      </c>
      <c r="B28" s="195">
        <v>60</v>
      </c>
      <c r="C28" s="194" t="s">
        <v>2728</v>
      </c>
      <c r="D28" s="92"/>
      <c r="E28" s="92"/>
      <c r="F28" s="92"/>
      <c r="G28" s="92"/>
      <c r="H28" s="92"/>
      <c r="I28" s="92"/>
      <c r="J28" s="92"/>
      <c r="K28" s="92"/>
      <c r="L28" s="92"/>
      <c r="M28" s="92"/>
      <c r="N28" s="92"/>
      <c r="O28" s="92"/>
      <c r="P28" s="92"/>
      <c r="Q28" s="92"/>
    </row>
    <row r="29" spans="1:17" ht="17">
      <c r="A29" s="194" t="s">
        <v>2729</v>
      </c>
      <c r="B29" s="198">
        <v>0.02</v>
      </c>
      <c r="C29" s="194" t="s">
        <v>2730</v>
      </c>
      <c r="D29" s="92"/>
      <c r="E29" s="92"/>
      <c r="F29" s="92"/>
      <c r="G29" s="92"/>
      <c r="H29" s="92"/>
      <c r="I29" s="92"/>
      <c r="J29" s="92"/>
      <c r="K29" s="92"/>
      <c r="L29" s="92"/>
      <c r="M29" s="92"/>
      <c r="N29" s="92"/>
      <c r="O29" s="92"/>
      <c r="P29" s="92"/>
      <c r="Q29" s="92"/>
    </row>
    <row r="30" spans="1:17" ht="17">
      <c r="A30" s="194" t="s">
        <v>2731</v>
      </c>
      <c r="B30" s="198">
        <v>0.04</v>
      </c>
      <c r="C30" s="194" t="s">
        <v>2732</v>
      </c>
      <c r="D30" s="92"/>
      <c r="E30" s="92"/>
      <c r="F30" s="92"/>
      <c r="G30" s="92"/>
      <c r="H30" s="92"/>
      <c r="I30" s="92"/>
      <c r="J30" s="92"/>
      <c r="K30" s="92"/>
      <c r="L30" s="92"/>
      <c r="M30" s="92"/>
      <c r="N30" s="92"/>
      <c r="O30" s="92"/>
      <c r="P30" s="92"/>
      <c r="Q30" s="92"/>
    </row>
  </sheetData>
  <mergeCells count="8">
    <mergeCell ref="F12:H12"/>
    <mergeCell ref="F18:H18"/>
    <mergeCell ref="A24:C24"/>
    <mergeCell ref="A1:Q1"/>
    <mergeCell ref="A3:Q3"/>
    <mergeCell ref="A5:C5"/>
    <mergeCell ref="F5:N5"/>
    <mergeCell ref="P5:Q5"/>
  </mergeCells>
  <dataValidations count="1">
    <dataValidation type="list" sqref="Q6" xr:uid="{00000000-0002-0000-1800-000000000000}">
      <formula1>"Base,Conservative,Aggressive"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workbookViewId="0">
      <selection activeCell="A5" sqref="A5:C5"/>
    </sheetView>
  </sheetViews>
  <sheetFormatPr baseColWidth="10" defaultColWidth="8.83203125" defaultRowHeight="15"/>
  <cols>
    <col min="1" max="1" width="40" customWidth="1"/>
    <col min="2" max="2" width="18" customWidth="1"/>
    <col min="3" max="3" width="32" customWidth="1"/>
    <col min="4" max="4" width="2" customWidth="1"/>
    <col min="5" max="5" width="21.33203125" customWidth="1"/>
    <col min="6" max="6" width="9.6640625" customWidth="1"/>
    <col min="7" max="8" width="18" customWidth="1"/>
  </cols>
  <sheetData>
    <row r="1" spans="1:8" ht="24">
      <c r="A1" s="202" t="s">
        <v>65</v>
      </c>
      <c r="B1" s="203"/>
      <c r="C1" s="203"/>
      <c r="D1" s="203"/>
      <c r="E1" s="203"/>
      <c r="F1" s="203"/>
      <c r="G1" s="203"/>
      <c r="H1" s="203"/>
    </row>
    <row r="3" spans="1:8">
      <c r="A3" s="20" t="s">
        <v>2706</v>
      </c>
    </row>
    <row r="5" spans="1:8" ht="18">
      <c r="A5" s="15" t="s">
        <v>66</v>
      </c>
      <c r="B5" s="15" t="s">
        <v>64</v>
      </c>
      <c r="C5" s="15" t="s">
        <v>14</v>
      </c>
      <c r="E5" s="6" t="s">
        <v>67</v>
      </c>
    </row>
    <row r="6" spans="1:8">
      <c r="A6" s="4" t="s">
        <v>68</v>
      </c>
      <c r="B6" s="162">
        <f>'Control Centre'!$B$7</f>
        <v>48</v>
      </c>
      <c r="C6" s="4"/>
      <c r="E6" s="5" t="s">
        <v>15</v>
      </c>
      <c r="F6" s="5">
        <f>Scenarios!K7</f>
        <v>60</v>
      </c>
    </row>
    <row r="7" spans="1:8">
      <c r="A7" s="4" t="s">
        <v>69</v>
      </c>
      <c r="B7" s="162">
        <f>'Control Centre'!$B$8</f>
        <v>41</v>
      </c>
      <c r="C7" s="4"/>
      <c r="E7" s="5" t="s">
        <v>70</v>
      </c>
      <c r="F7" s="5">
        <f>F6-INDEX(B:B,MATCH("Your Age",A:A,0))</f>
        <v>12</v>
      </c>
    </row>
    <row r="8" spans="1:8">
      <c r="A8" s="4" t="s">
        <v>71</v>
      </c>
      <c r="B8" s="180">
        <f>'Control Centre'!$B$9</f>
        <v>90</v>
      </c>
      <c r="C8" s="4"/>
    </row>
    <row r="9" spans="1:8">
      <c r="A9" s="4" t="s">
        <v>72</v>
      </c>
      <c r="B9" s="180">
        <f>'Control Centre'!$B$10</f>
        <v>180000</v>
      </c>
      <c r="C9" s="4" t="s">
        <v>73</v>
      </c>
      <c r="E9" s="5" t="s">
        <v>21</v>
      </c>
      <c r="F9" s="5">
        <f>Scenarios!K15</f>
        <v>53</v>
      </c>
    </row>
    <row r="10" spans="1:8">
      <c r="A10" s="4" t="s">
        <v>74</v>
      </c>
      <c r="B10" s="180">
        <f>'Control Centre'!$B$11</f>
        <v>166000</v>
      </c>
      <c r="C10" s="4"/>
    </row>
    <row r="11" spans="1:8">
      <c r="A11" s="4" t="s">
        <v>75</v>
      </c>
      <c r="B11" s="180">
        <f>'Control Centre'!$B$12</f>
        <v>172000</v>
      </c>
      <c r="C11" s="4"/>
    </row>
    <row r="12" spans="1:8">
      <c r="A12" s="4" t="s">
        <v>76</v>
      </c>
      <c r="B12" s="162">
        <f>'Control Centre'!$B$13</f>
        <v>110000</v>
      </c>
      <c r="C12" s="4" t="s">
        <v>77</v>
      </c>
    </row>
    <row r="13" spans="1:8">
      <c r="A13" s="4" t="s">
        <v>78</v>
      </c>
      <c r="B13" s="162">
        <f>'Control Centre'!$B$14</f>
        <v>2</v>
      </c>
      <c r="C13" s="4"/>
    </row>
    <row r="14" spans="1:8">
      <c r="A14" s="4" t="s">
        <v>79</v>
      </c>
      <c r="B14" s="162">
        <f>'Control Centre'!$B$15</f>
        <v>50000</v>
      </c>
      <c r="C14" s="4" t="s">
        <v>77</v>
      </c>
    </row>
    <row r="15" spans="1:8" ht="16">
      <c r="A15" s="41" t="s">
        <v>80</v>
      </c>
      <c r="B15" s="181">
        <f>'Control Centre'!$B$16</f>
        <v>7</v>
      </c>
    </row>
    <row r="16" spans="1:8">
      <c r="A16" s="41" t="s">
        <v>81</v>
      </c>
      <c r="B16" s="174" t="str">
        <f>'Control Centre'!$B$17</f>
        <v>already exists</v>
      </c>
    </row>
    <row r="17" spans="1:2">
      <c r="A17" s="41" t="s">
        <v>82</v>
      </c>
      <c r="B17" s="174">
        <f>'Control Centre'!$B$18</f>
        <v>55</v>
      </c>
    </row>
    <row r="18" spans="1:2">
      <c r="A18" s="41" t="s">
        <v>83</v>
      </c>
      <c r="B18" s="174">
        <f>'Control Centre'!$B$19</f>
        <v>60</v>
      </c>
    </row>
    <row r="19" spans="1:2">
      <c r="A19" s="41" t="s">
        <v>84</v>
      </c>
      <c r="B19" s="174">
        <f>'Control Centre'!$B$20</f>
        <v>53</v>
      </c>
    </row>
    <row r="20" spans="1:2">
      <c r="A20" s="41" t="s">
        <v>85</v>
      </c>
      <c r="B20" s="174">
        <f>'Control Centre'!$B$21</f>
        <v>0</v>
      </c>
    </row>
    <row r="21" spans="1:2">
      <c r="A21" s="41" t="s">
        <v>86</v>
      </c>
      <c r="B21" s="174">
        <f>'Control Centre'!$B$22</f>
        <v>0</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workbookViewId="0">
      <selection sqref="A1:H1"/>
    </sheetView>
  </sheetViews>
  <sheetFormatPr baseColWidth="10" defaultColWidth="8.83203125" defaultRowHeight="15"/>
  <cols>
    <col min="1" max="1" width="32" customWidth="1"/>
    <col min="2" max="2" width="16" customWidth="1"/>
    <col min="3" max="3" width="52" customWidth="1"/>
    <col min="4" max="4" width="2" customWidth="1"/>
    <col min="5" max="8" width="18" customWidth="1"/>
  </cols>
  <sheetData>
    <row r="1" spans="1:8" ht="24">
      <c r="A1" s="202" t="s">
        <v>62</v>
      </c>
      <c r="B1" s="203"/>
      <c r="C1" s="203"/>
      <c r="D1" s="203"/>
      <c r="E1" s="203"/>
      <c r="F1" s="203"/>
      <c r="G1" s="203"/>
      <c r="H1" s="203"/>
    </row>
    <row r="3" spans="1:8">
      <c r="A3" s="19" t="s">
        <v>2706</v>
      </c>
    </row>
    <row r="5" spans="1:8" ht="17">
      <c r="A5" s="15" t="s">
        <v>63</v>
      </c>
      <c r="B5" s="15" t="s">
        <v>64</v>
      </c>
      <c r="C5" s="15" t="s">
        <v>14</v>
      </c>
    </row>
    <row r="6" spans="1:8">
      <c r="A6" s="162" t="str">
        <f>'Control Centre'!$A$26</f>
        <v>Super concessional cap</v>
      </c>
      <c r="B6" s="162">
        <f>'Control Centre'!$B$26</f>
        <v>27500</v>
      </c>
      <c r="C6" s="162" t="str">
        <f>'Control Centre'!$C$26</f>
        <v>Update for current FY</v>
      </c>
    </row>
    <row r="7" spans="1:8">
      <c r="A7" s="162" t="str">
        <f>'Control Centre'!$A$27</f>
        <v>Super tax rate (contrib/earnings)</v>
      </c>
      <c r="B7" s="162">
        <f>'Control Centre'!$B$27</f>
        <v>0.15</v>
      </c>
      <c r="C7" s="162" t="str">
        <f>'Control Centre'!$C$27</f>
        <v>Typical concessional tax</v>
      </c>
    </row>
    <row r="8" spans="1:8">
      <c r="A8" s="162" t="str">
        <f>'Control Centre'!$A$28</f>
        <v>Preservation age</v>
      </c>
      <c r="B8" s="162">
        <f>'Control Centre'!$B$28</f>
        <v>60</v>
      </c>
      <c r="C8" s="162" t="str">
        <f>'Control Centre'!$C$28</f>
        <v>Depends on DOB; common for many cohorts</v>
      </c>
    </row>
    <row r="9" spans="1:8">
      <c r="A9" s="162" t="str">
        <f>'Control Centre'!$A$29</f>
        <v>Medicare levy (base)</v>
      </c>
      <c r="B9" s="162">
        <f>'Control Centre'!$B$29</f>
        <v>0.02</v>
      </c>
      <c r="C9" s="162" t="str">
        <f>'Control Centre'!$C$29</f>
        <v>Approx</v>
      </c>
    </row>
    <row r="10" spans="1:8">
      <c r="A10" s="162" t="str">
        <f>'Control Centre'!$A$30</f>
        <v>Safe withdrawal rate</v>
      </c>
      <c r="B10" s="162">
        <f>'Control Centre'!$B$30</f>
        <v>0.04</v>
      </c>
      <c r="C10" s="162" t="str">
        <f>'Control Centre'!$C$30</f>
        <v>Rule-of-thumb baseline</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workbookViewId="0">
      <selection activeCell="E9" sqref="E9"/>
    </sheetView>
  </sheetViews>
  <sheetFormatPr baseColWidth="10" defaultColWidth="8.83203125" defaultRowHeight="15"/>
  <cols>
    <col min="1" max="1" width="16" customWidth="1"/>
    <col min="2" max="2" width="12.1640625" customWidth="1"/>
    <col min="3" max="3" width="14.1640625" customWidth="1"/>
    <col min="4" max="5" width="12" customWidth="1"/>
    <col min="6" max="6" width="14.1640625" customWidth="1"/>
    <col min="7" max="8" width="12" customWidth="1"/>
    <col min="9" max="9" width="13.1640625" customWidth="1"/>
    <col min="10" max="10" width="22" customWidth="1"/>
    <col min="11" max="11" width="20" customWidth="1"/>
    <col min="12" max="12" width="2" customWidth="1"/>
  </cols>
  <sheetData>
    <row r="1" spans="1:12" ht="24">
      <c r="A1" s="202" t="s">
        <v>3</v>
      </c>
      <c r="B1" s="203"/>
      <c r="C1" s="203"/>
      <c r="D1" s="203"/>
      <c r="E1" s="203"/>
      <c r="F1" s="203"/>
      <c r="G1" s="203"/>
      <c r="H1" s="203"/>
      <c r="I1" s="203"/>
      <c r="J1" s="203"/>
      <c r="K1" s="203"/>
      <c r="L1" s="203"/>
    </row>
    <row r="3" spans="1:12">
      <c r="A3" s="19" t="s">
        <v>2706</v>
      </c>
    </row>
    <row r="4" spans="1:12" ht="18">
      <c r="J4" s="2" t="s">
        <v>4</v>
      </c>
    </row>
    <row r="5" spans="1:12">
      <c r="J5" s="176" t="str">
        <f>'Control Centre'!$Q$6</f>
        <v>Base</v>
      </c>
      <c r="K5" s="174"/>
    </row>
    <row r="6" spans="1:12" ht="51">
      <c r="A6" s="44" t="s">
        <v>5</v>
      </c>
      <c r="B6" s="45" t="s">
        <v>6</v>
      </c>
      <c r="C6" s="45" t="s">
        <v>7</v>
      </c>
      <c r="D6" s="45" t="s">
        <v>8</v>
      </c>
      <c r="E6" s="45" t="s">
        <v>9</v>
      </c>
      <c r="F6" s="45" t="s">
        <v>10</v>
      </c>
      <c r="G6" s="45" t="s">
        <v>11</v>
      </c>
      <c r="H6" s="46" t="s">
        <v>12</v>
      </c>
      <c r="I6" s="46" t="s">
        <v>13</v>
      </c>
      <c r="J6" s="177" t="s">
        <v>14</v>
      </c>
      <c r="K6" s="174"/>
    </row>
    <row r="7" spans="1:12">
      <c r="A7" s="161" t="str">
        <f>'Control Centre'!$F$7</f>
        <v>Base</v>
      </c>
      <c r="B7" s="161">
        <f>'Control Centre'!$G$7</f>
        <v>60</v>
      </c>
      <c r="C7" s="162">
        <f>'Control Centre'!$H$7</f>
        <v>6.5000000000000002E-2</v>
      </c>
      <c r="D7" s="162">
        <f>'Control Centre'!$I$7</f>
        <v>0.11</v>
      </c>
      <c r="E7" s="163">
        <f>'Control Centre'!$J$7</f>
        <v>2.5000000000000001E-2</v>
      </c>
      <c r="F7" s="162">
        <f>'Control Centre'!$K$7</f>
        <v>4.4999999999999998E-2</v>
      </c>
      <c r="G7" s="164">
        <f>'Control Centre'!$L$7</f>
        <v>5.0164705882352945E-2</v>
      </c>
      <c r="H7" s="165">
        <f>'Control Centre'!$M$7</f>
        <v>0.03</v>
      </c>
      <c r="I7" s="166">
        <f>'Control Centre'!$N$7</f>
        <v>53</v>
      </c>
      <c r="J7" s="178" t="s">
        <v>15</v>
      </c>
      <c r="K7" s="178">
        <f>'Control Centre'!$Q$7</f>
        <v>60</v>
      </c>
    </row>
    <row r="8" spans="1:12">
      <c r="A8" s="161" t="str">
        <f>'Control Centre'!$F$8</f>
        <v>Conservative</v>
      </c>
      <c r="B8" s="161">
        <f>'Control Centre'!$G$8</f>
        <v>62</v>
      </c>
      <c r="C8" s="162">
        <f>'Control Centre'!$H$8</f>
        <v>5.5E-2</v>
      </c>
      <c r="D8" s="162">
        <f>'Control Centre'!$I$8</f>
        <v>0.09</v>
      </c>
      <c r="E8" s="163">
        <f>'Control Centre'!$J$8</f>
        <v>0.03</v>
      </c>
      <c r="F8" s="162">
        <f>'Control Centre'!$K$8</f>
        <v>3.5000000000000003E-2</v>
      </c>
      <c r="G8" s="162">
        <f>'Control Centre'!$L$8</f>
        <v>3.7999999999999999E-2</v>
      </c>
      <c r="H8" s="165">
        <f>'Control Centre'!$M$8</f>
        <v>2.5000000000000001E-2</v>
      </c>
      <c r="I8" s="166">
        <f>'Control Centre'!$N$8</f>
        <v>55</v>
      </c>
      <c r="J8" s="178" t="s">
        <v>16</v>
      </c>
      <c r="K8" s="178">
        <f>'Control Centre'!$Q$8</f>
        <v>6.5000000000000002E-2</v>
      </c>
    </row>
    <row r="9" spans="1:12">
      <c r="A9" s="167" t="str">
        <f>'Control Centre'!$F$9</f>
        <v>Aggressive</v>
      </c>
      <c r="B9" s="167">
        <f>'Control Centre'!$G$9</f>
        <v>58</v>
      </c>
      <c r="C9" s="168">
        <f>'Control Centre'!$H$9</f>
        <v>7.4999999999999997E-2</v>
      </c>
      <c r="D9" s="168">
        <f>'Control Centre'!$I$9</f>
        <v>0.14000000000000001</v>
      </c>
      <c r="E9" s="169">
        <f>'Control Centre'!$J$9</f>
        <v>0.02</v>
      </c>
      <c r="F9" s="168">
        <f>'Control Centre'!$K$9</f>
        <v>5.5E-2</v>
      </c>
      <c r="G9" s="168">
        <f>'Control Centre'!$L$9</f>
        <v>4.2000000000000003E-2</v>
      </c>
      <c r="H9" s="170">
        <f>'Control Centre'!$M$9</f>
        <v>3.5000000000000003E-2</v>
      </c>
      <c r="I9" s="171">
        <f>'Control Centre'!$N$9</f>
        <v>51</v>
      </c>
      <c r="J9" s="178" t="s">
        <v>17</v>
      </c>
      <c r="K9" s="178">
        <f>'Control Centre'!$Q$9</f>
        <v>0.11</v>
      </c>
    </row>
    <row r="10" spans="1:12">
      <c r="J10" s="178" t="s">
        <v>18</v>
      </c>
      <c r="K10" s="178">
        <f>'Control Centre'!$Q$10</f>
        <v>2.5000000000000001E-2</v>
      </c>
    </row>
    <row r="11" spans="1:12">
      <c r="J11" s="178" t="s">
        <v>10</v>
      </c>
      <c r="K11" s="178">
        <f>'Control Centre'!$Q$11</f>
        <v>4.4999999999999998E-2</v>
      </c>
    </row>
    <row r="12" spans="1:12">
      <c r="J12" s="178" t="s">
        <v>11</v>
      </c>
      <c r="K12" s="178">
        <f>'Control Centre'!$Q$12</f>
        <v>5.0164705882352945E-2</v>
      </c>
    </row>
    <row r="13" spans="1:12">
      <c r="A13" s="67" t="s">
        <v>12</v>
      </c>
      <c r="J13" s="176" t="s">
        <v>2707</v>
      </c>
      <c r="K13" s="179">
        <f>'Control Centre'!$Q$13</f>
        <v>0.03</v>
      </c>
    </row>
    <row r="14" spans="1:12">
      <c r="A14" s="41" t="s">
        <v>5</v>
      </c>
      <c r="B14" s="41" t="s">
        <v>19</v>
      </c>
      <c r="C14" s="41" t="s">
        <v>20</v>
      </c>
      <c r="J14" s="174"/>
      <c r="K14" s="174"/>
    </row>
    <row r="15" spans="1:12">
      <c r="A15" s="172" t="str">
        <f>'Control Centre'!$F$14</f>
        <v>Conservative</v>
      </c>
      <c r="B15" s="173">
        <f>'Control Centre'!$G$14</f>
        <v>2.5000000000000001E-2</v>
      </c>
      <c r="C15" s="174" t="str">
        <f>'Control Centre'!$H$14</f>
        <v>Roughly long-run CPI</v>
      </c>
      <c r="J15" s="178" t="s">
        <v>21</v>
      </c>
      <c r="K15" s="178">
        <f>'Control Centre'!$Q$14</f>
        <v>53</v>
      </c>
    </row>
    <row r="16" spans="1:12">
      <c r="A16" s="172" t="str">
        <f>'Control Centre'!$F$15</f>
        <v>Base</v>
      </c>
      <c r="B16" s="173">
        <f>'Control Centre'!$G$15</f>
        <v>0.03</v>
      </c>
      <c r="C16" s="174" t="str">
        <f>'Control Centre'!$H$15</f>
        <v>CPI + modest real growth</v>
      </c>
    </row>
    <row r="17" spans="1:3">
      <c r="A17" s="172" t="str">
        <f>'Control Centre'!$F$16</f>
        <v>Aggressive</v>
      </c>
      <c r="B17" s="173">
        <f>'Control Centre'!$G$16</f>
        <v>3.5000000000000003E-2</v>
      </c>
      <c r="C17" s="174" t="str">
        <f>'Control Centre'!$H$16</f>
        <v>Tight rental market, wage pressure</v>
      </c>
    </row>
    <row r="20" spans="1:3" ht="24">
      <c r="A20" s="68" t="s">
        <v>22</v>
      </c>
    </row>
    <row r="22" spans="1:3">
      <c r="A22" s="43" t="s">
        <v>23</v>
      </c>
    </row>
    <row r="23" spans="1:3">
      <c r="A23" s="41" t="s">
        <v>24</v>
      </c>
    </row>
    <row r="24" spans="1:3">
      <c r="A24" s="41" t="s">
        <v>25</v>
      </c>
    </row>
    <row r="25" spans="1:3">
      <c r="A25" s="43" t="s">
        <v>26</v>
      </c>
    </row>
    <row r="26" spans="1:3">
      <c r="A26" s="43" t="s">
        <v>27</v>
      </c>
    </row>
    <row r="27" spans="1:3">
      <c r="A27" s="43" t="s">
        <v>28</v>
      </c>
    </row>
    <row r="28" spans="1:3">
      <c r="A28" s="43" t="s">
        <v>29</v>
      </c>
    </row>
    <row r="29" spans="1:3">
      <c r="A29" s="43" t="s">
        <v>30</v>
      </c>
    </row>
    <row r="32" spans="1:3" ht="17">
      <c r="A32" s="82" t="s">
        <v>31</v>
      </c>
    </row>
    <row r="33" spans="1:3">
      <c r="A33" s="43"/>
    </row>
    <row r="34" spans="1:3">
      <c r="A34" s="172" t="str">
        <f>'Control Centre'!$F$20</f>
        <v>Scenario</v>
      </c>
      <c r="B34" s="172" t="str">
        <f>'Control Centre'!$G$20</f>
        <v>Inflation</v>
      </c>
      <c r="C34" s="172" t="str">
        <f>'Control Centre'!$H$20</f>
        <v>Why</v>
      </c>
    </row>
    <row r="35" spans="1:3">
      <c r="A35" s="172" t="str">
        <f>'Control Centre'!$F$21</f>
        <v>Conservative</v>
      </c>
      <c r="B35" s="175">
        <f>'Control Centre'!$G$21</f>
        <v>0.03</v>
      </c>
      <c r="C35" s="174" t="str">
        <f>'Control Centre'!$H$21</f>
        <v>Higher cost pressure, stagflation risk</v>
      </c>
    </row>
    <row r="36" spans="1:3">
      <c r="A36" s="172" t="str">
        <f>'Control Centre'!$F$22</f>
        <v>Base</v>
      </c>
      <c r="B36" s="175">
        <f>'Control Centre'!$G$22</f>
        <v>2.5000000000000001E-2</v>
      </c>
      <c r="C36" s="174" t="str">
        <f>'Control Centre'!$H$22</f>
        <v>RBA midpoint, long-run normal</v>
      </c>
    </row>
    <row r="37" spans="1:3">
      <c r="A37" s="67" t="s">
        <v>32</v>
      </c>
      <c r="B37" s="83">
        <v>0.02</v>
      </c>
      <c r="C37" t="s">
        <v>33</v>
      </c>
    </row>
  </sheetData>
  <mergeCells count="1">
    <mergeCell ref="A1:L1"/>
  </mergeCells>
  <dataValidations count="1">
    <dataValidation type="list" sqref="J5" xr:uid="{00000000-0002-0000-0100-000000000000}">
      <formula1>$A$7:$A$9</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7"/>
  <sheetViews>
    <sheetView workbookViewId="0">
      <selection activeCell="C6" sqref="C6"/>
    </sheetView>
  </sheetViews>
  <sheetFormatPr baseColWidth="10" defaultColWidth="8.83203125" defaultRowHeight="15"/>
  <cols>
    <col min="1" max="2" width="5.33203125" customWidth="1"/>
    <col min="3" max="3" width="7" style="59" customWidth="1"/>
    <col min="4" max="4" width="8" style="63" customWidth="1"/>
    <col min="5" max="5" width="11.33203125" customWidth="1"/>
    <col min="6" max="6" width="10" style="47" customWidth="1"/>
    <col min="7" max="7" width="12.83203125" style="47" customWidth="1"/>
    <col min="8" max="8" width="10.1640625" style="47" customWidth="1"/>
    <col min="9" max="9" width="13.1640625" style="47" customWidth="1"/>
    <col min="10" max="10" width="10" style="47" customWidth="1"/>
    <col min="11" max="11" width="12.1640625" style="47" customWidth="1"/>
    <col min="12" max="12" width="11.1640625" style="47" customWidth="1"/>
    <col min="13" max="13" width="11.6640625" style="47" customWidth="1"/>
    <col min="14" max="15" width="10" style="47" customWidth="1"/>
    <col min="16" max="18" width="10" customWidth="1"/>
    <col min="19" max="19" width="12.1640625" customWidth="1"/>
    <col min="20" max="20" width="12.6640625" customWidth="1"/>
    <col min="21" max="23" width="16" style="36" customWidth="1"/>
    <col min="24" max="26" width="18" style="36" customWidth="1"/>
    <col min="27" max="27" width="2" customWidth="1"/>
    <col min="28" max="30" width="18" customWidth="1"/>
  </cols>
  <sheetData>
    <row r="1" spans="1:26" ht="24">
      <c r="A1" s="7"/>
      <c r="B1" s="7" t="s">
        <v>34</v>
      </c>
      <c r="C1" s="58"/>
      <c r="D1" s="62"/>
      <c r="E1" s="7"/>
      <c r="F1" s="7"/>
      <c r="G1" s="7"/>
      <c r="H1" s="7"/>
      <c r="I1" s="7"/>
      <c r="J1" s="7"/>
      <c r="K1" s="7"/>
      <c r="L1" s="7"/>
      <c r="M1" s="7"/>
      <c r="N1" s="7"/>
      <c r="O1" s="7"/>
      <c r="P1" s="7"/>
      <c r="Q1" s="7"/>
      <c r="R1" s="7"/>
      <c r="S1" s="7"/>
      <c r="T1" s="7"/>
      <c r="U1"/>
      <c r="V1"/>
      <c r="W1"/>
      <c r="X1"/>
      <c r="Y1"/>
      <c r="Z1"/>
    </row>
    <row r="2" spans="1:26">
      <c r="P2" s="102">
        <f>P7-F7-E7</f>
        <v>53451.23028399999</v>
      </c>
    </row>
    <row r="3" spans="1:26">
      <c r="A3" s="19"/>
      <c r="B3" s="19" t="s">
        <v>35</v>
      </c>
      <c r="C3" s="60"/>
      <c r="D3" s="64"/>
      <c r="E3" s="19"/>
      <c r="F3" s="16"/>
      <c r="G3" s="16"/>
      <c r="H3" s="16"/>
      <c r="I3" s="16"/>
      <c r="J3" s="16"/>
      <c r="K3" s="16"/>
      <c r="L3" s="16"/>
      <c r="M3" s="16"/>
      <c r="N3" s="16"/>
      <c r="O3" s="16"/>
      <c r="P3" s="19"/>
      <c r="Q3" s="19"/>
      <c r="R3" s="19"/>
      <c r="S3" s="19"/>
      <c r="T3" s="19"/>
    </row>
    <row r="5" spans="1:26" ht="68">
      <c r="A5" s="15" t="s">
        <v>36</v>
      </c>
      <c r="B5" s="15" t="s">
        <v>37</v>
      </c>
      <c r="C5" s="15" t="s">
        <v>38</v>
      </c>
      <c r="D5" s="15" t="s">
        <v>39</v>
      </c>
      <c r="E5" s="15" t="s">
        <v>40</v>
      </c>
      <c r="F5" s="15" t="s">
        <v>41</v>
      </c>
      <c r="G5" s="15" t="s">
        <v>42</v>
      </c>
      <c r="H5" s="15" t="s">
        <v>43</v>
      </c>
      <c r="I5" s="15" t="s">
        <v>44</v>
      </c>
      <c r="J5" s="15" t="s">
        <v>45</v>
      </c>
      <c r="K5" s="15" t="s">
        <v>46</v>
      </c>
      <c r="L5" s="15" t="s">
        <v>47</v>
      </c>
      <c r="M5" s="15" t="s">
        <v>48</v>
      </c>
      <c r="N5" s="15" t="s">
        <v>49</v>
      </c>
      <c r="O5" s="15" t="s">
        <v>50</v>
      </c>
      <c r="P5" s="15" t="s">
        <v>51</v>
      </c>
      <c r="Q5" s="15" t="s">
        <v>52</v>
      </c>
      <c r="R5" s="15" t="s">
        <v>53</v>
      </c>
      <c r="S5" s="15" t="s">
        <v>54</v>
      </c>
      <c r="T5" s="15" t="s">
        <v>55</v>
      </c>
      <c r="U5" s="15" t="s">
        <v>56</v>
      </c>
      <c r="V5" s="15" t="s">
        <v>57</v>
      </c>
      <c r="W5" s="15" t="s">
        <v>58</v>
      </c>
      <c r="X5" s="15" t="s">
        <v>59</v>
      </c>
      <c r="Y5" s="15" t="s">
        <v>60</v>
      </c>
      <c r="Z5" s="15" t="s">
        <v>61</v>
      </c>
    </row>
    <row r="6" spans="1:26">
      <c r="A6" s="4">
        <f>ROW()-ROW($A$6)+1</f>
        <v>1</v>
      </c>
      <c r="B6" s="4">
        <v>2026</v>
      </c>
      <c r="C6" s="61">
        <f>Profile!B6</f>
        <v>48</v>
      </c>
      <c r="D6" s="65">
        <f>Profile!B7</f>
        <v>41</v>
      </c>
      <c r="E6" s="28">
        <f>IF(
 $C6 &lt; Scenarios!$K$7,
 _xlfn.XLOOKUP($B6,'Income Schedule'!$A$5:$A$60,'Income Schedule'!$B$5:$B$60,0),
 IF(
  $C6 = Scenarios!$K$7,
  _xlfn.XLOOKUP($B6,'Income Schedule'!$A$5:$A$60,'Income Schedule'!$B$5:$B$60,0) * (1-Profile!$B$20),
  0
 )
)</f>
        <v>45000</v>
      </c>
      <c r="F6" s="28">
        <f>IF(
 $C6 &lt; (Scenarios!$K$15 + (Profile!$B$6-Profile!$B$7)),
 _xlfn.XLOOKUP($B6,'Income Schedule'!$A$5:$A$60,'Income Schedule'!$C$5:$C$60,0),
 IF(
  $C6 = (Scenarios!$K$15 + (Profile!$B$6-Profile!$B$7)),
  _xlfn.XLOOKUP($B6,'Income Schedule'!$A$5:$A$60,'Income Schedule'!$C$5:$C$60,0) * (1-Profile!$B$21),
  0
 )
)</f>
        <v>166000</v>
      </c>
      <c r="G6" s="28">
        <f>IF(
 $C6 &lt; Scenarios!$K$7,
 IF('Superannuation (Inputs)'!$I$6="Fixed",
    'Superannuation (Inputs)'!$C$6,
    'Superannuation (Inputs)'!$J$6
 ),
 IF(
  $C6 = Scenarios!$K$7,
  IF('Superannuation (Inputs)'!$I$6="Fixed",
     'Superannuation (Inputs)'!$C$6*(1-Profile!$B$20),
     'Superannuation (Inputs)'!$J$6
  ),
  0
 )
)</f>
        <v>5400</v>
      </c>
      <c r="H6" s="28">
        <f>G6 * 'Superannuation (Inputs)'!$H$6</f>
        <v>810</v>
      </c>
      <c r="I6" s="28">
        <f>IF(
 $C6 &lt; (Scenarios!$K$15 + (Profile!$B$6-Profile!$B$7)),
 IF('Superannuation (Inputs)'!$I$7="Fixed",
    'Superannuation (Inputs)'!$C$7,
    'Superannuation (Inputs)'!$J$7
 ),
 IF(
  $C6 = (Scenarios!$K$15 + (Profile!$B$6-Profile!$B$7)),
  IF('Superannuation (Inputs)'!$I$7="Fixed",
     'Superannuation (Inputs)'!$C$7*(1-Profile!$B$21),
     'Superannuation (Inputs)'!$J$7
  ),
  0
 )
)</f>
        <v>25564</v>
      </c>
      <c r="J6" s="28">
        <f>I6 * 'Superannuation (Inputs)'!$H$7</f>
        <v>3834.6</v>
      </c>
      <c r="K6" s="28">
        <f>'Superannuation (Inputs)'!$B$6</f>
        <v>636000</v>
      </c>
      <c r="L6" s="28">
        <f>'Superannuation (Inputs)'!$B$7</f>
        <v>452000</v>
      </c>
      <c r="M6" s="28">
        <f>K6+L6</f>
        <v>1088000</v>
      </c>
      <c r="N6" s="28">
        <f>(IF((E6 + 0.5*INDEX(Property_CF!$B$187:$AZ$187,1,$A6))&lt;=18200,0, IF((E6 + 0.5*INDEX(Property_CF!$B$187:$AZ$187,1,$A6))&lt;=45000,((E6 + 0.5*INDEX(Property_CF!$B$187:$AZ$187,1,$A6))-18200)*0.19, IF((E6 + 0.5*INDEX(Property_CF!$B$187:$AZ$187,1,$A6))&lt;=120000,5092+((E6 + 0.5*INDEX(Property_CF!$B$187:$AZ$187,1,$A6))-45000)*0.325, IF((E6 + 0.5*INDEX(Property_CF!$B$187:$AZ$187,1,$A6))&lt;=180000,29467+((E6 + 0.5*INDEX(Property_CF!$B$187:$AZ$187,1,$A6))-120000)*0.37, 51667+((E6 + 0.5*INDEX(Property_CF!$B$187:$AZ$187,1,$A6))-180000)*0.45)))))+((E6 + 0.5*INDEX(Property_CF!$B$187:$AZ$187,1,$A6)))*0.02</f>
        <v>5992</v>
      </c>
      <c r="O6" s="28">
        <f>(IF((F6 + 0.5*INDEX(Property_CF!$B$187:$AZ$187,1,$A6))&lt;=18200,0, IF((F6 + 0.5*INDEX(Property_CF!$B$187:$AZ$187,1,$A6))&lt;=45000,((F6 + 0.5*INDEX(Property_CF!$B$187:$AZ$187,1,$A6))-18200)*0.19, IF((F6 + 0.5*INDEX(Property_CF!$B$187:$AZ$187,1,$A6))&lt;=120000,5092+((F6 + 0.5*INDEX(Property_CF!$B$187:$AZ$187,1,$A6))-45000)*0.325, IF((F6 + 0.5*INDEX(Property_CF!$B$187:$AZ$187,1,$A6))&lt;=180000,29467+((F6 + 0.5*INDEX(Property_CF!$B$187:$AZ$187,1,$A6))-120000)*0.37, 51667+((F6 + 0.5*INDEX(Property_CF!$B$187:$AZ$187,1,$A6))-180000)*0.45)))))+((F6 + 0.5*INDEX(Property_CF!$B$187:$AZ$187,1,$A6)))*0.02</f>
        <v>49807</v>
      </c>
      <c r="P6" s="28">
        <f t="array" ref="P6">E6+F6+INDEX(Property_CF!$C$187:$AZ$187,1,$A6)</f>
        <v>258859.67850899999</v>
      </c>
      <c r="Q6" s="28">
        <f>Budget!$P$6</f>
        <v>76477.3</v>
      </c>
      <c r="R6" s="28">
        <f>SUM('Rental Tax &amp; Gearing'!$H$6:$H$8)</f>
        <v>-11228.78761669634</v>
      </c>
      <c r="S6" s="28">
        <f>IF($C6 &lt; Scenarios!$K$7,
    (P6 + R6 - Q6),
    0
)</f>
        <v>171153.59089230368</v>
      </c>
      <c r="T6" s="28">
        <f>IF($C6 &lt; Scenarios!$K$7,
 P6 - Budget!$P$6,
 0)</f>
        <v>182382.378509</v>
      </c>
      <c r="U6" s="28">
        <f>'Superannuation (Inputs)'!N6</f>
        <v>1088000</v>
      </c>
      <c r="V6" s="28">
        <f>Properties!M8</f>
        <v>1683071.9100000001</v>
      </c>
      <c r="W6" s="28">
        <f>Profile!B14 + 'Assets &amp; Liabilities'!G8</f>
        <v>353316.06</v>
      </c>
      <c r="X6" s="28">
        <f t="shared" ref="X6:X47" si="0">SUM(U6:W6)</f>
        <v>3124387.97</v>
      </c>
      <c r="Y6" s="28">
        <f>IF(C6&gt;=Scenarios!$K$7, Profile!B9*(1+Scenarios!$K$10)^(C6-Scenarios!$K$7), 0)</f>
        <v>0</v>
      </c>
      <c r="Z6" s="28">
        <f t="shared" ref="Z6:Z47" si="1">X6-Y6</f>
        <v>3124387.97</v>
      </c>
    </row>
    <row r="7" spans="1:26">
      <c r="A7" s="4">
        <f t="shared" ref="A7:A47" si="2">ROW()-ROW($A$6)+1</f>
        <v>2</v>
      </c>
      <c r="B7" s="4">
        <f>B6+1</f>
        <v>2027</v>
      </c>
      <c r="C7" s="61">
        <f t="shared" ref="C7:D47" si="3">C6+1</f>
        <v>49</v>
      </c>
      <c r="D7" s="65">
        <f t="shared" si="3"/>
        <v>42</v>
      </c>
      <c r="E7" s="28">
        <f>IF(
 $C7 &lt; Scenarios!$K$7,
 _xlfn.XLOOKUP($B7,'Income Schedule'!$A$5:$A$60,'Income Schedule'!$B$5:$B$60,0),
 IF(
  $C7 = Scenarios!$K$7,
  _xlfn.XLOOKUP($B7,'Income Schedule'!$A$5:$A$60,'Income Schedule'!$B$5:$B$60,0) * (1-Profile!$B$20),
  0
 )
)</f>
        <v>180000</v>
      </c>
      <c r="F7" s="28">
        <f>IF(
 $C7 &lt; (Scenarios!$K$15 + (Profile!$B$6-Profile!$B$7)),
 _xlfn.XLOOKUP($B7,'Income Schedule'!$A$5:$A$60,'Income Schedule'!$C$5:$C$60,0),
 IF(
  $C7 = (Scenarios!$K$15 + (Profile!$B$6-Profile!$B$7)),
  _xlfn.XLOOKUP($B7,'Income Schedule'!$A$5:$A$60,'Income Schedule'!$C$5:$C$60,0) * (1-Profile!$B$21),
  0
 )
)</f>
        <v>172000</v>
      </c>
      <c r="G7" s="28">
        <f>IF(
 $C7 &lt; Scenarios!$K$7,
 IF('Superannuation (Inputs)'!$I$6="Fixed",
    'Superannuation (Inputs)'!$C$6,
    'Superannuation (Inputs)'!$J$6
 ),
 IF(
  $C7 = Scenarios!$K$7,
  IF('Superannuation (Inputs)'!$I$6="Fixed",
     'Superannuation (Inputs)'!$C$6*(1-Profile!$B$20),
     'Superannuation (Inputs)'!$J$6
  ),
  0
 )
)</f>
        <v>5400</v>
      </c>
      <c r="H7" s="28">
        <f>G7 * 'Superannuation (Inputs)'!$H$6</f>
        <v>810</v>
      </c>
      <c r="I7" s="28">
        <f>IF(
 $C7 &lt; (Scenarios!$K$15 + (Profile!$B$6-Profile!$B$7)),
 IF('Superannuation (Inputs)'!$I$7="Fixed",
    'Superannuation (Inputs)'!$C$7,
    'Superannuation (Inputs)'!$J$7
 ),
 IF(
  $C7 = (Scenarios!$K$15 + (Profile!$B$6-Profile!$B$7)),
  IF('Superannuation (Inputs)'!$I$7="Fixed",
     'Superannuation (Inputs)'!$C$7*(1-Profile!$B$21),
     'Superannuation (Inputs)'!$J$7
  ),
  0
 )
)</f>
        <v>25564</v>
      </c>
      <c r="J7" s="28">
        <f>I7 * 'Superannuation (Inputs)'!$H$7</f>
        <v>3834.6</v>
      </c>
      <c r="K7" s="28">
        <f>K6*(1+Scenarios!$K$8) + G7-H7</f>
        <v>681930</v>
      </c>
      <c r="L7" s="28">
        <f>L6*(1+Scenarios!$K$8) + H7-I7</f>
        <v>456626</v>
      </c>
      <c r="M7" s="28">
        <f t="shared" ref="M7:M47" si="4">K7+L7</f>
        <v>1138556</v>
      </c>
      <c r="N7" s="28">
        <f>(IF((E7 + 0.5*INDEX(Property_CF!$B$187:$AZ$187,1,$A7))&lt;=18200,0, IF((E7 + 0.5*INDEX(Property_CF!$B$187:$AZ$187,1,$A7))&lt;=45000,((E7 + 0.5*INDEX(Property_CF!$B$187:$AZ$187,1,$A7))-18200)*0.19, IF((E7 + 0.5*INDEX(Property_CF!$B$187:$AZ$187,1,$A7))&lt;=120000,5092+((E7 + 0.5*INDEX(Property_CF!$B$187:$AZ$187,1,$A7))-45000)*0.325, IF((E7 + 0.5*INDEX(Property_CF!$B$187:$AZ$187,1,$A7))&lt;=180000,29467+((E7 + 0.5*INDEX(Property_CF!$B$187:$AZ$187,1,$A7))-120000)*0.37, 51667+((E7 + 0.5*INDEX(Property_CF!$B$187:$AZ$187,1,$A7))-180000)*0.45)))))+((E7 + 0.5*INDEX(Property_CF!$B$187:$AZ$187,1,$A7)))*0.02</f>
        <v>66514.024449614997</v>
      </c>
      <c r="O7" s="28">
        <f>(IF((F7 + 0.5*INDEX(Property_CF!$B$187:$AZ$187,1,$A7))&lt;=18200,0, IF((F7 + 0.5*INDEX(Property_CF!$B$187:$AZ$187,1,$A7))&lt;=45000,((F7 + 0.5*INDEX(Property_CF!$B$187:$AZ$187,1,$A7))-18200)*0.19, IF((F7 + 0.5*INDEX(Property_CF!$B$187:$AZ$187,1,$A7))&lt;=120000,5092+((F7 + 0.5*INDEX(Property_CF!$B$187:$AZ$187,1,$A7))-45000)*0.325, IF((F7 + 0.5*INDEX(Property_CF!$B$187:$AZ$187,1,$A7))&lt;=180000,29467+((F7 + 0.5*INDEX(Property_CF!$B$187:$AZ$187,1,$A7))-120000)*0.37, 51667+((F7 + 0.5*INDEX(Property_CF!$B$187:$AZ$187,1,$A7))-180000)*0.45)))))+((F7 + 0.5*INDEX(Property_CF!$B$187:$AZ$187,1,$A7)))*0.02</f>
        <v>62754.024449614997</v>
      </c>
      <c r="P7" s="28">
        <f t="array" ref="P7">E7+F7+INDEX(Property_CF!$C$187:$AZ$187,1,$A7)</f>
        <v>405451.23028399999</v>
      </c>
      <c r="Q7" s="28">
        <f>Budget!$P$6</f>
        <v>76477.3</v>
      </c>
      <c r="R7" s="28">
        <f>SUM('Rental Tax &amp; Gearing'!$H$6:$H$8)</f>
        <v>-11228.78761669634</v>
      </c>
      <c r="S7" s="28">
        <f>IF($C7 &lt; Scenarios!$K$7,
    (P7 + R7 - Q7),
    0
)</f>
        <v>317745.14266730368</v>
      </c>
      <c r="T7" s="28">
        <f>IF($C7 &lt; Scenarios!$K$7,
 P7 - Budget!$P$6,
 0)</f>
        <v>328973.930284</v>
      </c>
      <c r="U7" s="28">
        <f>U6*(1+Scenarios!$K$8) + IF(C7&lt;Scenarios!$K$7, 'Superannuation (Inputs)'!$N$7, 0)</f>
        <v>1213720</v>
      </c>
      <c r="V7" s="28">
        <f>V6*(1+Scenarios!$K$11)</f>
        <v>1758810.14595</v>
      </c>
      <c r="W7" s="28">
        <f>W6*(1+Scenarios!$K$8) + S7</f>
        <v>694026.74656730366</v>
      </c>
      <c r="X7" s="28">
        <f t="shared" si="0"/>
        <v>3666556.8925173036</v>
      </c>
      <c r="Y7" s="28">
        <f>IF(C7&gt;=Scenarios!$K$7, Profile!B10*(1+Scenarios!$K$10)^(C7-Scenarios!$K$7), 0)</f>
        <v>0</v>
      </c>
      <c r="Z7" s="28">
        <f t="shared" si="1"/>
        <v>3666556.8925173036</v>
      </c>
    </row>
    <row r="8" spans="1:26">
      <c r="A8" s="4">
        <f t="shared" si="2"/>
        <v>3</v>
      </c>
      <c r="B8" s="4">
        <f t="shared" ref="B8:B47" si="5">B7+1</f>
        <v>2028</v>
      </c>
      <c r="C8" s="61">
        <f t="shared" si="3"/>
        <v>50</v>
      </c>
      <c r="D8" s="65">
        <f t="shared" si="3"/>
        <v>43</v>
      </c>
      <c r="E8" s="28">
        <f>IF(
 $C8 &lt; Scenarios!$K$7,
 _xlfn.XLOOKUP($B8,'Income Schedule'!$A$5:$A$60,'Income Schedule'!$B$5:$B$60,0),
 IF(
  $C8 = Scenarios!$K$7,
  _xlfn.XLOOKUP($B8,'Income Schedule'!$A$5:$A$60,'Income Schedule'!$B$5:$B$60,0) * (1-Profile!$B$20),
  0
 )
)</f>
        <v>180000</v>
      </c>
      <c r="F8" s="28">
        <f>IF(
 $C8 &lt; (Scenarios!$K$15 + (Profile!$B$6-Profile!$B$7)),
 _xlfn.XLOOKUP($B8,'Income Schedule'!$A$5:$A$60,'Income Schedule'!$C$5:$C$60,0),
 IF(
  $C8 = (Scenarios!$K$15 + (Profile!$B$6-Profile!$B$7)),
  _xlfn.XLOOKUP($B8,'Income Schedule'!$A$5:$A$60,'Income Schedule'!$C$5:$C$60,0) * (1-Profile!$B$21),
  0
 )
)</f>
        <v>172000</v>
      </c>
      <c r="G8" s="28">
        <f>IF(
 $C8 &lt; Scenarios!$K$7,
 IF('Superannuation (Inputs)'!$I$6="Fixed",
    'Superannuation (Inputs)'!$C$6,
    'Superannuation (Inputs)'!$J$6
 ),
 IF(
  $C8 = Scenarios!$K$7,
  IF('Superannuation (Inputs)'!$I$6="Fixed",
     'Superannuation (Inputs)'!$C$6*(1-Profile!$B$20),
     'Superannuation (Inputs)'!$J$6
  ),
  0
 )
)</f>
        <v>5400</v>
      </c>
      <c r="H8" s="28">
        <f>G8 * 'Superannuation (Inputs)'!$H$6</f>
        <v>810</v>
      </c>
      <c r="I8" s="28">
        <f>IF(
 $C8 &lt; (Scenarios!$K$15 + (Profile!$B$6-Profile!$B$7)),
 IF('Superannuation (Inputs)'!$I$7="Fixed",
    'Superannuation (Inputs)'!$C$7,
    'Superannuation (Inputs)'!$J$7
 ),
 IF(
  $C8 = (Scenarios!$K$15 + (Profile!$B$6-Profile!$B$7)),
  IF('Superannuation (Inputs)'!$I$7="Fixed",
     'Superannuation (Inputs)'!$C$7*(1-Profile!$B$21),
     'Superannuation (Inputs)'!$J$7
  ),
  0
 )
)</f>
        <v>25564</v>
      </c>
      <c r="J8" s="28">
        <f>I8 * 'Superannuation (Inputs)'!$H$7</f>
        <v>3834.6</v>
      </c>
      <c r="K8" s="28">
        <f>K7*(1+Scenarios!$K$8) + G8-H8</f>
        <v>730845.45</v>
      </c>
      <c r="L8" s="28">
        <f>L7*(1+Scenarios!$K$8) + H8-I8</f>
        <v>461552.69</v>
      </c>
      <c r="M8" s="28">
        <f t="shared" si="4"/>
        <v>1192398.1399999999</v>
      </c>
      <c r="N8" s="28">
        <f>(IF((E8 + 0.5*INDEX(Property_CF!$B$187:$AZ$187,1,$A8))&lt;=18200,0, IF((E8 + 0.5*INDEX(Property_CF!$B$187:$AZ$187,1,$A8))&lt;=45000,((E8 + 0.5*INDEX(Property_CF!$B$187:$AZ$187,1,$A8))-18200)*0.19, IF((E8 + 0.5*INDEX(Property_CF!$B$187:$AZ$187,1,$A8))&lt;=120000,5092+((E8 + 0.5*INDEX(Property_CF!$B$187:$AZ$187,1,$A8))-45000)*0.325, IF((E8 + 0.5*INDEX(Property_CF!$B$187:$AZ$187,1,$A8))&lt;=180000,29467+((E8 + 0.5*INDEX(Property_CF!$B$187:$AZ$187,1,$A8))-120000)*0.37, 51667+((E8 + 0.5*INDEX(Property_CF!$B$187:$AZ$187,1,$A8))-180000)*0.45)))))+((E8 + 0.5*INDEX(Property_CF!$B$187:$AZ$187,1,$A8)))*0.02</f>
        <v>67828.039116739994</v>
      </c>
      <c r="O8" s="28">
        <f>(IF((F8 + 0.5*INDEX(Property_CF!$B$187:$AZ$187,1,$A8))&lt;=18200,0, IF((F8 + 0.5*INDEX(Property_CF!$B$187:$AZ$187,1,$A8))&lt;=45000,((F8 + 0.5*INDEX(Property_CF!$B$187:$AZ$187,1,$A8))-18200)*0.19, IF((F8 + 0.5*INDEX(Property_CF!$B$187:$AZ$187,1,$A8))&lt;=120000,5092+((F8 + 0.5*INDEX(Property_CF!$B$187:$AZ$187,1,$A8))-45000)*0.325, IF((F8 + 0.5*INDEX(Property_CF!$B$187:$AZ$187,1,$A8))&lt;=180000,29467+((F8 + 0.5*INDEX(Property_CF!$B$187:$AZ$187,1,$A8))-120000)*0.37, 51667+((F8 + 0.5*INDEX(Property_CF!$B$187:$AZ$187,1,$A8))-180000)*0.45)))))+((F8 + 0.5*INDEX(Property_CF!$B$187:$AZ$187,1,$A8)))*0.02</f>
        <v>64068.039116739994</v>
      </c>
      <c r="P8" s="28">
        <f t="array" ref="P8">E8+F8+INDEX(Property_CF!$C$187:$AZ$187,1,$A8)</f>
        <v>408419.17744537501</v>
      </c>
      <c r="Q8" s="28">
        <f>Budget!$P$6</f>
        <v>76477.3</v>
      </c>
      <c r="R8" s="28">
        <f>SUM('Rental Tax &amp; Gearing'!$H$6:$H$8)</f>
        <v>-11228.78761669634</v>
      </c>
      <c r="S8" s="28">
        <f>IF($C8 &lt; Scenarios!$K$7,
    (P8 + R8 - Q8),
    0
)</f>
        <v>320713.0898286787</v>
      </c>
      <c r="T8" s="28">
        <f>IF($C8 &lt; Scenarios!$K$7,
 P8 - Budget!$P$6,
 0)</f>
        <v>331941.87744537502</v>
      </c>
      <c r="U8" s="28">
        <f>U7*(1+Scenarios!$K$8) + IF(C8&lt;Scenarios!$K$7, 'Superannuation (Inputs)'!$N$7, 0)</f>
        <v>1347611.8</v>
      </c>
      <c r="V8" s="28">
        <f>V7*(1+Scenarios!$K$11)</f>
        <v>1837956.6025177499</v>
      </c>
      <c r="W8" s="28">
        <f t="shared" ref="W8:W47" si="6">W7*(1+0.03)</f>
        <v>714847.54896432278</v>
      </c>
      <c r="X8" s="28">
        <f t="shared" si="0"/>
        <v>3900415.9514820725</v>
      </c>
      <c r="Y8" s="28">
        <f>IF(C8&gt;=Scenarios!$K$7, Profile!B11*(1+Scenarios!$K$10)^(C8-Scenarios!$K$7), 0)</f>
        <v>0</v>
      </c>
      <c r="Z8" s="28">
        <f t="shared" si="1"/>
        <v>3900415.9514820725</v>
      </c>
    </row>
    <row r="9" spans="1:26">
      <c r="A9" s="4">
        <f t="shared" si="2"/>
        <v>4</v>
      </c>
      <c r="B9" s="4">
        <f t="shared" si="5"/>
        <v>2029</v>
      </c>
      <c r="C9" s="61">
        <f t="shared" si="3"/>
        <v>51</v>
      </c>
      <c r="D9" s="65">
        <f t="shared" si="3"/>
        <v>44</v>
      </c>
      <c r="E9" s="28">
        <f>IF(
 $C9 &lt; Scenarios!$K$7,
 _xlfn.XLOOKUP($B9,'Income Schedule'!$A$5:$A$60,'Income Schedule'!$B$5:$B$60,0),
 IF(
  $C9 = Scenarios!$K$7,
  _xlfn.XLOOKUP($B9,'Income Schedule'!$A$5:$A$60,'Income Schedule'!$B$5:$B$60,0) * (1-Profile!$B$20),
  0
 )
)</f>
        <v>180000</v>
      </c>
      <c r="F9" s="28">
        <f>IF(
 $C9 &lt; (Scenarios!$K$15 + (Profile!$B$6-Profile!$B$7)),
 _xlfn.XLOOKUP($B9,'Income Schedule'!$A$5:$A$60,'Income Schedule'!$C$5:$C$60,0),
 IF(
  $C9 = (Scenarios!$K$15 + (Profile!$B$6-Profile!$B$7)),
  _xlfn.XLOOKUP($B9,'Income Schedule'!$A$5:$A$60,'Income Schedule'!$C$5:$C$60,0) * (1-Profile!$B$21),
  0
 )
)</f>
        <v>172000</v>
      </c>
      <c r="G9" s="28">
        <f>IF(
 $C9 &lt; Scenarios!$K$7,
 IF('Superannuation (Inputs)'!$I$6="Fixed",
    'Superannuation (Inputs)'!$C$6,
    'Superannuation (Inputs)'!$J$6
 ),
 IF(
  $C9 = Scenarios!$K$7,
  IF('Superannuation (Inputs)'!$I$6="Fixed",
     'Superannuation (Inputs)'!$C$6*(1-Profile!$B$20),
     'Superannuation (Inputs)'!$J$6
  ),
  0
 )
)</f>
        <v>5400</v>
      </c>
      <c r="H9" s="28">
        <f>G9 * 'Superannuation (Inputs)'!$H$6</f>
        <v>810</v>
      </c>
      <c r="I9" s="28">
        <f>IF(
 $C9 &lt; (Scenarios!$K$15 + (Profile!$B$6-Profile!$B$7)),
 IF('Superannuation (Inputs)'!$I$7="Fixed",
    'Superannuation (Inputs)'!$C$7,
    'Superannuation (Inputs)'!$J$7
 ),
 IF(
  $C9 = (Scenarios!$K$15 + (Profile!$B$6-Profile!$B$7)),
  IF('Superannuation (Inputs)'!$I$7="Fixed",
     'Superannuation (Inputs)'!$C$7*(1-Profile!$B$21),
     'Superannuation (Inputs)'!$J$7
  ),
  0
 )
)</f>
        <v>25564</v>
      </c>
      <c r="J9" s="28">
        <f>I9 * 'Superannuation (Inputs)'!$H$7</f>
        <v>3834.6</v>
      </c>
      <c r="K9" s="28">
        <f>K8*(1+Scenarios!$K$8) + G9-H9</f>
        <v>782940.40424999991</v>
      </c>
      <c r="L9" s="28">
        <f>L8*(1+Scenarios!$K$8) + H9-I9</f>
        <v>466799.61484999995</v>
      </c>
      <c r="M9" s="28">
        <f t="shared" si="4"/>
        <v>1249740.0190999999</v>
      </c>
      <c r="N9" s="28">
        <f>(IF((E9 + 0.5*INDEX(Property_CF!$B$187:$AZ$187,1,$A9))&lt;=18200,0, IF((E9 + 0.5*INDEX(Property_CF!$B$187:$AZ$187,1,$A9))&lt;=45000,((E9 + 0.5*INDEX(Property_CF!$B$187:$AZ$187,1,$A9))-18200)*0.19, IF((E9 + 0.5*INDEX(Property_CF!$B$187:$AZ$187,1,$A9))&lt;=120000,5092+((E9 + 0.5*INDEX(Property_CF!$B$187:$AZ$187,1,$A9))-45000)*0.325, IF((E9 + 0.5*INDEX(Property_CF!$B$187:$AZ$187,1,$A9))&lt;=180000,29467+((E9 + 0.5*INDEX(Property_CF!$B$187:$AZ$187,1,$A9))-120000)*0.37, 51667+((E9 + 0.5*INDEX(Property_CF!$B$187:$AZ$187,1,$A9))-180000)*0.45)))))+((E9 + 0.5*INDEX(Property_CF!$B$187:$AZ$187,1,$A9)))*0.02</f>
        <v>68525.506699663136</v>
      </c>
      <c r="O9" s="28">
        <f>(IF((F9 + 0.5*INDEX(Property_CF!$B$187:$AZ$187,1,$A9))&lt;=18200,0, IF((F9 + 0.5*INDEX(Property_CF!$B$187:$AZ$187,1,$A9))&lt;=45000,((F9 + 0.5*INDEX(Property_CF!$B$187:$AZ$187,1,$A9))-18200)*0.19, IF((F9 + 0.5*INDEX(Property_CF!$B$187:$AZ$187,1,$A9))&lt;=120000,5092+((F9 + 0.5*INDEX(Property_CF!$B$187:$AZ$187,1,$A9))-45000)*0.325, IF((F9 + 0.5*INDEX(Property_CF!$B$187:$AZ$187,1,$A9))&lt;=180000,29467+((F9 + 0.5*INDEX(Property_CF!$B$187:$AZ$187,1,$A9))-120000)*0.37, 51667+((F9 + 0.5*INDEX(Property_CF!$B$187:$AZ$187,1,$A9))-180000)*0.45)))))+((F9 + 0.5*INDEX(Property_CF!$B$187:$AZ$187,1,$A9)))*0.02</f>
        <v>64765.506699663129</v>
      </c>
      <c r="P9" s="28">
        <f t="array" ref="P9">E9+F9+INDEX(Property_CF!$C$187:$AZ$187,1,$A9)</f>
        <v>411476.22302554443</v>
      </c>
      <c r="Q9" s="28">
        <f>Budget!$P$6</f>
        <v>76477.3</v>
      </c>
      <c r="R9" s="28">
        <f>SUM('Rental Tax &amp; Gearing'!$H$6:$H$8)</f>
        <v>-11228.78761669634</v>
      </c>
      <c r="S9" s="28">
        <f>IF($C9 &lt; Scenarios!$K$7,
    (P9 + R9 - Q9),
    0
)</f>
        <v>323770.13540884812</v>
      </c>
      <c r="T9" s="28">
        <f>IF($C9 &lt; Scenarios!$K$7,
 P9 - Budget!$P$6,
 0)</f>
        <v>334998.92302554444</v>
      </c>
      <c r="U9" s="28">
        <f>U8*(1+Scenarios!$K$8) + IF(C9&lt;Scenarios!$K$7, 'Superannuation (Inputs)'!$N$7, 0)</f>
        <v>1490206.567</v>
      </c>
      <c r="V9" s="28">
        <f>V8*(1+Scenarios!$K$11)</f>
        <v>1920664.6496310486</v>
      </c>
      <c r="W9" s="28">
        <f t="shared" si="6"/>
        <v>736292.97543325252</v>
      </c>
      <c r="X9" s="28">
        <f t="shared" si="0"/>
        <v>4147164.1920643011</v>
      </c>
      <c r="Y9" s="28">
        <f>IF(C9&gt;=Scenarios!$K$7, Profile!B12*(1+Scenarios!$K$10)^(C9-Scenarios!$K$7), 0)</f>
        <v>0</v>
      </c>
      <c r="Z9" s="28">
        <f t="shared" si="1"/>
        <v>4147164.1920643011</v>
      </c>
    </row>
    <row r="10" spans="1:26">
      <c r="A10" s="4">
        <f t="shared" si="2"/>
        <v>5</v>
      </c>
      <c r="B10" s="4">
        <f t="shared" si="5"/>
        <v>2030</v>
      </c>
      <c r="C10" s="61">
        <f t="shared" si="3"/>
        <v>52</v>
      </c>
      <c r="D10" s="65">
        <f t="shared" si="3"/>
        <v>45</v>
      </c>
      <c r="E10" s="28">
        <f>IF(
 $C10 &lt; Scenarios!$K$7,
 _xlfn.XLOOKUP($B10,'Income Schedule'!$A$5:$A$60,'Income Schedule'!$B$5:$B$60,0),
 IF(
  $C10 = Scenarios!$K$7,
  _xlfn.XLOOKUP($B10,'Income Schedule'!$A$5:$A$60,'Income Schedule'!$B$5:$B$60,0) * (1-Profile!$B$20),
  0
 )
)</f>
        <v>180000</v>
      </c>
      <c r="F10" s="28">
        <f>IF(
 $C10 &lt; (Scenarios!$K$15 + (Profile!$B$6-Profile!$B$7)),
 _xlfn.XLOOKUP($B10,'Income Schedule'!$A$5:$A$60,'Income Schedule'!$C$5:$C$60,0),
 IF(
  $C10 = (Scenarios!$K$15 + (Profile!$B$6-Profile!$B$7)),
  _xlfn.XLOOKUP($B10,'Income Schedule'!$A$5:$A$60,'Income Schedule'!$C$5:$C$60,0) * (1-Profile!$B$21),
  0
 )
)</f>
        <v>172000</v>
      </c>
      <c r="G10" s="28">
        <f>IF(
 $C10 &lt; Scenarios!$K$7,
 IF('Superannuation (Inputs)'!$I$6="Fixed",
    'Superannuation (Inputs)'!$C$6,
    'Superannuation (Inputs)'!$J$6
 ),
 IF(
  $C10 = Scenarios!$K$7,
  IF('Superannuation (Inputs)'!$I$6="Fixed",
     'Superannuation (Inputs)'!$C$6*(1-Profile!$B$20),
     'Superannuation (Inputs)'!$J$6
  ),
  0
 )
)</f>
        <v>5400</v>
      </c>
      <c r="H10" s="28">
        <f>G10 * 'Superannuation (Inputs)'!$H$6</f>
        <v>810</v>
      </c>
      <c r="I10" s="28">
        <f>IF(
 $C10 &lt; (Scenarios!$K$15 + (Profile!$B$6-Profile!$B$7)),
 IF('Superannuation (Inputs)'!$I$7="Fixed",
    'Superannuation (Inputs)'!$C$7,
    'Superannuation (Inputs)'!$J$7
 ),
 IF(
  $C10 = (Scenarios!$K$15 + (Profile!$B$6-Profile!$B$7)),
  IF('Superannuation (Inputs)'!$I$7="Fixed",
     'Superannuation (Inputs)'!$C$7*(1-Profile!$B$21),
     'Superannuation (Inputs)'!$J$7
  ),
  0
 )
)</f>
        <v>25564</v>
      </c>
      <c r="J10" s="28">
        <f>I10 * 'Superannuation (Inputs)'!$H$7</f>
        <v>3834.6</v>
      </c>
      <c r="K10" s="28">
        <f>K9*(1+Scenarios!$K$8) + G10-H10</f>
        <v>838421.5305262499</v>
      </c>
      <c r="L10" s="28">
        <f>L9*(1+Scenarios!$K$8) + H10-I10</f>
        <v>472387.5898152499</v>
      </c>
      <c r="M10" s="28">
        <f t="shared" si="4"/>
        <v>1310809.1203414998</v>
      </c>
      <c r="N10" s="28">
        <f>(IF((E10 + 0.5*INDEX(Property_CF!$B$187:$AZ$187,1,$A10))&lt;=18200,0, IF((E10 + 0.5*INDEX(Property_CF!$B$187:$AZ$187,1,$A10))&lt;=45000,((E10 + 0.5*INDEX(Property_CF!$B$187:$AZ$187,1,$A10))-18200)*0.19, IF((E10 + 0.5*INDEX(Property_CF!$B$187:$AZ$187,1,$A10))&lt;=120000,5092+((E10 + 0.5*INDEX(Property_CF!$B$187:$AZ$187,1,$A10))-45000)*0.325, IF((E10 + 0.5*INDEX(Property_CF!$B$187:$AZ$187,1,$A10))&lt;=180000,29467+((E10 + 0.5*INDEX(Property_CF!$B$187:$AZ$187,1,$A10))-120000)*0.37, 51667+((E10 + 0.5*INDEX(Property_CF!$B$187:$AZ$187,1,$A10))-180000)*0.45)))))+((E10 + 0.5*INDEX(Property_CF!$B$187:$AZ$187,1,$A10)))*0.02</f>
        <v>69243.912411002937</v>
      </c>
      <c r="O10" s="28">
        <f>(IF((F10 + 0.5*INDEX(Property_CF!$B$187:$AZ$187,1,$A10))&lt;=18200,0, IF((F10 + 0.5*INDEX(Property_CF!$B$187:$AZ$187,1,$A10))&lt;=45000,((F10 + 0.5*INDEX(Property_CF!$B$187:$AZ$187,1,$A10))-18200)*0.19, IF((F10 + 0.5*INDEX(Property_CF!$B$187:$AZ$187,1,$A10))&lt;=120000,5092+((F10 + 0.5*INDEX(Property_CF!$B$187:$AZ$187,1,$A10))-45000)*0.325, IF((F10 + 0.5*INDEX(Property_CF!$B$187:$AZ$187,1,$A10))&lt;=180000,29467+((F10 + 0.5*INDEX(Property_CF!$B$187:$AZ$187,1,$A10))-120000)*0.37, 51667+((F10 + 0.5*INDEX(Property_CF!$B$187:$AZ$187,1,$A10))-180000)*0.45)))))+((F10 + 0.5*INDEX(Property_CF!$B$187:$AZ$187,1,$A10)))*0.02</f>
        <v>65483.912411002944</v>
      </c>
      <c r="P10" s="28">
        <f t="array" ref="P10">E10+F10+INDEX(Property_CF!$C$187:$AZ$187,1,$A10)</f>
        <v>408289.16926217079</v>
      </c>
      <c r="Q10" s="28">
        <f>Budget!$P$6</f>
        <v>76477.3</v>
      </c>
      <c r="R10" s="28">
        <f>SUM('Rental Tax &amp; Gearing'!$H$6:$H$8)</f>
        <v>-11228.78761669634</v>
      </c>
      <c r="S10" s="28">
        <f>IF($C10 &lt; Scenarios!$K$7,
    (P10 + R10 - Q10),
    0
)</f>
        <v>320583.08164547448</v>
      </c>
      <c r="T10" s="28">
        <f>IF($C10 &lt; Scenarios!$K$7,
 P10 - Budget!$P$6,
 0)</f>
        <v>331811.8692621708</v>
      </c>
      <c r="U10" s="28">
        <f>U9*(1+Scenarios!$K$8) + IF(C10&lt;Scenarios!$K$7, 'Superannuation (Inputs)'!$N$7, 0)</f>
        <v>1642069.993855</v>
      </c>
      <c r="V10" s="28">
        <f>V9*(1+Scenarios!$K$11)</f>
        <v>2007094.5588644457</v>
      </c>
      <c r="W10" s="28">
        <f t="shared" si="6"/>
        <v>758381.76469625009</v>
      </c>
      <c r="X10" s="28">
        <f t="shared" si="0"/>
        <v>4407546.3174156956</v>
      </c>
      <c r="Y10" s="28">
        <f>IF(C10&gt;=Scenarios!$K$7, Profile!B13*(1+Scenarios!$K$10)^(C10-Scenarios!$K$7), 0)</f>
        <v>0</v>
      </c>
      <c r="Z10" s="28">
        <f t="shared" si="1"/>
        <v>4407546.3174156956</v>
      </c>
    </row>
    <row r="11" spans="1:26">
      <c r="A11" s="4">
        <f t="shared" si="2"/>
        <v>6</v>
      </c>
      <c r="B11" s="4">
        <f t="shared" si="5"/>
        <v>2031</v>
      </c>
      <c r="C11" s="61">
        <f t="shared" si="3"/>
        <v>53</v>
      </c>
      <c r="D11" s="65">
        <f t="shared" si="3"/>
        <v>46</v>
      </c>
      <c r="E11" s="28">
        <f>IF(
 $C11 &lt; Scenarios!$K$7,
 _xlfn.XLOOKUP($B11,'Income Schedule'!$A$5:$A$60,'Income Schedule'!$B$5:$B$60,0),
 IF(
  $C11 = Scenarios!$K$7,
  _xlfn.XLOOKUP($B11,'Income Schedule'!$A$5:$A$60,'Income Schedule'!$B$5:$B$60,0) * (1-Profile!$B$20),
  0
 )
)</f>
        <v>180000</v>
      </c>
      <c r="F11" s="28">
        <f>IF(
 $C11 &lt; (Scenarios!$K$15 + (Profile!$B$6-Profile!$B$7)),
 _xlfn.XLOOKUP($B11,'Income Schedule'!$A$5:$A$60,'Income Schedule'!$C$5:$C$60,0),
 IF(
  $C11 = (Scenarios!$K$15 + (Profile!$B$6-Profile!$B$7)),
  _xlfn.XLOOKUP($B11,'Income Schedule'!$A$5:$A$60,'Income Schedule'!$C$5:$C$60,0) * (1-Profile!$B$21),
  0
 )
)</f>
        <v>172000</v>
      </c>
      <c r="G11" s="28">
        <f>IF(
 $C11 &lt; Scenarios!$K$7,
 IF('Superannuation (Inputs)'!$I$6="Fixed",
    'Superannuation (Inputs)'!$C$6,
    'Superannuation (Inputs)'!$J$6
 ),
 IF(
  $C11 = Scenarios!$K$7,
  IF('Superannuation (Inputs)'!$I$6="Fixed",
     'Superannuation (Inputs)'!$C$6*(1-Profile!$B$20),
     'Superannuation (Inputs)'!$J$6
  ),
  0
 )
)</f>
        <v>5400</v>
      </c>
      <c r="H11" s="28">
        <f>G11 * 'Superannuation (Inputs)'!$H$6</f>
        <v>810</v>
      </c>
      <c r="I11" s="28">
        <f>IF(
 $C11 &lt; (Scenarios!$K$15 + (Profile!$B$6-Profile!$B$7)),
 IF('Superannuation (Inputs)'!$I$7="Fixed",
    'Superannuation (Inputs)'!$C$7,
    'Superannuation (Inputs)'!$J$7
 ),
 IF(
  $C11 = (Scenarios!$K$15 + (Profile!$B$6-Profile!$B$7)),
  IF('Superannuation (Inputs)'!$I$7="Fixed",
     'Superannuation (Inputs)'!$C$7*(1-Profile!$B$21),
     'Superannuation (Inputs)'!$J$7
  ),
  0
 )
)</f>
        <v>25564</v>
      </c>
      <c r="J11" s="28">
        <f>I11 * 'Superannuation (Inputs)'!$H$7</f>
        <v>3834.6</v>
      </c>
      <c r="K11" s="28">
        <f>K10*(1+Scenarios!$K$8) + G11-H11</f>
        <v>897508.93001045613</v>
      </c>
      <c r="L11" s="28">
        <f>L10*(1+Scenarios!$K$8) + H11-I11</f>
        <v>478338.78315324109</v>
      </c>
      <c r="M11" s="28">
        <f t="shared" si="4"/>
        <v>1375847.7131636972</v>
      </c>
      <c r="N11" s="28">
        <f>(IF((E11 + 0.5*INDEX(Property_CF!$B$187:$AZ$187,1,$A11))&lt;=18200,0, IF((E11 + 0.5*INDEX(Property_CF!$B$187:$AZ$187,1,$A11))&lt;=45000,((E11 + 0.5*INDEX(Property_CF!$B$187:$AZ$187,1,$A11))-18200)*0.19, IF((E11 + 0.5*INDEX(Property_CF!$B$187:$AZ$187,1,$A11))&lt;=120000,5092+((E11 + 0.5*INDEX(Property_CF!$B$187:$AZ$187,1,$A11))-45000)*0.325, IF((E11 + 0.5*INDEX(Property_CF!$B$187:$AZ$187,1,$A11))&lt;=180000,29467+((E11 + 0.5*INDEX(Property_CF!$B$187:$AZ$187,1,$A11))-120000)*0.37, 51667+((E11 + 0.5*INDEX(Property_CF!$B$187:$AZ$187,1,$A11))-180000)*0.45)))))+((E11 + 0.5*INDEX(Property_CF!$B$187:$AZ$187,1,$A11)))*0.02</f>
        <v>68494.954776610131</v>
      </c>
      <c r="O11" s="28">
        <f>(IF((F11 + 0.5*INDEX(Property_CF!$B$187:$AZ$187,1,$A11))&lt;=18200,0, IF((F11 + 0.5*INDEX(Property_CF!$B$187:$AZ$187,1,$A11))&lt;=45000,((F11 + 0.5*INDEX(Property_CF!$B$187:$AZ$187,1,$A11))-18200)*0.19, IF((F11 + 0.5*INDEX(Property_CF!$B$187:$AZ$187,1,$A11))&lt;=120000,5092+((F11 + 0.5*INDEX(Property_CF!$B$187:$AZ$187,1,$A11))-45000)*0.325, IF((F11 + 0.5*INDEX(Property_CF!$B$187:$AZ$187,1,$A11))&lt;=180000,29467+((F11 + 0.5*INDEX(Property_CF!$B$187:$AZ$187,1,$A11))-120000)*0.37, 51667+((F11 + 0.5*INDEX(Property_CF!$B$187:$AZ$187,1,$A11))-180000)*0.45)))))+((F11 + 0.5*INDEX(Property_CF!$B$187:$AZ$187,1,$A11)))*0.02</f>
        <v>64734.954776610131</v>
      </c>
      <c r="P11" s="28">
        <f t="array" ref="P11">E11+F11+INDEX(Property_CF!$C$187:$AZ$187,1,$A11)</f>
        <v>417350.86936948635</v>
      </c>
      <c r="Q11" s="28">
        <f>Budget!$P$6</f>
        <v>76477.3</v>
      </c>
      <c r="R11" s="28">
        <f>SUM('Rental Tax &amp; Gearing'!$H$6:$H$8)</f>
        <v>-11228.78761669634</v>
      </c>
      <c r="S11" s="28">
        <f>IF($C11 &lt; Scenarios!$K$7,
    (P11 + R11 - Q11),
    0
)</f>
        <v>329644.78175279003</v>
      </c>
      <c r="T11" s="28">
        <f>IF($C11 &lt; Scenarios!$K$7,
 P11 - Budget!$P$6,
 0)</f>
        <v>340873.56936948636</v>
      </c>
      <c r="U11" s="28">
        <f>U10*(1+Scenarios!$K$8) + IF(C11&lt;Scenarios!$K$7, 'Superannuation (Inputs)'!$N$7, 0)</f>
        <v>1803804.5434555749</v>
      </c>
      <c r="V11" s="28">
        <f>V10*(1+Scenarios!$K$11)</f>
        <v>2097413.8140133456</v>
      </c>
      <c r="W11" s="28">
        <f t="shared" si="6"/>
        <v>781133.21763713763</v>
      </c>
      <c r="X11" s="28">
        <f t="shared" si="0"/>
        <v>4682351.5751060583</v>
      </c>
      <c r="Y11" s="28">
        <f>IF(C11&gt;=Scenarios!$K$7, Profile!B14*(1+Scenarios!$K$10)^(C11-Scenarios!$K$7), 0)</f>
        <v>0</v>
      </c>
      <c r="Z11" s="28">
        <f t="shared" si="1"/>
        <v>4682351.5751060583</v>
      </c>
    </row>
    <row r="12" spans="1:26">
      <c r="A12" s="4">
        <f t="shared" si="2"/>
        <v>7</v>
      </c>
      <c r="B12" s="4">
        <f t="shared" si="5"/>
        <v>2032</v>
      </c>
      <c r="C12" s="61">
        <f t="shared" si="3"/>
        <v>54</v>
      </c>
      <c r="D12" s="65">
        <f t="shared" si="3"/>
        <v>47</v>
      </c>
      <c r="E12" s="28">
        <f>IF(
 $C12 &lt; Scenarios!$K$7,
 _xlfn.XLOOKUP($B12,'Income Schedule'!$A$5:$A$60,'Income Schedule'!$B$5:$B$60,0),
 IF(
  $C12 = Scenarios!$K$7,
  _xlfn.XLOOKUP($B12,'Income Schedule'!$A$5:$A$60,'Income Schedule'!$B$5:$B$60,0) * (1-Profile!$B$20),
  0
 )
)</f>
        <v>180000</v>
      </c>
      <c r="F12" s="28">
        <f>IF(
 $C12 &lt; (Scenarios!$K$15 + (Profile!$B$6-Profile!$B$7)),
 _xlfn.XLOOKUP($B12,'Income Schedule'!$A$5:$A$60,'Income Schedule'!$C$5:$C$60,0),
 IF(
  $C12 = (Scenarios!$K$15 + (Profile!$B$6-Profile!$B$7)),
  _xlfn.XLOOKUP($B12,'Income Schedule'!$A$5:$A$60,'Income Schedule'!$C$5:$C$60,0) * (1-Profile!$B$21),
  0
 )
)</f>
        <v>172000</v>
      </c>
      <c r="G12" s="28">
        <f>IF(
 $C12 &lt; Scenarios!$K$7,
 IF('Superannuation (Inputs)'!$I$6="Fixed",
    'Superannuation (Inputs)'!$C$6,
    'Superannuation (Inputs)'!$J$6
 ),
 IF(
  $C12 = Scenarios!$K$7,
  IF('Superannuation (Inputs)'!$I$6="Fixed",
     'Superannuation (Inputs)'!$C$6*(1-Profile!$B$20),
     'Superannuation (Inputs)'!$J$6
  ),
  0
 )
)</f>
        <v>5400</v>
      </c>
      <c r="H12" s="28">
        <f>G12 * 'Superannuation (Inputs)'!$H$6</f>
        <v>810</v>
      </c>
      <c r="I12" s="28">
        <f>IF(
 $C12 &lt; (Scenarios!$K$15 + (Profile!$B$6-Profile!$B$7)),
 IF('Superannuation (Inputs)'!$I$7="Fixed",
    'Superannuation (Inputs)'!$C$7,
    'Superannuation (Inputs)'!$J$7
 ),
 IF(
  $C12 = (Scenarios!$K$15 + (Profile!$B$6-Profile!$B$7)),
  IF('Superannuation (Inputs)'!$I$7="Fixed",
     'Superannuation (Inputs)'!$C$7*(1-Profile!$B$21),
     'Superannuation (Inputs)'!$J$7
  ),
  0
 )
)</f>
        <v>25564</v>
      </c>
      <c r="J12" s="28">
        <f>I12 * 'Superannuation (Inputs)'!$H$7</f>
        <v>3834.6</v>
      </c>
      <c r="K12" s="28">
        <f>K11*(1+Scenarios!$K$8) + G12-H12</f>
        <v>960437.01046113577</v>
      </c>
      <c r="L12" s="28">
        <f>L11*(1+Scenarios!$K$8) + H12-I12</f>
        <v>484676.80405820173</v>
      </c>
      <c r="M12" s="28">
        <f t="shared" si="4"/>
        <v>1445113.8145193374</v>
      </c>
      <c r="N12" s="28">
        <f>(IF((E12 + 0.5*INDEX(Property_CF!$B$187:$AZ$187,1,$A12))&lt;=18200,0, IF((E12 + 0.5*INDEX(Property_CF!$B$187:$AZ$187,1,$A12))&lt;=45000,((E12 + 0.5*INDEX(Property_CF!$B$187:$AZ$187,1,$A12))-18200)*0.19, IF((E12 + 0.5*INDEX(Property_CF!$B$187:$AZ$187,1,$A12))&lt;=120000,5092+((E12 + 0.5*INDEX(Property_CF!$B$187:$AZ$187,1,$A12))-45000)*0.325, IF((E12 + 0.5*INDEX(Property_CF!$B$187:$AZ$187,1,$A12))&lt;=180000,29467+((E12 + 0.5*INDEX(Property_CF!$B$187:$AZ$187,1,$A12))-120000)*0.37, 51667+((E12 + 0.5*INDEX(Property_CF!$B$187:$AZ$187,1,$A12))-180000)*0.45)))))+((E12 + 0.5*INDEX(Property_CF!$B$187:$AZ$187,1,$A12)))*0.02</f>
        <v>70624.45430182929</v>
      </c>
      <c r="O12" s="28">
        <f>(IF((F12 + 0.5*INDEX(Property_CF!$B$187:$AZ$187,1,$A12))&lt;=18200,0, IF((F12 + 0.5*INDEX(Property_CF!$B$187:$AZ$187,1,$A12))&lt;=45000,((F12 + 0.5*INDEX(Property_CF!$B$187:$AZ$187,1,$A12))-18200)*0.19, IF((F12 + 0.5*INDEX(Property_CF!$B$187:$AZ$187,1,$A12))&lt;=120000,5092+((F12 + 0.5*INDEX(Property_CF!$B$187:$AZ$187,1,$A12))-45000)*0.325, IF((F12 + 0.5*INDEX(Property_CF!$B$187:$AZ$187,1,$A12))&lt;=180000,29467+((F12 + 0.5*INDEX(Property_CF!$B$187:$AZ$187,1,$A12))-120000)*0.37, 51667+((F12 + 0.5*INDEX(Property_CF!$B$187:$AZ$187,1,$A12))-180000)*0.45)))))+((F12 + 0.5*INDEX(Property_CF!$B$187:$AZ$187,1,$A12)))*0.02</f>
        <v>66864.45430182929</v>
      </c>
      <c r="P12" s="28">
        <f t="array" ref="P12">E12+F12+INDEX(Property_CF!$C$187:$AZ$187,1,$A12)</f>
        <v>422811.48291215551</v>
      </c>
      <c r="Q12" s="28">
        <f>Budget!$P$6</f>
        <v>76477.3</v>
      </c>
      <c r="R12" s="28">
        <f>SUM('Rental Tax &amp; Gearing'!$H$6:$H$8)</f>
        <v>-11228.78761669634</v>
      </c>
      <c r="S12" s="28">
        <f>IF($C12 &lt; Scenarios!$K$7,
    (P12 + R12 - Q12),
    0
)</f>
        <v>335105.3952954592</v>
      </c>
      <c r="T12" s="28">
        <f>IF($C12 &lt; Scenarios!$K$7,
 P12 - Budget!$P$6,
 0)</f>
        <v>346334.18291215552</v>
      </c>
      <c r="U12" s="28">
        <f>U11*(1+Scenarios!$K$8) + IF(C12&lt;Scenarios!$K$7, 'Superannuation (Inputs)'!$N$7, 0)</f>
        <v>1976051.8387801871</v>
      </c>
      <c r="V12" s="28">
        <f>V11*(1+Scenarios!$K$11)</f>
        <v>2191797.4356439458</v>
      </c>
      <c r="W12" s="28">
        <f t="shared" si="6"/>
        <v>804567.21416625183</v>
      </c>
      <c r="X12" s="28">
        <f t="shared" si="0"/>
        <v>4972416.4885903848</v>
      </c>
      <c r="Y12" s="28">
        <f>IF(C12&gt;=Scenarios!$K$7, Profile!B15*(1+Scenarios!$K$10)^(C12-Scenarios!$K$7), 0)</f>
        <v>0</v>
      </c>
      <c r="Z12" s="28">
        <f t="shared" si="1"/>
        <v>4972416.4885903848</v>
      </c>
    </row>
    <row r="13" spans="1:26">
      <c r="A13" s="4">
        <f t="shared" si="2"/>
        <v>8</v>
      </c>
      <c r="B13" s="4">
        <f t="shared" si="5"/>
        <v>2033</v>
      </c>
      <c r="C13" s="61">
        <f t="shared" si="3"/>
        <v>55</v>
      </c>
      <c r="D13" s="65">
        <f t="shared" si="3"/>
        <v>48</v>
      </c>
      <c r="E13" s="28">
        <f>IF(
 $C13 &lt; Scenarios!$K$7,
 _xlfn.XLOOKUP($B13,'Income Schedule'!$A$5:$A$60,'Income Schedule'!$B$5:$B$60,0),
 IF(
  $C13 = Scenarios!$K$7,
  _xlfn.XLOOKUP($B13,'Income Schedule'!$A$5:$A$60,'Income Schedule'!$B$5:$B$60,0) * (1-Profile!$B$20),
  0
 )
)</f>
        <v>180000</v>
      </c>
      <c r="F13" s="28">
        <f>IF(
 $C13 &lt; (Scenarios!$K$15 + (Profile!$B$6-Profile!$B$7)),
 _xlfn.XLOOKUP($B13,'Income Schedule'!$A$5:$A$60,'Income Schedule'!$C$5:$C$60,0),
 IF(
  $C13 = (Scenarios!$K$15 + (Profile!$B$6-Profile!$B$7)),
  _xlfn.XLOOKUP($B13,'Income Schedule'!$A$5:$A$60,'Income Schedule'!$C$5:$C$60,0) * (1-Profile!$B$21),
  0
 )
)</f>
        <v>172000</v>
      </c>
      <c r="G13" s="28">
        <f>IF(
 $C13 &lt; Scenarios!$K$7,
 IF('Superannuation (Inputs)'!$I$6="Fixed",
    'Superannuation (Inputs)'!$C$6,
    'Superannuation (Inputs)'!$J$6
 ),
 IF(
  $C13 = Scenarios!$K$7,
  IF('Superannuation (Inputs)'!$I$6="Fixed",
     'Superannuation (Inputs)'!$C$6*(1-Profile!$B$20),
     'Superannuation (Inputs)'!$J$6
  ),
  0
 )
)</f>
        <v>5400</v>
      </c>
      <c r="H13" s="28">
        <f>G13 * 'Superannuation (Inputs)'!$H$6</f>
        <v>810</v>
      </c>
      <c r="I13" s="28">
        <f>IF(
 $C13 &lt; (Scenarios!$K$15 + (Profile!$B$6-Profile!$B$7)),
 IF('Superannuation (Inputs)'!$I$7="Fixed",
    'Superannuation (Inputs)'!$C$7,
    'Superannuation (Inputs)'!$J$7
 ),
 IF(
  $C13 = (Scenarios!$K$15 + (Profile!$B$6-Profile!$B$7)),
  IF('Superannuation (Inputs)'!$I$7="Fixed",
     'Superannuation (Inputs)'!$C$7*(1-Profile!$B$21),
     'Superannuation (Inputs)'!$J$7
  ),
  0
 )
)</f>
        <v>25564</v>
      </c>
      <c r="J13" s="28">
        <f>I13 * 'Superannuation (Inputs)'!$H$7</f>
        <v>3834.6</v>
      </c>
      <c r="K13" s="28">
        <f>K12*(1+Scenarios!$K$8) + G13-H13</f>
        <v>1027455.4161411095</v>
      </c>
      <c r="L13" s="28">
        <f>L12*(1+Scenarios!$K$8) + H13-I13</f>
        <v>491426.79632198479</v>
      </c>
      <c r="M13" s="28">
        <f t="shared" si="4"/>
        <v>1518882.2124630944</v>
      </c>
      <c r="N13" s="28">
        <f>(IF((E13 + 0.5*INDEX(Property_CF!$B$187:$AZ$187,1,$A13))&lt;=18200,0, IF((E13 + 0.5*INDEX(Property_CF!$B$187:$AZ$187,1,$A13))&lt;=45000,((E13 + 0.5*INDEX(Property_CF!$B$187:$AZ$187,1,$A13))-18200)*0.19, IF((E13 + 0.5*INDEX(Property_CF!$B$187:$AZ$187,1,$A13))&lt;=120000,5092+((E13 + 0.5*INDEX(Property_CF!$B$187:$AZ$187,1,$A13))-45000)*0.325, IF((E13 + 0.5*INDEX(Property_CF!$B$187:$AZ$187,1,$A13))&lt;=180000,29467+((E13 + 0.5*INDEX(Property_CF!$B$187:$AZ$187,1,$A13))-120000)*0.37, 51667+((E13 + 0.5*INDEX(Property_CF!$B$187:$AZ$187,1,$A13))-180000)*0.45)))))+((E13 + 0.5*INDEX(Property_CF!$B$187:$AZ$187,1,$A13)))*0.02</f>
        <v>71907.698484356544</v>
      </c>
      <c r="O13" s="28">
        <f>(IF((F13 + 0.5*INDEX(Property_CF!$B$187:$AZ$187,1,$A13))&lt;=18200,0, IF((F13 + 0.5*INDEX(Property_CF!$B$187:$AZ$187,1,$A13))&lt;=45000,((F13 + 0.5*INDEX(Property_CF!$B$187:$AZ$187,1,$A13))-18200)*0.19, IF((F13 + 0.5*INDEX(Property_CF!$B$187:$AZ$187,1,$A13))&lt;=120000,5092+((F13 + 0.5*INDEX(Property_CF!$B$187:$AZ$187,1,$A13))-45000)*0.325, IF((F13 + 0.5*INDEX(Property_CF!$B$187:$AZ$187,1,$A13))&lt;=180000,29467+((F13 + 0.5*INDEX(Property_CF!$B$187:$AZ$187,1,$A13))-120000)*0.37, 51667+((F13 + 0.5*INDEX(Property_CF!$B$187:$AZ$187,1,$A13))-180000)*0.45)))))+((F13 + 0.5*INDEX(Property_CF!$B$187:$AZ$187,1,$A13)))*0.02</f>
        <v>68147.698484356544</v>
      </c>
      <c r="P13" s="28">
        <f t="array" ref="P13">E13+F13+INDEX(Property_CF!$C$187:$AZ$187,1,$A13)</f>
        <v>428497.14567010867</v>
      </c>
      <c r="Q13" s="28">
        <f>Budget!$P$6</f>
        <v>76477.3</v>
      </c>
      <c r="R13" s="28">
        <f>SUM('Rental Tax &amp; Gearing'!$H$6:$H$8)</f>
        <v>-11228.78761669634</v>
      </c>
      <c r="S13" s="28">
        <f>IF($C13 &lt; Scenarios!$K$7,
    (P13 + R13 - Q13),
    0
)</f>
        <v>340791.05805341236</v>
      </c>
      <c r="T13" s="28">
        <f>IF($C13 &lt; Scenarios!$K$7,
 P13 - Budget!$P$6,
 0)</f>
        <v>352019.84567010868</v>
      </c>
      <c r="U13" s="28">
        <f>U12*(1+Scenarios!$K$8) + IF(C13&lt;Scenarios!$K$7, 'Superannuation (Inputs)'!$N$7, 0)</f>
        <v>2159495.2083008992</v>
      </c>
      <c r="V13" s="28">
        <f>V12*(1+Scenarios!$K$11)</f>
        <v>2290428.320247923</v>
      </c>
      <c r="W13" s="28">
        <f t="shared" si="6"/>
        <v>828704.23059123941</v>
      </c>
      <c r="X13" s="28">
        <f t="shared" si="0"/>
        <v>5278627.7591400612</v>
      </c>
      <c r="Y13" s="28">
        <f>IF(C13&gt;=Scenarios!$K$7, Profile!B16*(1+Scenarios!$K$10)^(C13-Scenarios!$K$7), 0)</f>
        <v>0</v>
      </c>
      <c r="Z13" s="28">
        <f t="shared" si="1"/>
        <v>5278627.7591400612</v>
      </c>
    </row>
    <row r="14" spans="1:26">
      <c r="A14" s="4">
        <f t="shared" si="2"/>
        <v>9</v>
      </c>
      <c r="B14" s="4">
        <f t="shared" si="5"/>
        <v>2034</v>
      </c>
      <c r="C14" s="61">
        <f t="shared" si="3"/>
        <v>56</v>
      </c>
      <c r="D14" s="65">
        <f t="shared" si="3"/>
        <v>49</v>
      </c>
      <c r="E14" s="28">
        <f>IF(
 $C14 &lt; Scenarios!$K$7,
 _xlfn.XLOOKUP($B14,'Income Schedule'!$A$5:$A$60,'Income Schedule'!$B$5:$B$60,0),
 IF(
  $C14 = Scenarios!$K$7,
  _xlfn.XLOOKUP($B14,'Income Schedule'!$A$5:$A$60,'Income Schedule'!$B$5:$B$60,0) * (1-Profile!$B$20),
  0
 )
)</f>
        <v>180000</v>
      </c>
      <c r="F14" s="28">
        <f>IF(
 $C14 &lt; (Scenarios!$K$15 + (Profile!$B$6-Profile!$B$7)),
 _xlfn.XLOOKUP($B14,'Income Schedule'!$A$5:$A$60,'Income Schedule'!$C$5:$C$60,0),
 IF(
  $C14 = (Scenarios!$K$15 + (Profile!$B$6-Profile!$B$7)),
  _xlfn.XLOOKUP($B14,'Income Schedule'!$A$5:$A$60,'Income Schedule'!$C$5:$C$60,0) * (1-Profile!$B$21),
  0
 )
)</f>
        <v>172000</v>
      </c>
      <c r="G14" s="28">
        <f>IF(
 $C14 &lt; Scenarios!$K$7,
 IF('Superannuation (Inputs)'!$I$6="Fixed",
    'Superannuation (Inputs)'!$C$6,
    'Superannuation (Inputs)'!$J$6
 ),
 IF(
  $C14 = Scenarios!$K$7,
  IF('Superannuation (Inputs)'!$I$6="Fixed",
     'Superannuation (Inputs)'!$C$6*(1-Profile!$B$20),
     'Superannuation (Inputs)'!$J$6
  ),
  0
 )
)</f>
        <v>5400</v>
      </c>
      <c r="H14" s="28">
        <f>G14 * 'Superannuation (Inputs)'!$H$6</f>
        <v>810</v>
      </c>
      <c r="I14" s="28">
        <f>IF(
 $C14 &lt; (Scenarios!$K$15 + (Profile!$B$6-Profile!$B$7)),
 IF('Superannuation (Inputs)'!$I$7="Fixed",
    'Superannuation (Inputs)'!$C$7,
    'Superannuation (Inputs)'!$J$7
 ),
 IF(
  $C14 = (Scenarios!$K$15 + (Profile!$B$6-Profile!$B$7)),
  IF('Superannuation (Inputs)'!$I$7="Fixed",
     'Superannuation (Inputs)'!$C$7*(1-Profile!$B$21),
     'Superannuation (Inputs)'!$J$7
  ),
  0
 )
)</f>
        <v>25564</v>
      </c>
      <c r="J14" s="28">
        <f>I14 * 'Superannuation (Inputs)'!$H$7</f>
        <v>3834.6</v>
      </c>
      <c r="K14" s="28">
        <f>K13*(1+Scenarios!$K$8) + G14-H14</f>
        <v>1098830.0181902817</v>
      </c>
      <c r="L14" s="28">
        <f>L13*(1+Scenarios!$K$8) + H14-I14</f>
        <v>498615.53808291379</v>
      </c>
      <c r="M14" s="28">
        <f t="shared" si="4"/>
        <v>1597445.5562731954</v>
      </c>
      <c r="N14" s="28">
        <f>(IF((E14 + 0.5*INDEX(Property_CF!$B$187:$AZ$187,1,$A14))&lt;=18200,0, IF((E14 + 0.5*INDEX(Property_CF!$B$187:$AZ$187,1,$A14))&lt;=45000,((E14 + 0.5*INDEX(Property_CF!$B$187:$AZ$187,1,$A14))-18200)*0.19, IF((E14 + 0.5*INDEX(Property_CF!$B$187:$AZ$187,1,$A14))&lt;=120000,5092+((E14 + 0.5*INDEX(Property_CF!$B$187:$AZ$187,1,$A14))-45000)*0.325, IF((E14 + 0.5*INDEX(Property_CF!$B$187:$AZ$187,1,$A14))&lt;=180000,29467+((E14 + 0.5*INDEX(Property_CF!$B$187:$AZ$187,1,$A14))-120000)*0.37, 51667+((E14 + 0.5*INDEX(Property_CF!$B$187:$AZ$187,1,$A14))-180000)*0.45)))))+((E14 + 0.5*INDEX(Property_CF!$B$187:$AZ$187,1,$A14)))*0.02</f>
        <v>73243.829232475531</v>
      </c>
      <c r="O14" s="28">
        <f>(IF((F14 + 0.5*INDEX(Property_CF!$B$187:$AZ$187,1,$A14))&lt;=18200,0, IF((F14 + 0.5*INDEX(Property_CF!$B$187:$AZ$187,1,$A14))&lt;=45000,((F14 + 0.5*INDEX(Property_CF!$B$187:$AZ$187,1,$A14))-18200)*0.19, IF((F14 + 0.5*INDEX(Property_CF!$B$187:$AZ$187,1,$A14))&lt;=120000,5092+((F14 + 0.5*INDEX(Property_CF!$B$187:$AZ$187,1,$A14))-45000)*0.325, IF((F14 + 0.5*INDEX(Property_CF!$B$187:$AZ$187,1,$A14))&lt;=180000,29467+((F14 + 0.5*INDEX(Property_CF!$B$187:$AZ$187,1,$A14))-120000)*0.37, 51667+((F14 + 0.5*INDEX(Property_CF!$B$187:$AZ$187,1,$A14))-180000)*0.45)))))+((F14 + 0.5*INDEX(Property_CF!$B$187:$AZ$187,1,$A14)))*0.02</f>
        <v>69483.829232475531</v>
      </c>
      <c r="P14" s="28">
        <f t="array" ref="P14">E14+F14+INDEX(Property_CF!$C$187:$AZ$187,1,$A14)</f>
        <v>430033.07022457162</v>
      </c>
      <c r="Q14" s="28">
        <f>Budget!$P$6</f>
        <v>76477.3</v>
      </c>
      <c r="R14" s="28">
        <f>SUM('Rental Tax &amp; Gearing'!$H$6:$H$8)</f>
        <v>-11228.78761669634</v>
      </c>
      <c r="S14" s="28">
        <f>IF($C14 &lt; Scenarios!$K$7,
    (P14 + R14 - Q14),
    0
)</f>
        <v>342326.98260787531</v>
      </c>
      <c r="T14" s="28">
        <f>IF($C14 &lt; Scenarios!$K$7,
 P14 - Budget!$P$6,
 0)</f>
        <v>353555.77022457164</v>
      </c>
      <c r="U14" s="28">
        <f>U13*(1+Scenarios!$K$8) + IF(C14&lt;Scenarios!$K$7, 'Superannuation (Inputs)'!$N$7, 0)</f>
        <v>2354862.3968404578</v>
      </c>
      <c r="V14" s="28">
        <f>V13*(1+Scenarios!$K$11)</f>
        <v>2393497.5946590793</v>
      </c>
      <c r="W14" s="28">
        <f t="shared" si="6"/>
        <v>853565.35750897659</v>
      </c>
      <c r="X14" s="28">
        <f t="shared" si="0"/>
        <v>5601925.3490085145</v>
      </c>
      <c r="Y14" s="28">
        <f>IF(C14&gt;=Scenarios!$K$7, Profile!B17*(1+Scenarios!$K$10)^(C14-Scenarios!$K$7), 0)</f>
        <v>0</v>
      </c>
      <c r="Z14" s="28">
        <f t="shared" si="1"/>
        <v>5601925.3490085145</v>
      </c>
    </row>
    <row r="15" spans="1:26">
      <c r="A15" s="4">
        <f t="shared" si="2"/>
        <v>10</v>
      </c>
      <c r="B15" s="4">
        <f t="shared" si="5"/>
        <v>2035</v>
      </c>
      <c r="C15" s="61">
        <f t="shared" si="3"/>
        <v>57</v>
      </c>
      <c r="D15" s="65">
        <f t="shared" si="3"/>
        <v>50</v>
      </c>
      <c r="E15" s="28">
        <f>IF(
 $C15 &lt; Scenarios!$K$7,
 _xlfn.XLOOKUP($B15,'Income Schedule'!$A$5:$A$60,'Income Schedule'!$B$5:$B$60,0),
 IF(
  $C15 = Scenarios!$K$7,
  _xlfn.XLOOKUP($B15,'Income Schedule'!$A$5:$A$60,'Income Schedule'!$B$5:$B$60,0) * (1-Profile!$B$20),
  0
 )
)</f>
        <v>180000</v>
      </c>
      <c r="F15" s="28">
        <f>IF(
 $C15 &lt; (Scenarios!$K$15 + (Profile!$B$6-Profile!$B$7)),
 _xlfn.XLOOKUP($B15,'Income Schedule'!$A$5:$A$60,'Income Schedule'!$C$5:$C$60,0),
 IF(
  $C15 = (Scenarios!$K$15 + (Profile!$B$6-Profile!$B$7)),
  _xlfn.XLOOKUP($B15,'Income Schedule'!$A$5:$A$60,'Income Schedule'!$C$5:$C$60,0) * (1-Profile!$B$21),
  0
 )
)</f>
        <v>172000</v>
      </c>
      <c r="G15" s="28">
        <f>IF(
 $C15 &lt; Scenarios!$K$7,
 IF('Superannuation (Inputs)'!$I$6="Fixed",
    'Superannuation (Inputs)'!$C$6,
    'Superannuation (Inputs)'!$J$6
 ),
 IF(
  $C15 = Scenarios!$K$7,
  IF('Superannuation (Inputs)'!$I$6="Fixed",
     'Superannuation (Inputs)'!$C$6*(1-Profile!$B$20),
     'Superannuation (Inputs)'!$J$6
  ),
  0
 )
)</f>
        <v>5400</v>
      </c>
      <c r="H15" s="28">
        <f>G15 * 'Superannuation (Inputs)'!$H$6</f>
        <v>810</v>
      </c>
      <c r="I15" s="28">
        <f>IF(
 $C15 &lt; (Scenarios!$K$15 + (Profile!$B$6-Profile!$B$7)),
 IF('Superannuation (Inputs)'!$I$7="Fixed",
    'Superannuation (Inputs)'!$C$7,
    'Superannuation (Inputs)'!$J$7
 ),
 IF(
  $C15 = (Scenarios!$K$15 + (Profile!$B$6-Profile!$B$7)),
  IF('Superannuation (Inputs)'!$I$7="Fixed",
     'Superannuation (Inputs)'!$C$7*(1-Profile!$B$21),
     'Superannuation (Inputs)'!$J$7
  ),
  0
 )
)</f>
        <v>25564</v>
      </c>
      <c r="J15" s="28">
        <f>I15 * 'Superannuation (Inputs)'!$H$7</f>
        <v>3834.6</v>
      </c>
      <c r="K15" s="28">
        <f>K14*(1+Scenarios!$K$8) + G15-H15</f>
        <v>1174843.9693726499</v>
      </c>
      <c r="L15" s="28">
        <f>L14*(1+Scenarios!$K$8) + H15-I15</f>
        <v>506271.54805830319</v>
      </c>
      <c r="M15" s="28">
        <f t="shared" si="4"/>
        <v>1681115.5174309532</v>
      </c>
      <c r="N15" s="28">
        <f>(IF((E15 + 0.5*INDEX(Property_CF!$B$187:$AZ$187,1,$A15))&lt;=18200,0, IF((E15 + 0.5*INDEX(Property_CF!$B$187:$AZ$187,1,$A15))&lt;=45000,((E15 + 0.5*INDEX(Property_CF!$B$187:$AZ$187,1,$A15))-18200)*0.19, IF((E15 + 0.5*INDEX(Property_CF!$B$187:$AZ$187,1,$A15))&lt;=120000,5092+((E15 + 0.5*INDEX(Property_CF!$B$187:$AZ$187,1,$A15))-45000)*0.325, IF((E15 + 0.5*INDEX(Property_CF!$B$187:$AZ$187,1,$A15))&lt;=180000,29467+((E15 + 0.5*INDEX(Property_CF!$B$187:$AZ$187,1,$A15))-120000)*0.37, 51667+((E15 + 0.5*INDEX(Property_CF!$B$187:$AZ$187,1,$A15))-180000)*0.45)))))+((E15 + 0.5*INDEX(Property_CF!$B$187:$AZ$187,1,$A15)))*0.02</f>
        <v>73604.77150277434</v>
      </c>
      <c r="O15" s="28">
        <f>(IF((F15 + 0.5*INDEX(Property_CF!$B$187:$AZ$187,1,$A15))&lt;=18200,0, IF((F15 + 0.5*INDEX(Property_CF!$B$187:$AZ$187,1,$A15))&lt;=45000,((F15 + 0.5*INDEX(Property_CF!$B$187:$AZ$187,1,$A15))-18200)*0.19, IF((F15 + 0.5*INDEX(Property_CF!$B$187:$AZ$187,1,$A15))&lt;=120000,5092+((F15 + 0.5*INDEX(Property_CF!$B$187:$AZ$187,1,$A15))-45000)*0.325, IF((F15 + 0.5*INDEX(Property_CF!$B$187:$AZ$187,1,$A15))&lt;=180000,29467+((F15 + 0.5*INDEX(Property_CF!$B$187:$AZ$187,1,$A15))-120000)*0.37, 51667+((F15 + 0.5*INDEX(Property_CF!$B$187:$AZ$187,1,$A15))-180000)*0.45)))))+((F15 + 0.5*INDEX(Property_CF!$B$187:$AZ$187,1,$A15)))*0.02</f>
        <v>69844.771502774325</v>
      </c>
      <c r="P15" s="28">
        <f t="array" ref="P15">E15+F15+INDEX(Property_CF!$C$187:$AZ$187,1,$A15)</f>
        <v>440585.8599687643</v>
      </c>
      <c r="Q15" s="28">
        <f>Budget!$P$6</f>
        <v>76477.3</v>
      </c>
      <c r="R15" s="28">
        <f>SUM('Rental Tax &amp; Gearing'!$H$6:$H$8)</f>
        <v>-11228.78761669634</v>
      </c>
      <c r="S15" s="28">
        <f>IF($C15 &lt; Scenarios!$K$7,
    (P15 + R15 - Q15),
    0
)</f>
        <v>352879.77235206799</v>
      </c>
      <c r="T15" s="28">
        <f>IF($C15 &lt; Scenarios!$K$7,
 P15 - Budget!$P$6,
 0)</f>
        <v>364108.55996876431</v>
      </c>
      <c r="U15" s="28">
        <f>U14*(1+Scenarios!$K$8) + IF(C15&lt;Scenarios!$K$7, 'Superannuation (Inputs)'!$N$7, 0)</f>
        <v>2562928.4526350875</v>
      </c>
      <c r="V15" s="28">
        <f>V14*(1+Scenarios!$K$11)</f>
        <v>2501204.9864187376</v>
      </c>
      <c r="W15" s="28">
        <f t="shared" si="6"/>
        <v>879172.31823424587</v>
      </c>
      <c r="X15" s="28">
        <f t="shared" si="0"/>
        <v>5943305.7572880713</v>
      </c>
      <c r="Y15" s="28">
        <f>IF(C15&gt;=Scenarios!$K$7, Profile!B18*(1+Scenarios!$K$10)^(C15-Scenarios!$K$7), 0)</f>
        <v>0</v>
      </c>
      <c r="Z15" s="28">
        <f t="shared" si="1"/>
        <v>5943305.7572880713</v>
      </c>
    </row>
    <row r="16" spans="1:26">
      <c r="A16" s="4">
        <f t="shared" si="2"/>
        <v>11</v>
      </c>
      <c r="B16" s="4">
        <f t="shared" si="5"/>
        <v>2036</v>
      </c>
      <c r="C16" s="61">
        <f t="shared" si="3"/>
        <v>58</v>
      </c>
      <c r="D16" s="65">
        <f t="shared" si="3"/>
        <v>51</v>
      </c>
      <c r="E16" s="28">
        <f>IF(
 $C16 &lt; Scenarios!$K$7,
 _xlfn.XLOOKUP($B16,'Income Schedule'!$A$5:$A$60,'Income Schedule'!$B$5:$B$60,0),
 IF(
  $C16 = Scenarios!$K$7,
  _xlfn.XLOOKUP($B16,'Income Schedule'!$A$5:$A$60,'Income Schedule'!$B$5:$B$60,0) * (1-Profile!$B$20),
  0
 )
)</f>
        <v>180000</v>
      </c>
      <c r="F16" s="28">
        <f>IF(
 $C16 &lt; (Scenarios!$K$15 + (Profile!$B$6-Profile!$B$7)),
 _xlfn.XLOOKUP($B16,'Income Schedule'!$A$5:$A$60,'Income Schedule'!$C$5:$C$60,0),
 IF(
  $C16 = (Scenarios!$K$15 + (Profile!$B$6-Profile!$B$7)),
  _xlfn.XLOOKUP($B16,'Income Schedule'!$A$5:$A$60,'Income Schedule'!$C$5:$C$60,0) * (1-Profile!$B$21),
  0
 )
)</f>
        <v>172000</v>
      </c>
      <c r="G16" s="28">
        <f>IF(
 $C16 &lt; Scenarios!$K$7,
 IF('Superannuation (Inputs)'!$I$6="Fixed",
    'Superannuation (Inputs)'!$C$6,
    'Superannuation (Inputs)'!$J$6
 ),
 IF(
  $C16 = Scenarios!$K$7,
  IF('Superannuation (Inputs)'!$I$6="Fixed",
     'Superannuation (Inputs)'!$C$6*(1-Profile!$B$20),
     'Superannuation (Inputs)'!$J$6
  ),
  0
 )
)</f>
        <v>5400</v>
      </c>
      <c r="H16" s="28">
        <f>G16 * 'Superannuation (Inputs)'!$H$6</f>
        <v>810</v>
      </c>
      <c r="I16" s="28">
        <f>IF(
 $C16 &lt; (Scenarios!$K$15 + (Profile!$B$6-Profile!$B$7)),
 IF('Superannuation (Inputs)'!$I$7="Fixed",
    'Superannuation (Inputs)'!$C$7,
    'Superannuation (Inputs)'!$J$7
 ),
 IF(
  $C16 = (Scenarios!$K$15 + (Profile!$B$6-Profile!$B$7)),
  IF('Superannuation (Inputs)'!$I$7="Fixed",
     'Superannuation (Inputs)'!$C$7*(1-Profile!$B$21),
     'Superannuation (Inputs)'!$J$7
  ),
  0
 )
)</f>
        <v>25564</v>
      </c>
      <c r="J16" s="28">
        <f>I16 * 'Superannuation (Inputs)'!$H$7</f>
        <v>3834.6</v>
      </c>
      <c r="K16" s="28">
        <f>K15*(1+Scenarios!$K$8) + G16-H16</f>
        <v>1255798.8273818721</v>
      </c>
      <c r="L16" s="28">
        <f>L15*(1+Scenarios!$K$8) + H16-I16</f>
        <v>514425.19868209283</v>
      </c>
      <c r="M16" s="28">
        <f t="shared" si="4"/>
        <v>1770224.0260639649</v>
      </c>
      <c r="N16" s="28">
        <f>(IF((E16 + 0.5*INDEX(Property_CF!$B$187:$AZ$187,1,$A16))&lt;=18200,0, IF((E16 + 0.5*INDEX(Property_CF!$B$187:$AZ$187,1,$A16))&lt;=45000,((E16 + 0.5*INDEX(Property_CF!$B$187:$AZ$187,1,$A16))-18200)*0.19, IF((E16 + 0.5*INDEX(Property_CF!$B$187:$AZ$187,1,$A16))&lt;=120000,5092+((E16 + 0.5*INDEX(Property_CF!$B$187:$AZ$187,1,$A16))-45000)*0.325, IF((E16 + 0.5*INDEX(Property_CF!$B$187:$AZ$187,1,$A16))&lt;=180000,29467+((E16 + 0.5*INDEX(Property_CF!$B$187:$AZ$187,1,$A16))-120000)*0.37, 51667+((E16 + 0.5*INDEX(Property_CF!$B$187:$AZ$187,1,$A16))-180000)*0.45)))))+((E16 + 0.5*INDEX(Property_CF!$B$187:$AZ$187,1,$A16)))*0.02</f>
        <v>76084.677092659607</v>
      </c>
      <c r="O16" s="28">
        <f>(IF((F16 + 0.5*INDEX(Property_CF!$B$187:$AZ$187,1,$A16))&lt;=18200,0, IF((F16 + 0.5*INDEX(Property_CF!$B$187:$AZ$187,1,$A16))&lt;=45000,((F16 + 0.5*INDEX(Property_CF!$B$187:$AZ$187,1,$A16))-18200)*0.19, IF((F16 + 0.5*INDEX(Property_CF!$B$187:$AZ$187,1,$A16))&lt;=120000,5092+((F16 + 0.5*INDEX(Property_CF!$B$187:$AZ$187,1,$A16))-45000)*0.325, IF((F16 + 0.5*INDEX(Property_CF!$B$187:$AZ$187,1,$A16))&lt;=180000,29467+((F16 + 0.5*INDEX(Property_CF!$B$187:$AZ$187,1,$A16))-120000)*0.37, 51667+((F16 + 0.5*INDEX(Property_CF!$B$187:$AZ$187,1,$A16))-180000)*0.45)))))+((F16 + 0.5*INDEX(Property_CF!$B$187:$AZ$187,1,$A16)))*0.02</f>
        <v>72324.677092659607</v>
      </c>
      <c r="P16" s="28">
        <f t="array" ref="P16">E16+F16+INDEX(Property_CF!$C$187:$AZ$187,1,$A16)</f>
        <v>447009.79770593724</v>
      </c>
      <c r="Q16" s="28">
        <f>Budget!$P$6</f>
        <v>76477.3</v>
      </c>
      <c r="R16" s="28">
        <f>SUM('Rental Tax &amp; Gearing'!$H$6:$H$8)</f>
        <v>-11228.78761669634</v>
      </c>
      <c r="S16" s="28">
        <f>IF($C16 &lt; Scenarios!$K$7,
    (P16 + R16 - Q16),
    0
)</f>
        <v>359303.71008924092</v>
      </c>
      <c r="T16" s="28">
        <f>IF($C16 &lt; Scenarios!$K$7,
 P16 - Budget!$P$6,
 0)</f>
        <v>370532.49770593725</v>
      </c>
      <c r="U16" s="28">
        <f>U15*(1+Scenarios!$K$8) + IF(C16&lt;Scenarios!$K$7, 'Superannuation (Inputs)'!$N$7, 0)</f>
        <v>2784518.802056368</v>
      </c>
      <c r="V16" s="28">
        <f>V15*(1+Scenarios!$K$11)</f>
        <v>2613759.2108075805</v>
      </c>
      <c r="W16" s="28">
        <f t="shared" si="6"/>
        <v>905547.48778127332</v>
      </c>
      <c r="X16" s="28">
        <f t="shared" si="0"/>
        <v>6303825.5006452221</v>
      </c>
      <c r="Y16" s="28">
        <f>IF(C16&gt;=Scenarios!$K$7, Profile!B19*(1+Scenarios!$K$10)^(C16-Scenarios!$K$7), 0)</f>
        <v>0</v>
      </c>
      <c r="Z16" s="28">
        <f t="shared" si="1"/>
        <v>6303825.5006452221</v>
      </c>
    </row>
    <row r="17" spans="1:26">
      <c r="A17" s="4">
        <f t="shared" si="2"/>
        <v>12</v>
      </c>
      <c r="B17" s="4">
        <f t="shared" si="5"/>
        <v>2037</v>
      </c>
      <c r="C17" s="61">
        <f t="shared" si="3"/>
        <v>59</v>
      </c>
      <c r="D17" s="65">
        <f t="shared" si="3"/>
        <v>52</v>
      </c>
      <c r="E17" s="28">
        <f>IF(
 $C17 &lt; Scenarios!$K$7,
 _xlfn.XLOOKUP($B17,'Income Schedule'!$A$5:$A$60,'Income Schedule'!$B$5:$B$60,0),
 IF(
  $C17 = Scenarios!$K$7,
  _xlfn.XLOOKUP($B17,'Income Schedule'!$A$5:$A$60,'Income Schedule'!$B$5:$B$60,0) * (1-Profile!$B$20),
  0
 )
)</f>
        <v>180000</v>
      </c>
      <c r="F17" s="28">
        <f>IF(
 $C17 &lt; (Scenarios!$K$15 + (Profile!$B$6-Profile!$B$7)),
 _xlfn.XLOOKUP($B17,'Income Schedule'!$A$5:$A$60,'Income Schedule'!$C$5:$C$60,0),
 IF(
  $C17 = (Scenarios!$K$15 + (Profile!$B$6-Profile!$B$7)),
  _xlfn.XLOOKUP($B17,'Income Schedule'!$A$5:$A$60,'Income Schedule'!$C$5:$C$60,0) * (1-Profile!$B$21),
  0
 )
)</f>
        <v>172000</v>
      </c>
      <c r="G17" s="28">
        <f>IF(
 $C17 &lt; Scenarios!$K$7,
 IF('Superannuation (Inputs)'!$I$6="Fixed",
    'Superannuation (Inputs)'!$C$6,
    'Superannuation (Inputs)'!$J$6
 ),
 IF(
  $C17 = Scenarios!$K$7,
  IF('Superannuation (Inputs)'!$I$6="Fixed",
     'Superannuation (Inputs)'!$C$6*(1-Profile!$B$20),
     'Superannuation (Inputs)'!$J$6
  ),
  0
 )
)</f>
        <v>5400</v>
      </c>
      <c r="H17" s="28">
        <f>G17 * 'Superannuation (Inputs)'!$H$6</f>
        <v>810</v>
      </c>
      <c r="I17" s="28">
        <f>IF(
 $C17 &lt; (Scenarios!$K$15 + (Profile!$B$6-Profile!$B$7)),
 IF('Superannuation (Inputs)'!$I$7="Fixed",
    'Superannuation (Inputs)'!$C$7,
    'Superannuation (Inputs)'!$J$7
 ),
 IF(
  $C17 = (Scenarios!$K$15 + (Profile!$B$6-Profile!$B$7)),
  IF('Superannuation (Inputs)'!$I$7="Fixed",
     'Superannuation (Inputs)'!$C$7*(1-Profile!$B$21),
     'Superannuation (Inputs)'!$J$7
  ),
  0
 )
)</f>
        <v>25564</v>
      </c>
      <c r="J17" s="28">
        <f>I17 * 'Superannuation (Inputs)'!$H$7</f>
        <v>3834.6</v>
      </c>
      <c r="K17" s="28">
        <f>K16*(1+Scenarios!$K$8) + G17-H17</f>
        <v>1342015.7511616938</v>
      </c>
      <c r="L17" s="28">
        <f>L16*(1+Scenarios!$K$8) + H17-I17</f>
        <v>523108.83659642888</v>
      </c>
      <c r="M17" s="28">
        <f t="shared" si="4"/>
        <v>1865124.5877581227</v>
      </c>
      <c r="N17" s="28">
        <f>(IF((E17 + 0.5*INDEX(Property_CF!$B$187:$AZ$187,1,$A17))&lt;=18200,0, IF((E17 + 0.5*INDEX(Property_CF!$B$187:$AZ$187,1,$A17))&lt;=45000,((E17 + 0.5*INDEX(Property_CF!$B$187:$AZ$187,1,$A17))-18200)*0.19, IF((E17 + 0.5*INDEX(Property_CF!$B$187:$AZ$187,1,$A17))&lt;=120000,5092+((E17 + 0.5*INDEX(Property_CF!$B$187:$AZ$187,1,$A17))-45000)*0.325, IF((E17 + 0.5*INDEX(Property_CF!$B$187:$AZ$187,1,$A17))&lt;=180000,29467+((E17 + 0.5*INDEX(Property_CF!$B$187:$AZ$187,1,$A17))-120000)*0.37, 51667+((E17 + 0.5*INDEX(Property_CF!$B$187:$AZ$187,1,$A17))-180000)*0.45)))))+((E17 + 0.5*INDEX(Property_CF!$B$187:$AZ$187,1,$A17)))*0.02</f>
        <v>77594.30246089524</v>
      </c>
      <c r="O17" s="28">
        <f>(IF((F17 + 0.5*INDEX(Property_CF!$B$187:$AZ$187,1,$A17))&lt;=18200,0, IF((F17 + 0.5*INDEX(Property_CF!$B$187:$AZ$187,1,$A17))&lt;=45000,((F17 + 0.5*INDEX(Property_CF!$B$187:$AZ$187,1,$A17))-18200)*0.19, IF((F17 + 0.5*INDEX(Property_CF!$B$187:$AZ$187,1,$A17))&lt;=120000,5092+((F17 + 0.5*INDEX(Property_CF!$B$187:$AZ$187,1,$A17))-45000)*0.325, IF((F17 + 0.5*INDEX(Property_CF!$B$187:$AZ$187,1,$A17))&lt;=180000,29467+((F17 + 0.5*INDEX(Property_CF!$B$187:$AZ$187,1,$A17))-120000)*0.37, 51667+((F17 + 0.5*INDEX(Property_CF!$B$187:$AZ$187,1,$A17))-180000)*0.45)))))+((F17 + 0.5*INDEX(Property_CF!$B$187:$AZ$187,1,$A17)))*0.02</f>
        <v>73834.30246089524</v>
      </c>
      <c r="P17" s="28">
        <f t="array" ref="P17">E17+F17+INDEX(Property_CF!$C$187:$AZ$187,1,$A17)</f>
        <v>453703.22019729868</v>
      </c>
      <c r="Q17" s="28">
        <f>Budget!$P$6</f>
        <v>76477.3</v>
      </c>
      <c r="R17" s="28">
        <f>SUM('Rental Tax &amp; Gearing'!$H$6:$H$8)</f>
        <v>-11228.78761669634</v>
      </c>
      <c r="S17" s="28">
        <f>IF($C17 &lt; Scenarios!$K$7,
    (P17 + R17 - Q17),
    0
)</f>
        <v>365997.13258060237</v>
      </c>
      <c r="T17" s="28">
        <f>IF($C17 &lt; Scenarios!$K$7,
 P17 - Budget!$P$6,
 0)</f>
        <v>377225.92019729869</v>
      </c>
      <c r="U17" s="28">
        <f>U16*(1+Scenarios!$K$8) + IF(C17&lt;Scenarios!$K$7, 'Superannuation (Inputs)'!$N$7, 0)</f>
        <v>3020512.5241900319</v>
      </c>
      <c r="V17" s="28">
        <f>V16*(1+Scenarios!$K$11)</f>
        <v>2731378.3752939212</v>
      </c>
      <c r="W17" s="28">
        <f t="shared" si="6"/>
        <v>932713.91241471155</v>
      </c>
      <c r="X17" s="28">
        <f t="shared" si="0"/>
        <v>6684604.8118986646</v>
      </c>
      <c r="Y17" s="28">
        <f>IF(C17&gt;=Scenarios!$K$7, Profile!B20*(1+Scenarios!$K$10)^(C17-Scenarios!$K$7), 0)</f>
        <v>0</v>
      </c>
      <c r="Z17" s="28">
        <f t="shared" si="1"/>
        <v>6684604.8118986646</v>
      </c>
    </row>
    <row r="18" spans="1:26">
      <c r="A18" s="4">
        <f t="shared" si="2"/>
        <v>13</v>
      </c>
      <c r="B18" s="4">
        <f t="shared" si="5"/>
        <v>2038</v>
      </c>
      <c r="C18" s="61">
        <f t="shared" si="3"/>
        <v>60</v>
      </c>
      <c r="D18" s="65">
        <f t="shared" si="3"/>
        <v>53</v>
      </c>
      <c r="E18" s="28">
        <f>IF(
 $C18 &lt; Scenarios!$K$7,
 _xlfn.XLOOKUP($B18,'Income Schedule'!$A$5:$A$60,'Income Schedule'!$B$5:$B$60,0),
 IF(
  $C18 = Scenarios!$K$7,
  _xlfn.XLOOKUP($B18,'Income Schedule'!$A$5:$A$60,'Income Schedule'!$B$5:$B$60,0) * (1-Profile!$B$20),
  0
 )
)</f>
        <v>180000</v>
      </c>
      <c r="F18" s="28">
        <f>IF(
 $C18 &lt; (Scenarios!$K$15 + (Profile!$B$6-Profile!$B$7)),
 _xlfn.XLOOKUP($B18,'Income Schedule'!$A$5:$A$60,'Income Schedule'!$C$5:$C$60,0),
 IF(
  $C18 = (Scenarios!$K$15 + (Profile!$B$6-Profile!$B$7)),
  _xlfn.XLOOKUP($B18,'Income Schedule'!$A$5:$A$60,'Income Schedule'!$C$5:$C$60,0) * (1-Profile!$B$21),
  0
 )
)</f>
        <v>172000</v>
      </c>
      <c r="G18" s="28">
        <f>IF(
 $C18 &lt; Scenarios!$K$7,
 IF('Superannuation (Inputs)'!$I$6="Fixed",
    'Superannuation (Inputs)'!$C$6,
    'Superannuation (Inputs)'!$J$6
 ),
 IF(
  $C18 = Scenarios!$K$7,
  IF('Superannuation (Inputs)'!$I$6="Fixed",
     'Superannuation (Inputs)'!$C$6*(1-Profile!$B$20),
     'Superannuation (Inputs)'!$J$6
  ),
  0
 )
)</f>
        <v>5400</v>
      </c>
      <c r="H18" s="28">
        <f>G18 * 'Superannuation (Inputs)'!$H$6</f>
        <v>810</v>
      </c>
      <c r="I18" s="28">
        <f>IF(
 $C18 &lt; (Scenarios!$K$15 + (Profile!$B$6-Profile!$B$7)),
 IF('Superannuation (Inputs)'!$I$7="Fixed",
    'Superannuation (Inputs)'!$C$7,
    'Superannuation (Inputs)'!$J$7
 ),
 IF(
  $C18 = (Scenarios!$K$15 + (Profile!$B$6-Profile!$B$7)),
  IF('Superannuation (Inputs)'!$I$7="Fixed",
     'Superannuation (Inputs)'!$C$7*(1-Profile!$B$21),
     'Superannuation (Inputs)'!$J$7
  ),
  0
 )
)</f>
        <v>25564</v>
      </c>
      <c r="J18" s="28">
        <f>I18 * 'Superannuation (Inputs)'!$H$7</f>
        <v>3834.6</v>
      </c>
      <c r="K18" s="28">
        <f>K17*(1+Scenarios!$K$8) + G18-H18</f>
        <v>1433836.7749872038</v>
      </c>
      <c r="L18" s="28">
        <f>L17*(1+Scenarios!$K$8) + H18-I18</f>
        <v>532356.91097519675</v>
      </c>
      <c r="M18" s="28">
        <f t="shared" si="4"/>
        <v>1966193.6859624004</v>
      </c>
      <c r="N18" s="28">
        <f>(IF((E18 + 0.5*INDEX(Property_CF!$B$187:$AZ$187,1,$A18))&lt;=18200,0, IF((E18 + 0.5*INDEX(Property_CF!$B$187:$AZ$187,1,$A18))&lt;=45000,((E18 + 0.5*INDEX(Property_CF!$B$187:$AZ$187,1,$A18))-18200)*0.19, IF((E18 + 0.5*INDEX(Property_CF!$B$187:$AZ$187,1,$A18))&lt;=120000,5092+((E18 + 0.5*INDEX(Property_CF!$B$187:$AZ$187,1,$A18))-45000)*0.325, IF((E18 + 0.5*INDEX(Property_CF!$B$187:$AZ$187,1,$A18))&lt;=180000,29467+((E18 + 0.5*INDEX(Property_CF!$B$187:$AZ$187,1,$A18))-120000)*0.37, 51667+((E18 + 0.5*INDEX(Property_CF!$B$187:$AZ$187,1,$A18))-180000)*0.45)))))+((E18 + 0.5*INDEX(Property_CF!$B$187:$AZ$187,1,$A18)))*0.02</f>
        <v>79167.256746365194</v>
      </c>
      <c r="O18" s="28">
        <f>(IF((F18 + 0.5*INDEX(Property_CF!$B$187:$AZ$187,1,$A18))&lt;=18200,0, IF((F18 + 0.5*INDEX(Property_CF!$B$187:$AZ$187,1,$A18))&lt;=45000,((F18 + 0.5*INDEX(Property_CF!$B$187:$AZ$187,1,$A18))-18200)*0.19, IF((F18 + 0.5*INDEX(Property_CF!$B$187:$AZ$187,1,$A18))&lt;=120000,5092+((F18 + 0.5*INDEX(Property_CF!$B$187:$AZ$187,1,$A18))-45000)*0.325, IF((F18 + 0.5*INDEX(Property_CF!$B$187:$AZ$187,1,$A18))&lt;=180000,29467+((F18 + 0.5*INDEX(Property_CF!$B$187:$AZ$187,1,$A18))-120000)*0.37, 51667+((F18 + 0.5*INDEX(Property_CF!$B$187:$AZ$187,1,$A18))-180000)*0.45)))))+((F18 + 0.5*INDEX(Property_CF!$B$187:$AZ$187,1,$A18)))*0.02</f>
        <v>75407.256746365194</v>
      </c>
      <c r="P18" s="28">
        <f t="array" ref="P18">E18+F18+INDEX(Property_CF!$C$187:$AZ$187,1,$A18)</f>
        <v>456292.03878869419</v>
      </c>
      <c r="Q18" s="28">
        <f>Budget!$P$6</f>
        <v>76477.3</v>
      </c>
      <c r="R18" s="28">
        <f>SUM('Rental Tax &amp; Gearing'!$H$6:$H$8)</f>
        <v>-11228.78761669634</v>
      </c>
      <c r="S18" s="28">
        <f>IF($C18 &lt; Scenarios!$K$7,
    (P18 + R18 - Q18),
    0
)</f>
        <v>0</v>
      </c>
      <c r="T18" s="28">
        <f>IF($C18 &lt; Scenarios!$K$7,
 P18 - Budget!$P$6,
 0)</f>
        <v>0</v>
      </c>
      <c r="U18" s="28">
        <f>U17*(1+Scenarios!$K$8) + IF(C18&lt;Scenarios!$K$7, 'Superannuation (Inputs)'!$N$7, 0)</f>
        <v>3216845.8382623838</v>
      </c>
      <c r="V18" s="28">
        <f>V17*(1+Scenarios!$K$11)</f>
        <v>2854290.4021821474</v>
      </c>
      <c r="W18" s="28">
        <f t="shared" si="6"/>
        <v>960695.32978715294</v>
      </c>
      <c r="X18" s="28">
        <f t="shared" si="0"/>
        <v>7031831.5702316845</v>
      </c>
      <c r="Y18" s="28">
        <f>IF(C18&gt;=Scenarios!$K$7, Profile!B21*(1+Scenarios!$K$10)^(C18-Scenarios!$K$7), 0)</f>
        <v>0</v>
      </c>
      <c r="Z18" s="28">
        <f t="shared" si="1"/>
        <v>7031831.5702316845</v>
      </c>
    </row>
    <row r="19" spans="1:26">
      <c r="A19" s="4">
        <f t="shared" si="2"/>
        <v>14</v>
      </c>
      <c r="B19" s="4">
        <f t="shared" si="5"/>
        <v>2039</v>
      </c>
      <c r="C19" s="61">
        <f t="shared" si="3"/>
        <v>61</v>
      </c>
      <c r="D19" s="65">
        <f t="shared" si="3"/>
        <v>54</v>
      </c>
      <c r="E19" s="28">
        <f>IF(
 $C19 &lt; Scenarios!$K$7,
 _xlfn.XLOOKUP($B19,'Income Schedule'!$A$5:$A$60,'Income Schedule'!$B$5:$B$60,0),
 IF(
  $C19 = Scenarios!$K$7,
  _xlfn.XLOOKUP($B19,'Income Schedule'!$A$5:$A$60,'Income Schedule'!$B$5:$B$60,0) * (1-Profile!$B$20),
  0
 )
)</f>
        <v>0</v>
      </c>
      <c r="F19" s="28">
        <f>IF(
 $C19 &lt; (Scenarios!$K$15 + (Profile!$B$6-Profile!$B$7)),
 _xlfn.XLOOKUP($B19,'Income Schedule'!$A$5:$A$60,'Income Schedule'!$C$5:$C$60,0),
 IF(
  $C19 = (Scenarios!$K$15 + (Profile!$B$6-Profile!$B$7)),
  _xlfn.XLOOKUP($B19,'Income Schedule'!$A$5:$A$60,'Income Schedule'!$C$5:$C$60,0) * (1-Profile!$B$21),
  0
 )
)</f>
        <v>0</v>
      </c>
      <c r="G19" s="28">
        <f>IF(
 $C19 &lt; Scenarios!$K$7,
 IF('Superannuation (Inputs)'!$I$6="Fixed",
    'Superannuation (Inputs)'!$C$6,
    'Superannuation (Inputs)'!$J$6
 ),
 IF(
  $C19 = Scenarios!$K$7,
  IF('Superannuation (Inputs)'!$I$6="Fixed",
     'Superannuation (Inputs)'!$C$6*(1-Profile!$B$20),
     'Superannuation (Inputs)'!$J$6
  ),
  0
 )
)</f>
        <v>0</v>
      </c>
      <c r="H19" s="28">
        <f>G19 * 'Superannuation (Inputs)'!$H$6</f>
        <v>0</v>
      </c>
      <c r="I19" s="28">
        <f>IF(
 $C19 &lt; (Scenarios!$K$15 + (Profile!$B$6-Profile!$B$7)),
 IF('Superannuation (Inputs)'!$I$7="Fixed",
    'Superannuation (Inputs)'!$C$7,
    'Superannuation (Inputs)'!$J$7
 ),
 IF(
  $C19 = (Scenarios!$K$15 + (Profile!$B$6-Profile!$B$7)),
  IF('Superannuation (Inputs)'!$I$7="Fixed",
     'Superannuation (Inputs)'!$C$7*(1-Profile!$B$21),
     'Superannuation (Inputs)'!$J$7
  ),
  0
 )
)</f>
        <v>0</v>
      </c>
      <c r="J19" s="28">
        <f>I19 * 'Superannuation (Inputs)'!$H$7</f>
        <v>0</v>
      </c>
      <c r="K19" s="28">
        <f>K18*(1+Scenarios!$K$8) + G19-H19</f>
        <v>1527036.1653613718</v>
      </c>
      <c r="L19" s="28">
        <f>L18*(1+Scenarios!$K$8) + H19-I19</f>
        <v>566960.11018858454</v>
      </c>
      <c r="M19" s="28">
        <f t="shared" si="4"/>
        <v>2093996.2755499564</v>
      </c>
      <c r="N19" s="28">
        <f>(IF((E19 + 0.5*INDEX(Property_CF!$B$187:$AZ$187,1,$A19))&lt;=18200,0, IF((E19 + 0.5*INDEX(Property_CF!$B$187:$AZ$187,1,$A19))&lt;=45000,((E19 + 0.5*INDEX(Property_CF!$B$187:$AZ$187,1,$A19))-18200)*0.19, IF((E19 + 0.5*INDEX(Property_CF!$B$187:$AZ$187,1,$A19))&lt;=120000,5092+((E19 + 0.5*INDEX(Property_CF!$B$187:$AZ$187,1,$A19))-45000)*0.325, IF((E19 + 0.5*INDEX(Property_CF!$B$187:$AZ$187,1,$A19))&lt;=180000,29467+((E19 + 0.5*INDEX(Property_CF!$B$187:$AZ$187,1,$A19))-120000)*0.37, 51667+((E19 + 0.5*INDEX(Property_CF!$B$187:$AZ$187,1,$A19))-180000)*0.45)))))+((E19 + 0.5*INDEX(Property_CF!$B$187:$AZ$187,1,$A19)))*0.02</f>
        <v>8457.3766910497452</v>
      </c>
      <c r="O19" s="28">
        <f>(IF((F19 + 0.5*INDEX(Property_CF!$B$187:$AZ$187,1,$A19))&lt;=18200,0, IF((F19 + 0.5*INDEX(Property_CF!$B$187:$AZ$187,1,$A19))&lt;=45000,((F19 + 0.5*INDEX(Property_CF!$B$187:$AZ$187,1,$A19))-18200)*0.19, IF((F19 + 0.5*INDEX(Property_CF!$B$187:$AZ$187,1,$A19))&lt;=120000,5092+((F19 + 0.5*INDEX(Property_CF!$B$187:$AZ$187,1,$A19))-45000)*0.325, IF((F19 + 0.5*INDEX(Property_CF!$B$187:$AZ$187,1,$A19))&lt;=180000,29467+((F19 + 0.5*INDEX(Property_CF!$B$187:$AZ$187,1,$A19))-120000)*0.37, 51667+((F19 + 0.5*INDEX(Property_CF!$B$187:$AZ$187,1,$A19))-180000)*0.45)))))+((F19 + 0.5*INDEX(Property_CF!$B$187:$AZ$187,1,$A19)))*0.02</f>
        <v>8457.3766910497452</v>
      </c>
      <c r="P19" s="28">
        <f t="array" ref="P19">E19+F19+INDEX(Property_CF!$C$187:$AZ$187,1,$A19)</f>
        <v>115947.45245717152</v>
      </c>
      <c r="Q19" s="28">
        <f>Budget!$P$6</f>
        <v>76477.3</v>
      </c>
      <c r="R19" s="28">
        <f>SUM('Rental Tax &amp; Gearing'!$H$6:$H$8)</f>
        <v>-11228.78761669634</v>
      </c>
      <c r="S19" s="28">
        <f>IF($C19 &lt; Scenarios!$K$7,
    (P19 + R19 - Q19),
    0
)</f>
        <v>0</v>
      </c>
      <c r="T19" s="28">
        <f>IF($C19 &lt; Scenarios!$K$7,
 P19 - Budget!$P$6,
 0)</f>
        <v>0</v>
      </c>
      <c r="U19" s="28">
        <f>U18*(1+Scenarios!$K$8) + IF(C19&lt;Scenarios!$K$7, 'Superannuation (Inputs)'!$N$7, 0)</f>
        <v>3425940.8177494388</v>
      </c>
      <c r="V19" s="28">
        <f>V18*(1+Scenarios!$K$11)</f>
        <v>2982733.4702803437</v>
      </c>
      <c r="W19" s="28">
        <f t="shared" si="6"/>
        <v>989516.18968076759</v>
      </c>
      <c r="X19" s="28">
        <f t="shared" si="0"/>
        <v>7398190.4777105497</v>
      </c>
      <c r="Y19" s="28">
        <f>IF(C19&gt;=Scenarios!$K$7, Profile!B22*(1+Scenarios!$K$10)^(C19-Scenarios!$K$7), 0)</f>
        <v>0</v>
      </c>
      <c r="Z19" s="28">
        <f t="shared" si="1"/>
        <v>7398190.4777105497</v>
      </c>
    </row>
    <row r="20" spans="1:26">
      <c r="A20" s="4">
        <f t="shared" si="2"/>
        <v>15</v>
      </c>
      <c r="B20" s="4">
        <f t="shared" si="5"/>
        <v>2040</v>
      </c>
      <c r="C20" s="61">
        <f t="shared" si="3"/>
        <v>62</v>
      </c>
      <c r="D20" s="65">
        <f t="shared" si="3"/>
        <v>55</v>
      </c>
      <c r="E20" s="28">
        <f>IF(
 $C20 &lt; Scenarios!$K$7,
 _xlfn.XLOOKUP($B20,'Income Schedule'!$A$5:$A$60,'Income Schedule'!$B$5:$B$60,0),
 IF(
  $C20 = Scenarios!$K$7,
  _xlfn.XLOOKUP($B20,'Income Schedule'!$A$5:$A$60,'Income Schedule'!$B$5:$B$60,0) * (1-Profile!$B$20),
  0
 )
)</f>
        <v>0</v>
      </c>
      <c r="F20" s="28">
        <f>IF(
 $C20 &lt; (Scenarios!$K$15 + (Profile!$B$6-Profile!$B$7)),
 _xlfn.XLOOKUP($B20,'Income Schedule'!$A$5:$A$60,'Income Schedule'!$C$5:$C$60,0),
 IF(
  $C20 = (Scenarios!$K$15 + (Profile!$B$6-Profile!$B$7)),
  _xlfn.XLOOKUP($B20,'Income Schedule'!$A$5:$A$60,'Income Schedule'!$C$5:$C$60,0) * (1-Profile!$B$21),
  0
 )
)</f>
        <v>0</v>
      </c>
      <c r="G20" s="28">
        <f>IF(
 $C20 &lt; Scenarios!$K$7,
 IF('Superannuation (Inputs)'!$I$6="Fixed",
    'Superannuation (Inputs)'!$C$6,
    'Superannuation (Inputs)'!$J$6
 ),
 IF(
  $C20 = Scenarios!$K$7,
  IF('Superannuation (Inputs)'!$I$6="Fixed",
     'Superannuation (Inputs)'!$C$6*(1-Profile!$B$20),
     'Superannuation (Inputs)'!$J$6
  ),
  0
 )
)</f>
        <v>0</v>
      </c>
      <c r="H20" s="28">
        <f>G20 * 'Superannuation (Inputs)'!$H$6</f>
        <v>0</v>
      </c>
      <c r="I20" s="28">
        <f>IF(
 $C20 &lt; (Scenarios!$K$15 + (Profile!$B$6-Profile!$B$7)),
 IF('Superannuation (Inputs)'!$I$7="Fixed",
    'Superannuation (Inputs)'!$C$7,
    'Superannuation (Inputs)'!$J$7
 ),
 IF(
  $C20 = (Scenarios!$K$15 + (Profile!$B$6-Profile!$B$7)),
  IF('Superannuation (Inputs)'!$I$7="Fixed",
     'Superannuation (Inputs)'!$C$7*(1-Profile!$B$21),
     'Superannuation (Inputs)'!$J$7
  ),
  0
 )
)</f>
        <v>0</v>
      </c>
      <c r="J20" s="28">
        <f>I20 * 'Superannuation (Inputs)'!$H$7</f>
        <v>0</v>
      </c>
      <c r="K20" s="28">
        <f>K19*(1+Scenarios!$K$8) + G20-H20</f>
        <v>1626293.516109861</v>
      </c>
      <c r="L20" s="28">
        <f>L19*(1+Scenarios!$K$8) + H20-I20</f>
        <v>603812.51735084248</v>
      </c>
      <c r="M20" s="28">
        <f t="shared" si="4"/>
        <v>2230106.0334607037</v>
      </c>
      <c r="N20" s="28">
        <f>(IF((E20 + 0.5*INDEX(Property_CF!$B$187:$AZ$187,1,$A20))&lt;=18200,0, IF((E20 + 0.5*INDEX(Property_CF!$B$187:$AZ$187,1,$A20))&lt;=45000,((E20 + 0.5*INDEX(Property_CF!$B$187:$AZ$187,1,$A20))-18200)*0.19, IF((E20 + 0.5*INDEX(Property_CF!$B$187:$AZ$187,1,$A20))&lt;=120000,5092+((E20 + 0.5*INDEX(Property_CF!$B$187:$AZ$187,1,$A20))-45000)*0.325, IF((E20 + 0.5*INDEX(Property_CF!$B$187:$AZ$187,1,$A20))&lt;=180000,29467+((E20 + 0.5*INDEX(Property_CF!$B$187:$AZ$187,1,$A20))-120000)*0.37, 51667+((E20 + 0.5*INDEX(Property_CF!$B$187:$AZ$187,1,$A20))-180000)*0.45)))))+((E20 + 0.5*INDEX(Property_CF!$B$187:$AZ$187,1,$A20)))*0.02</f>
        <v>10467.935548862088</v>
      </c>
      <c r="O20" s="28">
        <f>(IF((F20 + 0.5*INDEX(Property_CF!$B$187:$AZ$187,1,$A20))&lt;=18200,0, IF((F20 + 0.5*INDEX(Property_CF!$B$187:$AZ$187,1,$A20))&lt;=45000,((F20 + 0.5*INDEX(Property_CF!$B$187:$AZ$187,1,$A20))-18200)*0.19, IF((F20 + 0.5*INDEX(Property_CF!$B$187:$AZ$187,1,$A20))&lt;=120000,5092+((F20 + 0.5*INDEX(Property_CF!$B$187:$AZ$187,1,$A20))-45000)*0.325, IF((F20 + 0.5*INDEX(Property_CF!$B$187:$AZ$187,1,$A20))&lt;=180000,29467+((F20 + 0.5*INDEX(Property_CF!$B$187:$AZ$187,1,$A20))-120000)*0.37, 51667+((F20 + 0.5*INDEX(Property_CF!$B$187:$AZ$187,1,$A20))-180000)*0.45)))))+((F20 + 0.5*INDEX(Property_CF!$B$187:$AZ$187,1,$A20)))*0.02</f>
        <v>10467.935548862088</v>
      </c>
      <c r="P20" s="28">
        <f t="array" ref="P20">E20+F20+INDEX(Property_CF!$C$187:$AZ$187,1,$A20)</f>
        <v>123715.80167591805</v>
      </c>
      <c r="Q20" s="28">
        <f>Budget!$P$6</f>
        <v>76477.3</v>
      </c>
      <c r="R20" s="28">
        <f>SUM('Rental Tax &amp; Gearing'!$H$6:$H$8)</f>
        <v>-11228.78761669634</v>
      </c>
      <c r="S20" s="28">
        <f>IF($C20 &lt; Scenarios!$K$7,
    (P20 + R20 - Q20),
    0
)</f>
        <v>0</v>
      </c>
      <c r="T20" s="28">
        <f>IF($C20 &lt; Scenarios!$K$7,
 P20 - Budget!$P$6,
 0)</f>
        <v>0</v>
      </c>
      <c r="U20" s="28">
        <f>U19*(1+Scenarios!$K$8) + IF(C20&lt;Scenarios!$K$7, 'Superannuation (Inputs)'!$N$7, 0)</f>
        <v>3648626.9709031521</v>
      </c>
      <c r="V20" s="28">
        <f>V19*(1+Scenarios!$K$11)</f>
        <v>3116956.4764429587</v>
      </c>
      <c r="W20" s="28">
        <f t="shared" si="6"/>
        <v>1019201.6753711906</v>
      </c>
      <c r="X20" s="28">
        <f t="shared" si="0"/>
        <v>7784785.1227173014</v>
      </c>
      <c r="Y20" s="28">
        <f>IF(C20&gt;=Scenarios!$K$7, Profile!B23*(1+Scenarios!$K$10)^(C20-Scenarios!$K$7), 0)</f>
        <v>0</v>
      </c>
      <c r="Z20" s="28">
        <f t="shared" si="1"/>
        <v>7784785.1227173014</v>
      </c>
    </row>
    <row r="21" spans="1:26">
      <c r="A21" s="4">
        <f t="shared" si="2"/>
        <v>16</v>
      </c>
      <c r="B21" s="4">
        <f t="shared" si="5"/>
        <v>2041</v>
      </c>
      <c r="C21" s="61">
        <f t="shared" si="3"/>
        <v>63</v>
      </c>
      <c r="D21" s="65">
        <f t="shared" si="3"/>
        <v>56</v>
      </c>
      <c r="E21" s="28">
        <f>IF(
 $C21 &lt; Scenarios!$K$7,
 _xlfn.XLOOKUP($B21,'Income Schedule'!$A$5:$A$60,'Income Schedule'!$B$5:$B$60,0),
 IF(
  $C21 = Scenarios!$K$7,
  _xlfn.XLOOKUP($B21,'Income Schedule'!$A$5:$A$60,'Income Schedule'!$B$5:$B$60,0) * (1-Profile!$B$20),
  0
 )
)</f>
        <v>0</v>
      </c>
      <c r="F21" s="28">
        <f>IF(
 $C21 &lt; (Scenarios!$K$15 + (Profile!$B$6-Profile!$B$7)),
 _xlfn.XLOOKUP($B21,'Income Schedule'!$A$5:$A$60,'Income Schedule'!$C$5:$C$60,0),
 IF(
  $C21 = (Scenarios!$K$15 + (Profile!$B$6-Profile!$B$7)),
  _xlfn.XLOOKUP($B21,'Income Schedule'!$A$5:$A$60,'Income Schedule'!$C$5:$C$60,0) * (1-Profile!$B$21),
  0
 )
)</f>
        <v>0</v>
      </c>
      <c r="G21" s="28">
        <f>IF(
 $C21 &lt; Scenarios!$K$7,
 IF('Superannuation (Inputs)'!$I$6="Fixed",
    'Superannuation (Inputs)'!$C$6,
    'Superannuation (Inputs)'!$J$6
 ),
 IF(
  $C21 = Scenarios!$K$7,
  IF('Superannuation (Inputs)'!$I$6="Fixed",
     'Superannuation (Inputs)'!$C$6*(1-Profile!$B$20),
     'Superannuation (Inputs)'!$J$6
  ),
  0
 )
)</f>
        <v>0</v>
      </c>
      <c r="H21" s="28">
        <f>G21 * 'Superannuation (Inputs)'!$H$6</f>
        <v>0</v>
      </c>
      <c r="I21" s="28">
        <f>IF(
 $C21 &lt; (Scenarios!$K$15 + (Profile!$B$6-Profile!$B$7)),
 IF('Superannuation (Inputs)'!$I$7="Fixed",
    'Superannuation (Inputs)'!$C$7,
    'Superannuation (Inputs)'!$J$7
 ),
 IF(
  $C21 = (Scenarios!$K$15 + (Profile!$B$6-Profile!$B$7)),
  IF('Superannuation (Inputs)'!$I$7="Fixed",
     'Superannuation (Inputs)'!$C$7*(1-Profile!$B$21),
     'Superannuation (Inputs)'!$J$7
  ),
  0
 )
)</f>
        <v>0</v>
      </c>
      <c r="J21" s="28">
        <f>I21 * 'Superannuation (Inputs)'!$H$7</f>
        <v>0</v>
      </c>
      <c r="K21" s="28">
        <f>K20*(1+Scenarios!$K$8) + G21-H21</f>
        <v>1732002.5946570018</v>
      </c>
      <c r="L21" s="28">
        <f>L20*(1+Scenarios!$K$8) + H21-I21</f>
        <v>643060.33097864722</v>
      </c>
      <c r="M21" s="28">
        <f t="shared" si="4"/>
        <v>2375062.9256356489</v>
      </c>
      <c r="N21" s="28">
        <f>(IF((E21 + 0.5*INDEX(Property_CF!$B$187:$AZ$187,1,$A21))&lt;=18200,0, IF((E21 + 0.5*INDEX(Property_CF!$B$187:$AZ$187,1,$A21))&lt;=45000,((E21 + 0.5*INDEX(Property_CF!$B$187:$AZ$187,1,$A21))-18200)*0.19, IF((E21 + 0.5*INDEX(Property_CF!$B$187:$AZ$187,1,$A21))&lt;=120000,5092+((E21 + 0.5*INDEX(Property_CF!$B$187:$AZ$187,1,$A21))-45000)*0.325, IF((E21 + 0.5*INDEX(Property_CF!$B$187:$AZ$187,1,$A21))&lt;=180000,29467+((E21 + 0.5*INDEX(Property_CF!$B$187:$AZ$187,1,$A21))-120000)*0.37, 51667+((E21 + 0.5*INDEX(Property_CF!$B$187:$AZ$187,1,$A21))-180000)*0.45)))))+((E21 + 0.5*INDEX(Property_CF!$B$187:$AZ$187,1,$A21)))*0.02</f>
        <v>11807.975789095863</v>
      </c>
      <c r="O21" s="28">
        <f>(IF((F21 + 0.5*INDEX(Property_CF!$B$187:$AZ$187,1,$A21))&lt;=18200,0, IF((F21 + 0.5*INDEX(Property_CF!$B$187:$AZ$187,1,$A21))&lt;=45000,((F21 + 0.5*INDEX(Property_CF!$B$187:$AZ$187,1,$A21))-18200)*0.19, IF((F21 + 0.5*INDEX(Property_CF!$B$187:$AZ$187,1,$A21))&lt;=120000,5092+((F21 + 0.5*INDEX(Property_CF!$B$187:$AZ$187,1,$A21))-45000)*0.325, IF((F21 + 0.5*INDEX(Property_CF!$B$187:$AZ$187,1,$A21))&lt;=180000,29467+((F21 + 0.5*INDEX(Property_CF!$B$187:$AZ$187,1,$A21))-120000)*0.37, 51667+((F21 + 0.5*INDEX(Property_CF!$B$187:$AZ$187,1,$A21))-180000)*0.45)))))+((F21 + 0.5*INDEX(Property_CF!$B$187:$AZ$187,1,$A21)))*0.02</f>
        <v>11807.975789095863</v>
      </c>
      <c r="P21" s="28">
        <f t="array" ref="P21">E21+F21+INDEX(Property_CF!$C$187:$AZ$187,1,$A21)</f>
        <v>128127.71127232414</v>
      </c>
      <c r="Q21" s="28">
        <f>Budget!$P$6</f>
        <v>76477.3</v>
      </c>
      <c r="R21" s="28">
        <f>SUM('Rental Tax &amp; Gearing'!$H$6:$H$8)</f>
        <v>-11228.78761669634</v>
      </c>
      <c r="S21" s="28">
        <f>IF($C21 &lt; Scenarios!$K$7,
    (P21 + R21 - Q21),
    0
)</f>
        <v>0</v>
      </c>
      <c r="T21" s="28">
        <f>IF($C21 &lt; Scenarios!$K$7,
 P21 - Budget!$P$6,
 0)</f>
        <v>0</v>
      </c>
      <c r="U21" s="28">
        <f>U20*(1+Scenarios!$K$8) + IF(C21&lt;Scenarios!$K$7, 'Superannuation (Inputs)'!$N$7, 0)</f>
        <v>3885787.7240118566</v>
      </c>
      <c r="V21" s="28">
        <f>V20*(1+Scenarios!$K$11)</f>
        <v>3257219.5178828915</v>
      </c>
      <c r="W21" s="28">
        <f t="shared" si="6"/>
        <v>1049777.7256323264</v>
      </c>
      <c r="X21" s="28">
        <f t="shared" si="0"/>
        <v>8192784.9675270747</v>
      </c>
      <c r="Y21" s="28">
        <f>IF(C21&gt;=Scenarios!$K$7, Profile!B24*(1+Scenarios!$K$10)^(C21-Scenarios!$K$7), 0)</f>
        <v>0</v>
      </c>
      <c r="Z21" s="28">
        <f t="shared" si="1"/>
        <v>8192784.9675270747</v>
      </c>
    </row>
    <row r="22" spans="1:26">
      <c r="A22" s="4">
        <f t="shared" si="2"/>
        <v>17</v>
      </c>
      <c r="B22" s="4">
        <f t="shared" si="5"/>
        <v>2042</v>
      </c>
      <c r="C22" s="61">
        <f t="shared" si="3"/>
        <v>64</v>
      </c>
      <c r="D22" s="65">
        <f t="shared" si="3"/>
        <v>57</v>
      </c>
      <c r="E22" s="28">
        <f>IF(
 $C22 &lt; Scenarios!$K$7,
 _xlfn.XLOOKUP($B22,'Income Schedule'!$A$5:$A$60,'Income Schedule'!$B$5:$B$60,0),
 IF(
  $C22 = Scenarios!$K$7,
  _xlfn.XLOOKUP($B22,'Income Schedule'!$A$5:$A$60,'Income Schedule'!$B$5:$B$60,0) * (1-Profile!$B$20),
  0
 )
)</f>
        <v>0</v>
      </c>
      <c r="F22" s="28">
        <f>IF(
 $C22 &lt; (Scenarios!$K$15 + (Profile!$B$6-Profile!$B$7)),
 _xlfn.XLOOKUP($B22,'Income Schedule'!$A$5:$A$60,'Income Schedule'!$C$5:$C$60,0),
 IF(
  $C22 = (Scenarios!$K$15 + (Profile!$B$6-Profile!$B$7)),
  _xlfn.XLOOKUP($B22,'Income Schedule'!$A$5:$A$60,'Income Schedule'!$C$5:$C$60,0) * (1-Profile!$B$21),
  0
 )
)</f>
        <v>0</v>
      </c>
      <c r="G22" s="28">
        <f>IF(
 $C22 &lt; Scenarios!$K$7,
 IF('Superannuation (Inputs)'!$I$6="Fixed",
    'Superannuation (Inputs)'!$C$6,
    'Superannuation (Inputs)'!$J$6
 ),
 IF(
  $C22 = Scenarios!$K$7,
  IF('Superannuation (Inputs)'!$I$6="Fixed",
     'Superannuation (Inputs)'!$C$6*(1-Profile!$B$20),
     'Superannuation (Inputs)'!$J$6
  ),
  0
 )
)</f>
        <v>0</v>
      </c>
      <c r="H22" s="28">
        <f>G22 * 'Superannuation (Inputs)'!$H$6</f>
        <v>0</v>
      </c>
      <c r="I22" s="28">
        <f>IF(
 $C22 &lt; (Scenarios!$K$15 + (Profile!$B$6-Profile!$B$7)),
 IF('Superannuation (Inputs)'!$I$7="Fixed",
    'Superannuation (Inputs)'!$C$7,
    'Superannuation (Inputs)'!$J$7
 ),
 IF(
  $C22 = (Scenarios!$K$15 + (Profile!$B$6-Profile!$B$7)),
  IF('Superannuation (Inputs)'!$I$7="Fixed",
     'Superannuation (Inputs)'!$C$7*(1-Profile!$B$21),
     'Superannuation (Inputs)'!$J$7
  ),
  0
 )
)</f>
        <v>0</v>
      </c>
      <c r="J22" s="28">
        <f>I22 * 'Superannuation (Inputs)'!$H$7</f>
        <v>0</v>
      </c>
      <c r="K22" s="28">
        <f>K21*(1+Scenarios!$K$8) + G22-H22</f>
        <v>1844582.7633097067</v>
      </c>
      <c r="L22" s="28">
        <f>L21*(1+Scenarios!$K$8) + H22-I22</f>
        <v>684859.25249225926</v>
      </c>
      <c r="M22" s="28">
        <f t="shared" si="4"/>
        <v>2529442.0158019662</v>
      </c>
      <c r="N22" s="28">
        <f>(IF((E22 + 0.5*INDEX(Property_CF!$B$187:$AZ$187,1,$A22))&lt;=18200,0, IF((E22 + 0.5*INDEX(Property_CF!$B$187:$AZ$187,1,$A22))&lt;=45000,((E22 + 0.5*INDEX(Property_CF!$B$187:$AZ$187,1,$A22))-18200)*0.19, IF((E22 + 0.5*INDEX(Property_CF!$B$187:$AZ$187,1,$A22))&lt;=120000,5092+((E22 + 0.5*INDEX(Property_CF!$B$187:$AZ$187,1,$A22))-45000)*0.325, IF((E22 + 0.5*INDEX(Property_CF!$B$187:$AZ$187,1,$A22))&lt;=180000,29467+((E22 + 0.5*INDEX(Property_CF!$B$187:$AZ$187,1,$A22))-120000)*0.37, 51667+((E22 + 0.5*INDEX(Property_CF!$B$187:$AZ$187,1,$A22))-180000)*0.45)))))+((E22 + 0.5*INDEX(Property_CF!$B$187:$AZ$187,1,$A22)))*0.02</f>
        <v>12569.030194475916</v>
      </c>
      <c r="O22" s="28">
        <f>(IF((F22 + 0.5*INDEX(Property_CF!$B$187:$AZ$187,1,$A22))&lt;=18200,0, IF((F22 + 0.5*INDEX(Property_CF!$B$187:$AZ$187,1,$A22))&lt;=45000,((F22 + 0.5*INDEX(Property_CF!$B$187:$AZ$187,1,$A22))-18200)*0.19, IF((F22 + 0.5*INDEX(Property_CF!$B$187:$AZ$187,1,$A22))&lt;=120000,5092+((F22 + 0.5*INDEX(Property_CF!$B$187:$AZ$187,1,$A22))-45000)*0.325, IF((F22 + 0.5*INDEX(Property_CF!$B$187:$AZ$187,1,$A22))&lt;=180000,29467+((F22 + 0.5*INDEX(Property_CF!$B$187:$AZ$187,1,$A22))-120000)*0.37, 51667+((F22 + 0.5*INDEX(Property_CF!$B$187:$AZ$187,1,$A22))-180000)*0.45)))))+((F22 + 0.5*INDEX(Property_CF!$B$187:$AZ$187,1,$A22)))*0.02</f>
        <v>12569.030194475916</v>
      </c>
      <c r="P22" s="28">
        <f t="array" ref="P22">E22+F22+INDEX(Property_CF!$C$187:$AZ$187,1,$A22)</f>
        <v>128291.02680152563</v>
      </c>
      <c r="Q22" s="28">
        <f>Budget!$P$6</f>
        <v>76477.3</v>
      </c>
      <c r="R22" s="28">
        <f>SUM('Rental Tax &amp; Gearing'!$H$6:$H$8)</f>
        <v>-11228.78761669634</v>
      </c>
      <c r="S22" s="28">
        <f>IF($C22 &lt; Scenarios!$K$7,
    (P22 + R22 - Q22),
    0
)</f>
        <v>0</v>
      </c>
      <c r="T22" s="28">
        <f>IF($C22 &lt; Scenarios!$K$7,
 P22 - Budget!$P$6,
 0)</f>
        <v>0</v>
      </c>
      <c r="U22" s="28">
        <f>U21*(1+Scenarios!$K$8) + IF(C22&lt;Scenarios!$K$7, 'Superannuation (Inputs)'!$N$7, 0)</f>
        <v>4138363.9260726268</v>
      </c>
      <c r="V22" s="28">
        <f>V21*(1+Scenarios!$K$11)</f>
        <v>3403794.3961876212</v>
      </c>
      <c r="W22" s="28">
        <f t="shared" si="6"/>
        <v>1081271.0574012962</v>
      </c>
      <c r="X22" s="28">
        <f t="shared" si="0"/>
        <v>8623429.3796615433</v>
      </c>
      <c r="Y22" s="28">
        <f>IF(C22&gt;=Scenarios!$K$7, Profile!B25*(1+Scenarios!$K$10)^(C22-Scenarios!$K$7), 0)</f>
        <v>0</v>
      </c>
      <c r="Z22" s="28">
        <f t="shared" si="1"/>
        <v>8623429.3796615433</v>
      </c>
    </row>
    <row r="23" spans="1:26">
      <c r="A23" s="4">
        <f t="shared" si="2"/>
        <v>18</v>
      </c>
      <c r="B23" s="4">
        <f t="shared" si="5"/>
        <v>2043</v>
      </c>
      <c r="C23" s="61">
        <f t="shared" si="3"/>
        <v>65</v>
      </c>
      <c r="D23" s="65">
        <f t="shared" si="3"/>
        <v>58</v>
      </c>
      <c r="E23" s="28">
        <f>IF(
 $C23 &lt; Scenarios!$K$7,
 _xlfn.XLOOKUP($B23,'Income Schedule'!$A$5:$A$60,'Income Schedule'!$B$5:$B$60,0),
 IF(
  $C23 = Scenarios!$K$7,
  _xlfn.XLOOKUP($B23,'Income Schedule'!$A$5:$A$60,'Income Schedule'!$B$5:$B$60,0) * (1-Profile!$B$20),
  0
 )
)</f>
        <v>0</v>
      </c>
      <c r="F23" s="28">
        <f>IF(
 $C23 &lt; (Scenarios!$K$15 + (Profile!$B$6-Profile!$B$7)),
 _xlfn.XLOOKUP($B23,'Income Schedule'!$A$5:$A$60,'Income Schedule'!$C$5:$C$60,0),
 IF(
  $C23 = (Scenarios!$K$15 + (Profile!$B$6-Profile!$B$7)),
  _xlfn.XLOOKUP($B23,'Income Schedule'!$A$5:$A$60,'Income Schedule'!$C$5:$C$60,0) * (1-Profile!$B$21),
  0
 )
)</f>
        <v>0</v>
      </c>
      <c r="G23" s="28">
        <f>IF(
 $C23 &lt; Scenarios!$K$7,
 IF('Superannuation (Inputs)'!$I$6="Fixed",
    'Superannuation (Inputs)'!$C$6,
    'Superannuation (Inputs)'!$J$6
 ),
 IF(
  $C23 = Scenarios!$K$7,
  IF('Superannuation (Inputs)'!$I$6="Fixed",
     'Superannuation (Inputs)'!$C$6*(1-Profile!$B$20),
     'Superannuation (Inputs)'!$J$6
  ),
  0
 )
)</f>
        <v>0</v>
      </c>
      <c r="H23" s="28">
        <f>G23 * 'Superannuation (Inputs)'!$H$6</f>
        <v>0</v>
      </c>
      <c r="I23" s="28">
        <f>IF(
 $C23 &lt; (Scenarios!$K$15 + (Profile!$B$6-Profile!$B$7)),
 IF('Superannuation (Inputs)'!$I$7="Fixed",
    'Superannuation (Inputs)'!$C$7,
    'Superannuation (Inputs)'!$J$7
 ),
 IF(
  $C23 = (Scenarios!$K$15 + (Profile!$B$6-Profile!$B$7)),
  IF('Superannuation (Inputs)'!$I$7="Fixed",
     'Superannuation (Inputs)'!$C$7*(1-Profile!$B$21),
     'Superannuation (Inputs)'!$J$7
  ),
  0
 )
)</f>
        <v>0</v>
      </c>
      <c r="J23" s="28">
        <f>I23 * 'Superannuation (Inputs)'!$H$7</f>
        <v>0</v>
      </c>
      <c r="K23" s="28">
        <f>K22*(1+Scenarios!$K$8) + G23-H23</f>
        <v>1964480.6429248375</v>
      </c>
      <c r="L23" s="28">
        <f>L22*(1+Scenarios!$K$8) + H23-I23</f>
        <v>729375.10390425602</v>
      </c>
      <c r="M23" s="28">
        <f t="shared" si="4"/>
        <v>2693855.7468290934</v>
      </c>
      <c r="N23" s="28">
        <f>(IF((E23 + 0.5*INDEX(Property_CF!$B$187:$AZ$187,1,$A23))&lt;=18200,0, IF((E23 + 0.5*INDEX(Property_CF!$B$187:$AZ$187,1,$A23))&lt;=45000,((E23 + 0.5*INDEX(Property_CF!$B$187:$AZ$187,1,$A23))-18200)*0.19, IF((E23 + 0.5*INDEX(Property_CF!$B$187:$AZ$187,1,$A23))&lt;=120000,5092+((E23 + 0.5*INDEX(Property_CF!$B$187:$AZ$187,1,$A23))-45000)*0.325, IF((E23 + 0.5*INDEX(Property_CF!$B$187:$AZ$187,1,$A23))&lt;=180000,29467+((E23 + 0.5*INDEX(Property_CF!$B$187:$AZ$187,1,$A23))-120000)*0.37, 51667+((E23 + 0.5*INDEX(Property_CF!$B$187:$AZ$187,1,$A23))-180000)*0.45)))))+((E23 + 0.5*INDEX(Property_CF!$B$187:$AZ$187,1,$A23)))*0.02</f>
        <v>12597.202123263171</v>
      </c>
      <c r="O23" s="28">
        <f>(IF((F23 + 0.5*INDEX(Property_CF!$B$187:$AZ$187,1,$A23))&lt;=18200,0, IF((F23 + 0.5*INDEX(Property_CF!$B$187:$AZ$187,1,$A23))&lt;=45000,((F23 + 0.5*INDEX(Property_CF!$B$187:$AZ$187,1,$A23))-18200)*0.19, IF((F23 + 0.5*INDEX(Property_CF!$B$187:$AZ$187,1,$A23))&lt;=120000,5092+((F23 + 0.5*INDEX(Property_CF!$B$187:$AZ$187,1,$A23))-45000)*0.325, IF((F23 + 0.5*INDEX(Property_CF!$B$187:$AZ$187,1,$A23))&lt;=180000,29467+((F23 + 0.5*INDEX(Property_CF!$B$187:$AZ$187,1,$A23))-120000)*0.37, 51667+((F23 + 0.5*INDEX(Property_CF!$B$187:$AZ$187,1,$A23))-180000)*0.45)))))+((F23 + 0.5*INDEX(Property_CF!$B$187:$AZ$187,1,$A23)))*0.02</f>
        <v>12597.202123263171</v>
      </c>
      <c r="P23" s="28">
        <f t="array" ref="P23">E23+F23+INDEX(Property_CF!$C$187:$AZ$187,1,$A23)</f>
        <v>137367.99665762892</v>
      </c>
      <c r="Q23" s="28">
        <f>Budget!$P$6</f>
        <v>76477.3</v>
      </c>
      <c r="R23" s="28">
        <f>SUM('Rental Tax &amp; Gearing'!$H$6:$H$8)</f>
        <v>-11228.78761669634</v>
      </c>
      <c r="S23" s="28">
        <f>IF($C23 &lt; Scenarios!$K$7,
    (P23 + R23 - Q23),
    0
)</f>
        <v>0</v>
      </c>
      <c r="T23" s="28">
        <f>IF($C23 &lt; Scenarios!$K$7,
 P23 - Budget!$P$6,
 0)</f>
        <v>0</v>
      </c>
      <c r="U23" s="28">
        <f>U22*(1+Scenarios!$K$8) + IF(C23&lt;Scenarios!$K$7, 'Superannuation (Inputs)'!$N$7, 0)</f>
        <v>4407357.5812673476</v>
      </c>
      <c r="V23" s="28">
        <f>V22*(1+Scenarios!$K$11)</f>
        <v>3556965.1440160638</v>
      </c>
      <c r="W23" s="28">
        <f t="shared" si="6"/>
        <v>1113709.1891233351</v>
      </c>
      <c r="X23" s="28">
        <f t="shared" si="0"/>
        <v>9078031.9144067466</v>
      </c>
      <c r="Y23" s="28">
        <f>IF(C23&gt;=Scenarios!$K$7, Profile!B26*(1+Scenarios!$K$10)^(C23-Scenarios!$K$7), 0)</f>
        <v>0</v>
      </c>
      <c r="Z23" s="28">
        <f t="shared" si="1"/>
        <v>9078031.9144067466</v>
      </c>
    </row>
    <row r="24" spans="1:26">
      <c r="A24" s="4">
        <f t="shared" si="2"/>
        <v>19</v>
      </c>
      <c r="B24" s="4">
        <f t="shared" si="5"/>
        <v>2044</v>
      </c>
      <c r="C24" s="61">
        <f t="shared" si="3"/>
        <v>66</v>
      </c>
      <c r="D24" s="65">
        <f t="shared" si="3"/>
        <v>59</v>
      </c>
      <c r="E24" s="28">
        <f>IF(
 $C24 &lt; Scenarios!$K$7,
 _xlfn.XLOOKUP($B24,'Income Schedule'!$A$5:$A$60,'Income Schedule'!$B$5:$B$60,0),
 IF(
  $C24 = Scenarios!$K$7,
  _xlfn.XLOOKUP($B24,'Income Schedule'!$A$5:$A$60,'Income Schedule'!$B$5:$B$60,0) * (1-Profile!$B$20),
  0
 )
)</f>
        <v>0</v>
      </c>
      <c r="F24" s="28">
        <f>IF(
 $C24 &lt; (Scenarios!$K$15 + (Profile!$B$6-Profile!$B$7)),
 _xlfn.XLOOKUP($B24,'Income Schedule'!$A$5:$A$60,'Income Schedule'!$C$5:$C$60,0),
 IF(
  $C24 = (Scenarios!$K$15 + (Profile!$B$6-Profile!$B$7)),
  _xlfn.XLOOKUP($B24,'Income Schedule'!$A$5:$A$60,'Income Schedule'!$C$5:$C$60,0) * (1-Profile!$B$21),
  0
 )
)</f>
        <v>0</v>
      </c>
      <c r="G24" s="28">
        <f>IF(
 $C24 &lt; Scenarios!$K$7,
 IF('Superannuation (Inputs)'!$I$6="Fixed",
    'Superannuation (Inputs)'!$C$6,
    'Superannuation (Inputs)'!$J$6
 ),
 IF(
  $C24 = Scenarios!$K$7,
  IF('Superannuation (Inputs)'!$I$6="Fixed",
     'Superannuation (Inputs)'!$C$6*(1-Profile!$B$20),
     'Superannuation (Inputs)'!$J$6
  ),
  0
 )
)</f>
        <v>0</v>
      </c>
      <c r="H24" s="28">
        <f>G24 * 'Superannuation (Inputs)'!$H$6</f>
        <v>0</v>
      </c>
      <c r="I24" s="28">
        <f>IF(
 $C24 &lt; (Scenarios!$K$15 + (Profile!$B$6-Profile!$B$7)),
 IF('Superannuation (Inputs)'!$I$7="Fixed",
    'Superannuation (Inputs)'!$C$7,
    'Superannuation (Inputs)'!$J$7
 ),
 IF(
  $C24 = (Scenarios!$K$15 + (Profile!$B$6-Profile!$B$7)),
  IF('Superannuation (Inputs)'!$I$7="Fixed",
     'Superannuation (Inputs)'!$C$7*(1-Profile!$B$21),
     'Superannuation (Inputs)'!$J$7
  ),
  0
 )
)</f>
        <v>0</v>
      </c>
      <c r="J24" s="28">
        <f>I24 * 'Superannuation (Inputs)'!$H$7</f>
        <v>0</v>
      </c>
      <c r="K24" s="28">
        <f>K23*(1+Scenarios!$K$8) + G24-H24</f>
        <v>2092171.884714952</v>
      </c>
      <c r="L24" s="28">
        <f>L23*(1+Scenarios!$K$8) + H24-I24</f>
        <v>776784.48565803259</v>
      </c>
      <c r="M24" s="28">
        <f t="shared" si="4"/>
        <v>2868956.3703729846</v>
      </c>
      <c r="N24" s="28">
        <f>(IF((E24 + 0.5*INDEX(Property_CF!$B$187:$AZ$187,1,$A24))&lt;=18200,0, IF((E24 + 0.5*INDEX(Property_CF!$B$187:$AZ$187,1,$A24))&lt;=45000,((E24 + 0.5*INDEX(Property_CF!$B$187:$AZ$187,1,$A24))-18200)*0.19, IF((E24 + 0.5*INDEX(Property_CF!$B$187:$AZ$187,1,$A24))&lt;=120000,5092+((E24 + 0.5*INDEX(Property_CF!$B$187:$AZ$187,1,$A24))-45000)*0.325, IF((E24 + 0.5*INDEX(Property_CF!$B$187:$AZ$187,1,$A24))&lt;=180000,29467+((E24 + 0.5*INDEX(Property_CF!$B$187:$AZ$187,1,$A24))-120000)*0.37, 51667+((E24 + 0.5*INDEX(Property_CF!$B$187:$AZ$187,1,$A24))-180000)*0.45)))))+((E24 + 0.5*INDEX(Property_CF!$B$187:$AZ$187,1,$A24)))*0.02</f>
        <v>14162.979423440989</v>
      </c>
      <c r="O24" s="28">
        <f>(IF((F24 + 0.5*INDEX(Property_CF!$B$187:$AZ$187,1,$A24))&lt;=18200,0, IF((F24 + 0.5*INDEX(Property_CF!$B$187:$AZ$187,1,$A24))&lt;=45000,((F24 + 0.5*INDEX(Property_CF!$B$187:$AZ$187,1,$A24))-18200)*0.19, IF((F24 + 0.5*INDEX(Property_CF!$B$187:$AZ$187,1,$A24))&lt;=120000,5092+((F24 + 0.5*INDEX(Property_CF!$B$187:$AZ$187,1,$A24))-45000)*0.325, IF((F24 + 0.5*INDEX(Property_CF!$B$187:$AZ$187,1,$A24))&lt;=180000,29467+((F24 + 0.5*INDEX(Property_CF!$B$187:$AZ$187,1,$A24))-120000)*0.37, 51667+((F24 + 0.5*INDEX(Property_CF!$B$187:$AZ$187,1,$A24))-180000)*0.45)))))+((F24 + 0.5*INDEX(Property_CF!$B$187:$AZ$187,1,$A24)))*0.02</f>
        <v>14162.979423440989</v>
      </c>
      <c r="P24" s="28">
        <f t="array" ref="P24">E24+F24+INDEX(Property_CF!$C$187:$AZ$187,1,$A24)</f>
        <v>142204.99984196678</v>
      </c>
      <c r="Q24" s="28">
        <f>Budget!$P$6</f>
        <v>76477.3</v>
      </c>
      <c r="R24" s="28">
        <f>SUM('Rental Tax &amp; Gearing'!$H$6:$H$8)</f>
        <v>-11228.78761669634</v>
      </c>
      <c r="S24" s="28">
        <f>IF($C24 &lt; Scenarios!$K$7,
    (P24 + R24 - Q24),
    0
)</f>
        <v>0</v>
      </c>
      <c r="T24" s="28">
        <f>IF($C24 &lt; Scenarios!$K$7,
 P24 - Budget!$P$6,
 0)</f>
        <v>0</v>
      </c>
      <c r="U24" s="28">
        <f>U23*(1+Scenarios!$K$8) + IF(C24&lt;Scenarios!$K$7, 'Superannuation (Inputs)'!$N$7, 0)</f>
        <v>4693835.8240497252</v>
      </c>
      <c r="V24" s="28">
        <f>V23*(1+Scenarios!$K$11)</f>
        <v>3717028.5754967863</v>
      </c>
      <c r="W24" s="28">
        <f t="shared" si="6"/>
        <v>1147120.4647970351</v>
      </c>
      <c r="X24" s="28">
        <f t="shared" si="0"/>
        <v>9557984.8643435463</v>
      </c>
      <c r="Y24" s="28">
        <f>IF(C24&gt;=Scenarios!$K$7, Profile!B27*(1+Scenarios!$K$10)^(C24-Scenarios!$K$7), 0)</f>
        <v>0</v>
      </c>
      <c r="Z24" s="28">
        <f t="shared" si="1"/>
        <v>9557984.8643435463</v>
      </c>
    </row>
    <row r="25" spans="1:26">
      <c r="A25" s="4">
        <f t="shared" si="2"/>
        <v>20</v>
      </c>
      <c r="B25" s="4">
        <f t="shared" si="5"/>
        <v>2045</v>
      </c>
      <c r="C25" s="61">
        <f t="shared" si="3"/>
        <v>67</v>
      </c>
      <c r="D25" s="65">
        <f t="shared" si="3"/>
        <v>60</v>
      </c>
      <c r="E25" s="28">
        <f>IF(
 $C25 &lt; Scenarios!$K$7,
 _xlfn.XLOOKUP($B25,'Income Schedule'!$A$5:$A$60,'Income Schedule'!$B$5:$B$60,0),
 IF(
  $C25 = Scenarios!$K$7,
  _xlfn.XLOOKUP($B25,'Income Schedule'!$A$5:$A$60,'Income Schedule'!$B$5:$B$60,0) * (1-Profile!$B$20),
  0
 )
)</f>
        <v>0</v>
      </c>
      <c r="F25" s="28">
        <f>IF(
 $C25 &lt; (Scenarios!$K$15 + (Profile!$B$6-Profile!$B$7)),
 _xlfn.XLOOKUP($B25,'Income Schedule'!$A$5:$A$60,'Income Schedule'!$C$5:$C$60,0),
 IF(
  $C25 = (Scenarios!$K$15 + (Profile!$B$6-Profile!$B$7)),
  _xlfn.XLOOKUP($B25,'Income Schedule'!$A$5:$A$60,'Income Schedule'!$C$5:$C$60,0) * (1-Profile!$B$21),
  0
 )
)</f>
        <v>0</v>
      </c>
      <c r="G25" s="28">
        <f>IF(
 $C25 &lt; Scenarios!$K$7,
 IF('Superannuation (Inputs)'!$I$6="Fixed",
    'Superannuation (Inputs)'!$C$6,
    'Superannuation (Inputs)'!$J$6
 ),
 IF(
  $C25 = Scenarios!$K$7,
  IF('Superannuation (Inputs)'!$I$6="Fixed",
     'Superannuation (Inputs)'!$C$6*(1-Profile!$B$20),
     'Superannuation (Inputs)'!$J$6
  ),
  0
 )
)</f>
        <v>0</v>
      </c>
      <c r="H25" s="28">
        <f>G25 * 'Superannuation (Inputs)'!$H$6</f>
        <v>0</v>
      </c>
      <c r="I25" s="28">
        <f>IF(
 $C25 &lt; (Scenarios!$K$15 + (Profile!$B$6-Profile!$B$7)),
 IF('Superannuation (Inputs)'!$I$7="Fixed",
    'Superannuation (Inputs)'!$C$7,
    'Superannuation (Inputs)'!$J$7
 ),
 IF(
  $C25 = (Scenarios!$K$15 + (Profile!$B$6-Profile!$B$7)),
  IF('Superannuation (Inputs)'!$I$7="Fixed",
     'Superannuation (Inputs)'!$C$7*(1-Profile!$B$21),
     'Superannuation (Inputs)'!$J$7
  ),
  0
 )
)</f>
        <v>0</v>
      </c>
      <c r="J25" s="28">
        <f>I25 * 'Superannuation (Inputs)'!$H$7</f>
        <v>0</v>
      </c>
      <c r="K25" s="28">
        <f>K24*(1+Scenarios!$K$8) + G25-H25</f>
        <v>2228163.0572214238</v>
      </c>
      <c r="L25" s="28">
        <f>L24*(1+Scenarios!$K$8) + H25-I25</f>
        <v>827275.4772258047</v>
      </c>
      <c r="M25" s="28">
        <f t="shared" si="4"/>
        <v>3055438.5344472285</v>
      </c>
      <c r="N25" s="28">
        <f>(IF((E25 + 0.5*INDEX(Property_CF!$B$187:$AZ$187,1,$A25))&lt;=18200,0, IF((E25 + 0.5*INDEX(Property_CF!$B$187:$AZ$187,1,$A25))&lt;=45000,((E25 + 0.5*INDEX(Property_CF!$B$187:$AZ$187,1,$A25))-18200)*0.19, IF((E25 + 0.5*INDEX(Property_CF!$B$187:$AZ$187,1,$A25))&lt;=120000,5092+((E25 + 0.5*INDEX(Property_CF!$B$187:$AZ$187,1,$A25))-45000)*0.325, IF((E25 + 0.5*INDEX(Property_CF!$B$187:$AZ$187,1,$A25))&lt;=180000,29467+((E25 + 0.5*INDEX(Property_CF!$B$187:$AZ$187,1,$A25))-120000)*0.37, 51667+((E25 + 0.5*INDEX(Property_CF!$B$187:$AZ$187,1,$A25))-180000)*0.45)))))+((E25 + 0.5*INDEX(Property_CF!$B$187:$AZ$187,1,$A25)))*0.02</f>
        <v>14997.362472739271</v>
      </c>
      <c r="O25" s="28">
        <f>(IF((F25 + 0.5*INDEX(Property_CF!$B$187:$AZ$187,1,$A25))&lt;=18200,0, IF((F25 + 0.5*INDEX(Property_CF!$B$187:$AZ$187,1,$A25))&lt;=45000,((F25 + 0.5*INDEX(Property_CF!$B$187:$AZ$187,1,$A25))-18200)*0.19, IF((F25 + 0.5*INDEX(Property_CF!$B$187:$AZ$187,1,$A25))&lt;=120000,5092+((F25 + 0.5*INDEX(Property_CF!$B$187:$AZ$187,1,$A25))-45000)*0.325, IF((F25 + 0.5*INDEX(Property_CF!$B$187:$AZ$187,1,$A25))&lt;=180000,29467+((F25 + 0.5*INDEX(Property_CF!$B$187:$AZ$187,1,$A25))-120000)*0.37, 51667+((F25 + 0.5*INDEX(Property_CF!$B$187:$AZ$187,1,$A25))-180000)*0.45)))))+((F25 + 0.5*INDEX(Property_CF!$B$187:$AZ$187,1,$A25)))*0.02</f>
        <v>14997.362472739271</v>
      </c>
      <c r="P25" s="28">
        <f t="array" ref="P25">E25+F25+INDEX(Property_CF!$C$187:$AZ$187,1,$A25)</f>
        <v>147192.54996019998</v>
      </c>
      <c r="Q25" s="28">
        <f>Budget!$P$6</f>
        <v>76477.3</v>
      </c>
      <c r="R25" s="28">
        <f>SUM('Rental Tax &amp; Gearing'!$H$6:$H$8)</f>
        <v>-11228.78761669634</v>
      </c>
      <c r="S25" s="28">
        <f>IF($C25 &lt; Scenarios!$K$7,
    (P25 + R25 - Q25),
    0
)</f>
        <v>0</v>
      </c>
      <c r="T25" s="28">
        <f>IF($C25 &lt; Scenarios!$K$7,
 P25 - Budget!$P$6,
 0)</f>
        <v>0</v>
      </c>
      <c r="U25" s="28">
        <f>U24*(1+Scenarios!$K$8) + IF(C25&lt;Scenarios!$K$7, 'Superannuation (Inputs)'!$N$7, 0)</f>
        <v>4998935.1526129572</v>
      </c>
      <c r="V25" s="28">
        <f>V24*(1+Scenarios!$K$11)</f>
        <v>3884294.8613941413</v>
      </c>
      <c r="W25" s="28">
        <f t="shared" si="6"/>
        <v>1181534.0787409463</v>
      </c>
      <c r="X25" s="28">
        <f t="shared" si="0"/>
        <v>10064764.092748046</v>
      </c>
      <c r="Y25" s="28">
        <f>IF(C25&gt;=Scenarios!$K$7, Profile!B28*(1+Scenarios!$K$10)^(C25-Scenarios!$K$7), 0)</f>
        <v>0</v>
      </c>
      <c r="Z25" s="28">
        <f t="shared" si="1"/>
        <v>10064764.092748046</v>
      </c>
    </row>
    <row r="26" spans="1:26">
      <c r="A26" s="4">
        <f t="shared" si="2"/>
        <v>21</v>
      </c>
      <c r="B26" s="4">
        <f t="shared" si="5"/>
        <v>2046</v>
      </c>
      <c r="C26" s="61">
        <f t="shared" si="3"/>
        <v>68</v>
      </c>
      <c r="D26" s="65">
        <f t="shared" si="3"/>
        <v>61</v>
      </c>
      <c r="E26" s="28">
        <f>IF(
 $C26 &lt; Scenarios!$K$7,
 _xlfn.XLOOKUP($B26,'Income Schedule'!$A$5:$A$60,'Income Schedule'!$B$5:$B$60,0),
 IF(
  $C26 = Scenarios!$K$7,
  _xlfn.XLOOKUP($B26,'Income Schedule'!$A$5:$A$60,'Income Schedule'!$B$5:$B$60,0) * (1-Profile!$B$20),
  0
 )
)</f>
        <v>0</v>
      </c>
      <c r="F26" s="28">
        <f>IF(
 $C26 &lt; (Scenarios!$K$15 + (Profile!$B$6-Profile!$B$7)),
 _xlfn.XLOOKUP($B26,'Income Schedule'!$A$5:$A$60,'Income Schedule'!$C$5:$C$60,0),
 IF(
  $C26 = (Scenarios!$K$15 + (Profile!$B$6-Profile!$B$7)),
  _xlfn.XLOOKUP($B26,'Income Schedule'!$A$5:$A$60,'Income Schedule'!$C$5:$C$60,0) * (1-Profile!$B$21),
  0
 )
)</f>
        <v>0</v>
      </c>
      <c r="G26" s="28">
        <f>IF(
 $C26 &lt; Scenarios!$K$7,
 IF('Superannuation (Inputs)'!$I$6="Fixed",
    'Superannuation (Inputs)'!$C$6,
    'Superannuation (Inputs)'!$J$6
 ),
 IF(
  $C26 = Scenarios!$K$7,
  IF('Superannuation (Inputs)'!$I$6="Fixed",
     'Superannuation (Inputs)'!$C$6*(1-Profile!$B$20),
     'Superannuation (Inputs)'!$J$6
  ),
  0
 )
)</f>
        <v>0</v>
      </c>
      <c r="H26" s="28">
        <f>G26 * 'Superannuation (Inputs)'!$H$6</f>
        <v>0</v>
      </c>
      <c r="I26" s="28">
        <f>IF(
 $C26 &lt; (Scenarios!$K$15 + (Profile!$B$6-Profile!$B$7)),
 IF('Superannuation (Inputs)'!$I$7="Fixed",
    'Superannuation (Inputs)'!$C$7,
    'Superannuation (Inputs)'!$J$7
 ),
 IF(
  $C26 = (Scenarios!$K$15 + (Profile!$B$6-Profile!$B$7)),
  IF('Superannuation (Inputs)'!$I$7="Fixed",
     'Superannuation (Inputs)'!$C$7*(1-Profile!$B$21),
     'Superannuation (Inputs)'!$J$7
  ),
  0
 )
)</f>
        <v>0</v>
      </c>
      <c r="J26" s="28">
        <f>I26 * 'Superannuation (Inputs)'!$H$7</f>
        <v>0</v>
      </c>
      <c r="K26" s="28">
        <f>K25*(1+Scenarios!$K$8) + G26-H26</f>
        <v>2372993.6559408163</v>
      </c>
      <c r="L26" s="28">
        <f>L25*(1+Scenarios!$K$8) + H26-I26</f>
        <v>881048.38324548199</v>
      </c>
      <c r="M26" s="28">
        <f t="shared" si="4"/>
        <v>3254042.0391862984</v>
      </c>
      <c r="N26" s="28">
        <f>(IF((E26 + 0.5*INDEX(Property_CF!$B$187:$AZ$187,1,$A26))&lt;=18200,0, IF((E26 + 0.5*INDEX(Property_CF!$B$187:$AZ$187,1,$A26))&lt;=45000,((E26 + 0.5*INDEX(Property_CF!$B$187:$AZ$187,1,$A26))-18200)*0.19, IF((E26 + 0.5*INDEX(Property_CF!$B$187:$AZ$187,1,$A26))&lt;=120000,5092+((E26 + 0.5*INDEX(Property_CF!$B$187:$AZ$187,1,$A26))-45000)*0.325, IF((E26 + 0.5*INDEX(Property_CF!$B$187:$AZ$187,1,$A26))&lt;=180000,29467+((E26 + 0.5*INDEX(Property_CF!$B$187:$AZ$187,1,$A26))-120000)*0.37, 51667+((E26 + 0.5*INDEX(Property_CF!$B$187:$AZ$187,1,$A26))-180000)*0.45)))))+((E26 + 0.5*INDEX(Property_CF!$B$187:$AZ$187,1,$A26)))*0.02</f>
        <v>15857.714868134495</v>
      </c>
      <c r="O26" s="28">
        <f>(IF((F26 + 0.5*INDEX(Property_CF!$B$187:$AZ$187,1,$A26))&lt;=18200,0, IF((F26 + 0.5*INDEX(Property_CF!$B$187:$AZ$187,1,$A26))&lt;=45000,((F26 + 0.5*INDEX(Property_CF!$B$187:$AZ$187,1,$A26))-18200)*0.19, IF((F26 + 0.5*INDEX(Property_CF!$B$187:$AZ$187,1,$A26))&lt;=120000,5092+((F26 + 0.5*INDEX(Property_CF!$B$187:$AZ$187,1,$A26))-45000)*0.325, IF((F26 + 0.5*INDEX(Property_CF!$B$187:$AZ$187,1,$A26))&lt;=180000,29467+((F26 + 0.5*INDEX(Property_CF!$B$187:$AZ$187,1,$A26))-120000)*0.37, 51667+((F26 + 0.5*INDEX(Property_CF!$B$187:$AZ$187,1,$A26))-180000)*0.45)))))+((F26 + 0.5*INDEX(Property_CF!$B$187:$AZ$187,1,$A26)))*0.02</f>
        <v>15857.714868134495</v>
      </c>
      <c r="P26" s="28">
        <f t="array" ref="P26">E26+F26+INDEX(Property_CF!$C$187:$AZ$187,1,$A26)</f>
        <v>147949.29934130452</v>
      </c>
      <c r="Q26" s="28">
        <f>Budget!$P$6</f>
        <v>76477.3</v>
      </c>
      <c r="R26" s="28">
        <f>SUM('Rental Tax &amp; Gearing'!$H$6:$H$8)</f>
        <v>-11228.78761669634</v>
      </c>
      <c r="S26" s="28">
        <f>IF($C26 &lt; Scenarios!$K$7,
    (P26 + R26 - Q26),
    0
)</f>
        <v>0</v>
      </c>
      <c r="T26" s="28">
        <f>IF($C26 &lt; Scenarios!$K$7,
 P26 - Budget!$P$6,
 0)</f>
        <v>0</v>
      </c>
      <c r="U26" s="28">
        <f>U25*(1+Scenarios!$K$8) + IF(C26&lt;Scenarios!$K$7, 'Superannuation (Inputs)'!$N$7, 0)</f>
        <v>5323865.9375327993</v>
      </c>
      <c r="V26" s="28">
        <f>V25*(1+Scenarios!$K$11)</f>
        <v>4059088.1301568775</v>
      </c>
      <c r="W26" s="28">
        <f t="shared" si="6"/>
        <v>1216980.1011031747</v>
      </c>
      <c r="X26" s="28">
        <f t="shared" si="0"/>
        <v>10599934.168792851</v>
      </c>
      <c r="Y26" s="28">
        <f>IF(C26&gt;=Scenarios!$K$7, Profile!B29*(1+Scenarios!$K$10)^(C26-Scenarios!$K$7), 0)</f>
        <v>0</v>
      </c>
      <c r="Z26" s="28">
        <f t="shared" si="1"/>
        <v>10599934.168792851</v>
      </c>
    </row>
    <row r="27" spans="1:26">
      <c r="A27" s="4">
        <f t="shared" si="2"/>
        <v>22</v>
      </c>
      <c r="B27" s="4">
        <f t="shared" si="5"/>
        <v>2047</v>
      </c>
      <c r="C27" s="61">
        <f t="shared" si="3"/>
        <v>69</v>
      </c>
      <c r="D27" s="65">
        <f t="shared" si="3"/>
        <v>62</v>
      </c>
      <c r="E27" s="28">
        <f>IF(
 $C27 &lt; Scenarios!$K$7,
 _xlfn.XLOOKUP($B27,'Income Schedule'!$A$5:$A$60,'Income Schedule'!$B$5:$B$60,0),
 IF(
  $C27 = Scenarios!$K$7,
  _xlfn.XLOOKUP($B27,'Income Schedule'!$A$5:$A$60,'Income Schedule'!$B$5:$B$60,0) * (1-Profile!$B$20),
  0
 )
)</f>
        <v>0</v>
      </c>
      <c r="F27" s="28">
        <f>IF(
 $C27 &lt; (Scenarios!$K$15 + (Profile!$B$6-Profile!$B$7)),
 _xlfn.XLOOKUP($B27,'Income Schedule'!$A$5:$A$60,'Income Schedule'!$C$5:$C$60,0),
 IF(
  $C27 = (Scenarios!$K$15 + (Profile!$B$6-Profile!$B$7)),
  _xlfn.XLOOKUP($B27,'Income Schedule'!$A$5:$A$60,'Income Schedule'!$C$5:$C$60,0) * (1-Profile!$B$21),
  0
 )
)</f>
        <v>0</v>
      </c>
      <c r="G27" s="28">
        <f>IF(
 $C27 &lt; Scenarios!$K$7,
 IF('Superannuation (Inputs)'!$I$6="Fixed",
    'Superannuation (Inputs)'!$C$6,
    'Superannuation (Inputs)'!$J$6
 ),
 IF(
  $C27 = Scenarios!$K$7,
  IF('Superannuation (Inputs)'!$I$6="Fixed",
     'Superannuation (Inputs)'!$C$6*(1-Profile!$B$20),
     'Superannuation (Inputs)'!$J$6
  ),
  0
 )
)</f>
        <v>0</v>
      </c>
      <c r="H27" s="28">
        <f>G27 * 'Superannuation (Inputs)'!$H$6</f>
        <v>0</v>
      </c>
      <c r="I27" s="28">
        <f>IF(
 $C27 &lt; (Scenarios!$K$15 + (Profile!$B$6-Profile!$B$7)),
 IF('Superannuation (Inputs)'!$I$7="Fixed",
    'Superannuation (Inputs)'!$C$7,
    'Superannuation (Inputs)'!$J$7
 ),
 IF(
  $C27 = (Scenarios!$K$15 + (Profile!$B$6-Profile!$B$7)),
  IF('Superannuation (Inputs)'!$I$7="Fixed",
     'Superannuation (Inputs)'!$C$7*(1-Profile!$B$21),
     'Superannuation (Inputs)'!$J$7
  ),
  0
 )
)</f>
        <v>0</v>
      </c>
      <c r="J27" s="28">
        <f>I27 * 'Superannuation (Inputs)'!$H$7</f>
        <v>0</v>
      </c>
      <c r="K27" s="28">
        <f>K26*(1+Scenarios!$K$8) + G27-H27</f>
        <v>2527238.243576969</v>
      </c>
      <c r="L27" s="28">
        <f>L26*(1+Scenarios!$K$8) + H27-I27</f>
        <v>938316.52815643826</v>
      </c>
      <c r="M27" s="28">
        <f t="shared" si="4"/>
        <v>3465554.7717334074</v>
      </c>
      <c r="N27" s="28">
        <f>(IF((E27 + 0.5*INDEX(Property_CF!$B$187:$AZ$187,1,$A27))&lt;=18200,0, IF((E27 + 0.5*INDEX(Property_CF!$B$187:$AZ$187,1,$A27))&lt;=45000,((E27 + 0.5*INDEX(Property_CF!$B$187:$AZ$187,1,$A27))-18200)*0.19, IF((E27 + 0.5*INDEX(Property_CF!$B$187:$AZ$187,1,$A27))&lt;=120000,5092+((E27 + 0.5*INDEX(Property_CF!$B$187:$AZ$187,1,$A27))-45000)*0.325, IF((E27 + 0.5*INDEX(Property_CF!$B$187:$AZ$187,1,$A27))&lt;=180000,29467+((E27 + 0.5*INDEX(Property_CF!$B$187:$AZ$187,1,$A27))-120000)*0.37, 51667+((E27 + 0.5*INDEX(Property_CF!$B$187:$AZ$187,1,$A27))-180000)*0.45)))))+((E27 + 0.5*INDEX(Property_CF!$B$187:$AZ$187,1,$A27)))*0.02</f>
        <v>15988.25413637503</v>
      </c>
      <c r="O27" s="28">
        <f>(IF((F27 + 0.5*INDEX(Property_CF!$B$187:$AZ$187,1,$A27))&lt;=18200,0, IF((F27 + 0.5*INDEX(Property_CF!$B$187:$AZ$187,1,$A27))&lt;=45000,((F27 + 0.5*INDEX(Property_CF!$B$187:$AZ$187,1,$A27))-18200)*0.19, IF((F27 + 0.5*INDEX(Property_CF!$B$187:$AZ$187,1,$A27))&lt;=120000,5092+((F27 + 0.5*INDEX(Property_CF!$B$187:$AZ$187,1,$A27))-45000)*0.325, IF((F27 + 0.5*INDEX(Property_CF!$B$187:$AZ$187,1,$A27))&lt;=180000,29467+((F27 + 0.5*INDEX(Property_CF!$B$187:$AZ$187,1,$A27))-120000)*0.37, 51667+((F27 + 0.5*INDEX(Property_CF!$B$187:$AZ$187,1,$A27))-180000)*0.45)))))+((F27 + 0.5*INDEX(Property_CF!$B$187:$AZ$187,1,$A27)))*0.02</f>
        <v>15988.25413637503</v>
      </c>
      <c r="P27" s="28">
        <f t="array" ref="P27">E27+F27+INDEX(Property_CF!$C$187:$AZ$187,1,$A27)</f>
        <v>157638.04328214965</v>
      </c>
      <c r="Q27" s="28">
        <f>Budget!$P$6</f>
        <v>76477.3</v>
      </c>
      <c r="R27" s="28">
        <f>SUM('Rental Tax &amp; Gearing'!$H$6:$H$8)</f>
        <v>-11228.78761669634</v>
      </c>
      <c r="S27" s="28">
        <f>IF($C27 &lt; Scenarios!$K$7,
    (P27 + R27 - Q27),
    0
)</f>
        <v>0</v>
      </c>
      <c r="T27" s="28">
        <f>IF($C27 &lt; Scenarios!$K$7,
 P27 - Budget!$P$6,
 0)</f>
        <v>0</v>
      </c>
      <c r="U27" s="28">
        <f>U26*(1+Scenarios!$K$8) + IF(C27&lt;Scenarios!$K$7, 'Superannuation (Inputs)'!$N$7, 0)</f>
        <v>5669917.2234724313</v>
      </c>
      <c r="V27" s="28">
        <f>V26*(1+Scenarios!$K$11)</f>
        <v>4241747.0960139362</v>
      </c>
      <c r="W27" s="28">
        <f t="shared" si="6"/>
        <v>1253489.5041362699</v>
      </c>
      <c r="X27" s="28">
        <f t="shared" si="0"/>
        <v>11165153.823622638</v>
      </c>
      <c r="Y27" s="28">
        <f>IF(C27&gt;=Scenarios!$K$7, Profile!B30*(1+Scenarios!$K$10)^(C27-Scenarios!$K$7), 0)</f>
        <v>0</v>
      </c>
      <c r="Z27" s="28">
        <f t="shared" si="1"/>
        <v>11165153.823622638</v>
      </c>
    </row>
    <row r="28" spans="1:26">
      <c r="A28" s="4">
        <f t="shared" si="2"/>
        <v>23</v>
      </c>
      <c r="B28" s="4">
        <f t="shared" si="5"/>
        <v>2048</v>
      </c>
      <c r="C28" s="61">
        <f t="shared" si="3"/>
        <v>70</v>
      </c>
      <c r="D28" s="65">
        <f t="shared" si="3"/>
        <v>63</v>
      </c>
      <c r="E28" s="28">
        <f>IF(
 $C28 &lt; Scenarios!$K$7,
 _xlfn.XLOOKUP($B28,'Income Schedule'!$A$5:$A$60,'Income Schedule'!$B$5:$B$60,0),
 IF(
  $C28 = Scenarios!$K$7,
  _xlfn.XLOOKUP($B28,'Income Schedule'!$A$5:$A$60,'Income Schedule'!$B$5:$B$60,0) * (1-Profile!$B$20),
  0
 )
)</f>
        <v>0</v>
      </c>
      <c r="F28" s="28">
        <f>IF(
 $C28 &lt; (Scenarios!$K$15 + (Profile!$B$6-Profile!$B$7)),
 _xlfn.XLOOKUP($B28,'Income Schedule'!$A$5:$A$60,'Income Schedule'!$C$5:$C$60,0),
 IF(
  $C28 = (Scenarios!$K$15 + (Profile!$B$6-Profile!$B$7)),
  _xlfn.XLOOKUP($B28,'Income Schedule'!$A$5:$A$60,'Income Schedule'!$C$5:$C$60,0) * (1-Profile!$B$21),
  0
 )
)</f>
        <v>0</v>
      </c>
      <c r="G28" s="28">
        <f>IF(
 $C28 &lt; Scenarios!$K$7,
 IF('Superannuation (Inputs)'!$I$6="Fixed",
    'Superannuation (Inputs)'!$C$6,
    'Superannuation (Inputs)'!$J$6
 ),
 IF(
  $C28 = Scenarios!$K$7,
  IF('Superannuation (Inputs)'!$I$6="Fixed",
     'Superannuation (Inputs)'!$C$6*(1-Profile!$B$20),
     'Superannuation (Inputs)'!$J$6
  ),
  0
 )
)</f>
        <v>0</v>
      </c>
      <c r="H28" s="28">
        <f>G28 * 'Superannuation (Inputs)'!$H$6</f>
        <v>0</v>
      </c>
      <c r="I28" s="28">
        <f>IF(
 $C28 &lt; (Scenarios!$K$15 + (Profile!$B$6-Profile!$B$7)),
 IF('Superannuation (Inputs)'!$I$7="Fixed",
    'Superannuation (Inputs)'!$C$7,
    'Superannuation (Inputs)'!$J$7
 ),
 IF(
  $C28 = (Scenarios!$K$15 + (Profile!$B$6-Profile!$B$7)),
  IF('Superannuation (Inputs)'!$I$7="Fixed",
     'Superannuation (Inputs)'!$C$7*(1-Profile!$B$21),
     'Superannuation (Inputs)'!$J$7
  ),
  0
 )
)</f>
        <v>0</v>
      </c>
      <c r="J28" s="28">
        <f>I28 * 'Superannuation (Inputs)'!$H$7</f>
        <v>0</v>
      </c>
      <c r="K28" s="28">
        <f>K27*(1+Scenarios!$K$8) + G28-H28</f>
        <v>2691508.7294094721</v>
      </c>
      <c r="L28" s="28">
        <f>L27*(1+Scenarios!$K$8) + H28-I28</f>
        <v>999307.10248660669</v>
      </c>
      <c r="M28" s="28">
        <f t="shared" si="4"/>
        <v>3690815.8318960788</v>
      </c>
      <c r="N28" s="28">
        <f>(IF((E28 + 0.5*INDEX(Property_CF!$B$187:$AZ$187,1,$A28))&lt;=18200,0, IF((E28 + 0.5*INDEX(Property_CF!$B$187:$AZ$187,1,$A28))&lt;=45000,((E28 + 0.5*INDEX(Property_CF!$B$187:$AZ$187,1,$A28))-18200)*0.19, IF((E28 + 0.5*INDEX(Property_CF!$B$187:$AZ$187,1,$A28))&lt;=120000,5092+((E28 + 0.5*INDEX(Property_CF!$B$187:$AZ$187,1,$A28))-45000)*0.325, IF((E28 + 0.5*INDEX(Property_CF!$B$187:$AZ$187,1,$A28))&lt;=180000,29467+((E28 + 0.5*INDEX(Property_CF!$B$187:$AZ$187,1,$A28))-120000)*0.37, 51667+((E28 + 0.5*INDEX(Property_CF!$B$187:$AZ$187,1,$A28))-180000)*0.45)))))+((E28 + 0.5*INDEX(Property_CF!$B$187:$AZ$187,1,$A28)))*0.02</f>
        <v>17659.562466170813</v>
      </c>
      <c r="O28" s="28">
        <f>(IF((F28 + 0.5*INDEX(Property_CF!$B$187:$AZ$187,1,$A28))&lt;=18200,0, IF((F28 + 0.5*INDEX(Property_CF!$B$187:$AZ$187,1,$A28))&lt;=45000,((F28 + 0.5*INDEX(Property_CF!$B$187:$AZ$187,1,$A28))-18200)*0.19, IF((F28 + 0.5*INDEX(Property_CF!$B$187:$AZ$187,1,$A28))&lt;=120000,5092+((F28 + 0.5*INDEX(Property_CF!$B$187:$AZ$187,1,$A28))-45000)*0.325, IF((F28 + 0.5*INDEX(Property_CF!$B$187:$AZ$187,1,$A28))&lt;=180000,29467+((F28 + 0.5*INDEX(Property_CF!$B$187:$AZ$187,1,$A28))-120000)*0.37, 51667+((F28 + 0.5*INDEX(Property_CF!$B$187:$AZ$187,1,$A28))-180000)*0.45)))))+((F28 + 0.5*INDEX(Property_CF!$B$187:$AZ$187,1,$A28)))*0.02</f>
        <v>17659.562466170813</v>
      </c>
      <c r="P28" s="28">
        <f t="array" ref="P28">E28+F28+INDEX(Property_CF!$C$187:$AZ$187,1,$A28)</f>
        <v>163105.72442148527</v>
      </c>
      <c r="Q28" s="28">
        <f>Budget!$P$6</f>
        <v>76477.3</v>
      </c>
      <c r="R28" s="28">
        <f>SUM('Rental Tax &amp; Gearing'!$H$6:$H$8)</f>
        <v>-11228.78761669634</v>
      </c>
      <c r="S28" s="28">
        <f>IF($C28 &lt; Scenarios!$K$7,
    (P28 + R28 - Q28),
    0
)</f>
        <v>0</v>
      </c>
      <c r="T28" s="28">
        <f>IF($C28 &lt; Scenarios!$K$7,
 P28 - Budget!$P$6,
 0)</f>
        <v>0</v>
      </c>
      <c r="U28" s="28">
        <f>U27*(1+Scenarios!$K$8) + IF(C28&lt;Scenarios!$K$7, 'Superannuation (Inputs)'!$N$7, 0)</f>
        <v>6038461.8429981386</v>
      </c>
      <c r="V28" s="28">
        <f>V27*(1+Scenarios!$K$11)</f>
        <v>4432625.7153345626</v>
      </c>
      <c r="W28" s="28">
        <f t="shared" si="6"/>
        <v>1291094.189260358</v>
      </c>
      <c r="X28" s="28">
        <f t="shared" si="0"/>
        <v>11762181.747593058</v>
      </c>
      <c r="Y28" s="28">
        <f>IF(C28&gt;=Scenarios!$K$7, Profile!B31*(1+Scenarios!$K$10)^(C28-Scenarios!$K$7), 0)</f>
        <v>0</v>
      </c>
      <c r="Z28" s="28">
        <f t="shared" si="1"/>
        <v>11762181.747593058</v>
      </c>
    </row>
    <row r="29" spans="1:26">
      <c r="A29" s="4">
        <f t="shared" si="2"/>
        <v>24</v>
      </c>
      <c r="B29" s="4">
        <f t="shared" si="5"/>
        <v>2049</v>
      </c>
      <c r="C29" s="61">
        <f t="shared" si="3"/>
        <v>71</v>
      </c>
      <c r="D29" s="65">
        <f t="shared" si="3"/>
        <v>64</v>
      </c>
      <c r="E29" s="28">
        <f>IF(
 $C29 &lt; Scenarios!$K$7,
 _xlfn.XLOOKUP($B29,'Income Schedule'!$A$5:$A$60,'Income Schedule'!$B$5:$B$60,0),
 IF(
  $C29 = Scenarios!$K$7,
  _xlfn.XLOOKUP($B29,'Income Schedule'!$A$5:$A$60,'Income Schedule'!$B$5:$B$60,0) * (1-Profile!$B$20),
  0
 )
)</f>
        <v>0</v>
      </c>
      <c r="F29" s="28">
        <f>IF(
 $C29 &lt; (Scenarios!$K$15 + (Profile!$B$6-Profile!$B$7)),
 _xlfn.XLOOKUP($B29,'Income Schedule'!$A$5:$A$60,'Income Schedule'!$C$5:$C$60,0),
 IF(
  $C29 = (Scenarios!$K$15 + (Profile!$B$6-Profile!$B$7)),
  _xlfn.XLOOKUP($B29,'Income Schedule'!$A$5:$A$60,'Income Schedule'!$C$5:$C$60,0) * (1-Profile!$B$21),
  0
 )
)</f>
        <v>0</v>
      </c>
      <c r="G29" s="28">
        <f>IF(
 $C29 &lt; Scenarios!$K$7,
 IF('Superannuation (Inputs)'!$I$6="Fixed",
    'Superannuation (Inputs)'!$C$6,
    'Superannuation (Inputs)'!$J$6
 ),
 IF(
  $C29 = Scenarios!$K$7,
  IF('Superannuation (Inputs)'!$I$6="Fixed",
     'Superannuation (Inputs)'!$C$6*(1-Profile!$B$20),
     'Superannuation (Inputs)'!$J$6
  ),
  0
 )
)</f>
        <v>0</v>
      </c>
      <c r="H29" s="28">
        <f>G29 * 'Superannuation (Inputs)'!$H$6</f>
        <v>0</v>
      </c>
      <c r="I29" s="28">
        <f>IF(
 $C29 &lt; (Scenarios!$K$15 + (Profile!$B$6-Profile!$B$7)),
 IF('Superannuation (Inputs)'!$I$7="Fixed",
    'Superannuation (Inputs)'!$C$7,
    'Superannuation (Inputs)'!$J$7
 ),
 IF(
  $C29 = (Scenarios!$K$15 + (Profile!$B$6-Profile!$B$7)),
  IF('Superannuation (Inputs)'!$I$7="Fixed",
     'Superannuation (Inputs)'!$C$7*(1-Profile!$B$21),
     'Superannuation (Inputs)'!$J$7
  ),
  0
 )
)</f>
        <v>0</v>
      </c>
      <c r="J29" s="28">
        <f>I29 * 'Superannuation (Inputs)'!$H$7</f>
        <v>0</v>
      </c>
      <c r="K29" s="28">
        <f>K28*(1+Scenarios!$K$8) + G29-H29</f>
        <v>2866456.7968210876</v>
      </c>
      <c r="L29" s="28">
        <f>L28*(1+Scenarios!$K$8) + H29-I29</f>
        <v>1064262.0641482361</v>
      </c>
      <c r="M29" s="28">
        <f t="shared" si="4"/>
        <v>3930718.8609693237</v>
      </c>
      <c r="N29" s="28">
        <f>(IF((E29 + 0.5*INDEX(Property_CF!$B$187:$AZ$187,1,$A29))&lt;=18200,0, IF((E29 + 0.5*INDEX(Property_CF!$B$187:$AZ$187,1,$A29))&lt;=45000,((E29 + 0.5*INDEX(Property_CF!$B$187:$AZ$187,1,$A29))-18200)*0.19, IF((E29 + 0.5*INDEX(Property_CF!$B$187:$AZ$187,1,$A29))&lt;=120000,5092+((E29 + 0.5*INDEX(Property_CF!$B$187:$AZ$187,1,$A29))-45000)*0.325, IF((E29 + 0.5*INDEX(Property_CF!$B$187:$AZ$187,1,$A29))&lt;=180000,29467+((E29 + 0.5*INDEX(Property_CF!$B$187:$AZ$187,1,$A29))-120000)*0.37, 51667+((E29 + 0.5*INDEX(Property_CF!$B$187:$AZ$187,1,$A29))-180000)*0.45)))))+((E29 + 0.5*INDEX(Property_CF!$B$187:$AZ$187,1,$A29)))*0.02</f>
        <v>18602.737462706205</v>
      </c>
      <c r="O29" s="28">
        <f>(IF((F29 + 0.5*INDEX(Property_CF!$B$187:$AZ$187,1,$A29))&lt;=18200,0, IF((F29 + 0.5*INDEX(Property_CF!$B$187:$AZ$187,1,$A29))&lt;=45000,((F29 + 0.5*INDEX(Property_CF!$B$187:$AZ$187,1,$A29))-18200)*0.19, IF((F29 + 0.5*INDEX(Property_CF!$B$187:$AZ$187,1,$A29))&lt;=120000,5092+((F29 + 0.5*INDEX(Property_CF!$B$187:$AZ$187,1,$A29))-45000)*0.325, IF((F29 + 0.5*INDEX(Property_CF!$B$187:$AZ$187,1,$A29))&lt;=180000,29467+((F29 + 0.5*INDEX(Property_CF!$B$187:$AZ$187,1,$A29))-120000)*0.37, 51667+((F29 + 0.5*INDEX(Property_CF!$B$187:$AZ$187,1,$A29))-180000)*0.45)))))+((F29 + 0.5*INDEX(Property_CF!$B$187:$AZ$187,1,$A29)))*0.02</f>
        <v>18602.737462706205</v>
      </c>
      <c r="P29" s="28">
        <f t="array" ref="P29">E29+F29+INDEX(Property_CF!$C$187:$AZ$187,1,$A29)</f>
        <v>168743.43724727281</v>
      </c>
      <c r="Q29" s="28">
        <f>Budget!$P$6</f>
        <v>76477.3</v>
      </c>
      <c r="R29" s="28">
        <f>SUM('Rental Tax &amp; Gearing'!$H$6:$H$8)</f>
        <v>-11228.78761669634</v>
      </c>
      <c r="S29" s="28">
        <f>IF($C29 &lt; Scenarios!$K$7,
    (P29 + R29 - Q29),
    0
)</f>
        <v>0</v>
      </c>
      <c r="T29" s="28">
        <f>IF($C29 &lt; Scenarios!$K$7,
 P29 - Budget!$P$6,
 0)</f>
        <v>0</v>
      </c>
      <c r="U29" s="28">
        <f>U28*(1+Scenarios!$K$8) + IF(C29&lt;Scenarios!$K$7, 'Superannuation (Inputs)'!$N$7, 0)</f>
        <v>6430961.8627930172</v>
      </c>
      <c r="V29" s="28">
        <f>V28*(1+Scenarios!$K$11)</f>
        <v>4632093.8725246172</v>
      </c>
      <c r="W29" s="28">
        <f t="shared" si="6"/>
        <v>1329827.0149381687</v>
      </c>
      <c r="X29" s="28">
        <f t="shared" si="0"/>
        <v>12392882.750255803</v>
      </c>
      <c r="Y29" s="28">
        <f>IF(C29&gt;=Scenarios!$K$7, Profile!B32*(1+Scenarios!$K$10)^(C29-Scenarios!$K$7), 0)</f>
        <v>0</v>
      </c>
      <c r="Z29" s="28">
        <f t="shared" si="1"/>
        <v>12392882.750255803</v>
      </c>
    </row>
    <row r="30" spans="1:26">
      <c r="A30" s="4">
        <f t="shared" si="2"/>
        <v>25</v>
      </c>
      <c r="B30" s="4">
        <f t="shared" si="5"/>
        <v>2050</v>
      </c>
      <c r="C30" s="61">
        <f t="shared" si="3"/>
        <v>72</v>
      </c>
      <c r="D30" s="65">
        <f t="shared" si="3"/>
        <v>65</v>
      </c>
      <c r="E30" s="28">
        <f>IF(
 $C30 &lt; Scenarios!$K$7,
 _xlfn.XLOOKUP($B30,'Income Schedule'!$A$5:$A$60,'Income Schedule'!$B$5:$B$60,0),
 IF(
  $C30 = Scenarios!$K$7,
  _xlfn.XLOOKUP($B30,'Income Schedule'!$A$5:$A$60,'Income Schedule'!$B$5:$B$60,0) * (1-Profile!$B$20),
  0
 )
)</f>
        <v>0</v>
      </c>
      <c r="F30" s="28">
        <f>IF(
 $C30 &lt; (Scenarios!$K$15 + (Profile!$B$6-Profile!$B$7)),
 _xlfn.XLOOKUP($B30,'Income Schedule'!$A$5:$A$60,'Income Schedule'!$C$5:$C$60,0),
 IF(
  $C30 = (Scenarios!$K$15 + (Profile!$B$6-Profile!$B$7)),
  _xlfn.XLOOKUP($B30,'Income Schedule'!$A$5:$A$60,'Income Schedule'!$C$5:$C$60,0) * (1-Profile!$B$21),
  0
 )
)</f>
        <v>0</v>
      </c>
      <c r="G30" s="28">
        <f>IF(
 $C30 &lt; Scenarios!$K$7,
 IF('Superannuation (Inputs)'!$I$6="Fixed",
    'Superannuation (Inputs)'!$C$6,
    'Superannuation (Inputs)'!$J$6
 ),
 IF(
  $C30 = Scenarios!$K$7,
  IF('Superannuation (Inputs)'!$I$6="Fixed",
     'Superannuation (Inputs)'!$C$6*(1-Profile!$B$20),
     'Superannuation (Inputs)'!$J$6
  ),
  0
 )
)</f>
        <v>0</v>
      </c>
      <c r="H30" s="28">
        <f>G30 * 'Superannuation (Inputs)'!$H$6</f>
        <v>0</v>
      </c>
      <c r="I30" s="28">
        <f>IF(
 $C30 &lt; (Scenarios!$K$15 + (Profile!$B$6-Profile!$B$7)),
 IF('Superannuation (Inputs)'!$I$7="Fixed",
    'Superannuation (Inputs)'!$C$7,
    'Superannuation (Inputs)'!$J$7
 ),
 IF(
  $C30 = (Scenarios!$K$15 + (Profile!$B$6-Profile!$B$7)),
  IF('Superannuation (Inputs)'!$I$7="Fixed",
     'Superannuation (Inputs)'!$C$7*(1-Profile!$B$21),
     'Superannuation (Inputs)'!$J$7
  ),
  0
 )
)</f>
        <v>0</v>
      </c>
      <c r="J30" s="28">
        <f>I30 * 'Superannuation (Inputs)'!$H$7</f>
        <v>0</v>
      </c>
      <c r="K30" s="28">
        <f>K29*(1+Scenarios!$K$8) + G30-H30</f>
        <v>3052776.4886144581</v>
      </c>
      <c r="L30" s="28">
        <f>L29*(1+Scenarios!$K$8) + H30-I30</f>
        <v>1133439.0983178713</v>
      </c>
      <c r="M30" s="28">
        <f t="shared" si="4"/>
        <v>4186215.5869323295</v>
      </c>
      <c r="N30" s="28">
        <f>(IF((E30 + 0.5*INDEX(Property_CF!$B$187:$AZ$187,1,$A30))&lt;=18200,0, IF((E30 + 0.5*INDEX(Property_CF!$B$187:$AZ$187,1,$A30))&lt;=45000,((E30 + 0.5*INDEX(Property_CF!$B$187:$AZ$187,1,$A30))-18200)*0.19, IF((E30 + 0.5*INDEX(Property_CF!$B$187:$AZ$187,1,$A30))&lt;=120000,5092+((E30 + 0.5*INDEX(Property_CF!$B$187:$AZ$187,1,$A30))-45000)*0.325, IF((E30 + 0.5*INDEX(Property_CF!$B$187:$AZ$187,1,$A30))&lt;=180000,29467+((E30 + 0.5*INDEX(Property_CF!$B$187:$AZ$187,1,$A30))-120000)*0.37, 51667+((E30 + 0.5*INDEX(Property_CF!$B$187:$AZ$187,1,$A30))-180000)*0.45)))))+((E30 + 0.5*INDEX(Property_CF!$B$187:$AZ$187,1,$A30)))*0.02</f>
        <v>19575.242925154562</v>
      </c>
      <c r="O30" s="28">
        <f>(IF((F30 + 0.5*INDEX(Property_CF!$B$187:$AZ$187,1,$A30))&lt;=18200,0, IF((F30 + 0.5*INDEX(Property_CF!$B$187:$AZ$187,1,$A30))&lt;=45000,((F30 + 0.5*INDEX(Property_CF!$B$187:$AZ$187,1,$A30))-18200)*0.19, IF((F30 + 0.5*INDEX(Property_CF!$B$187:$AZ$187,1,$A30))&lt;=120000,5092+((F30 + 0.5*INDEX(Property_CF!$B$187:$AZ$187,1,$A30))-45000)*0.325, IF((F30 + 0.5*INDEX(Property_CF!$B$187:$AZ$187,1,$A30))&lt;=180000,29467+((F30 + 0.5*INDEX(Property_CF!$B$187:$AZ$187,1,$A30))-120000)*0.37, 51667+((F30 + 0.5*INDEX(Property_CF!$B$187:$AZ$187,1,$A30))-180000)*0.45)))))+((F30 + 0.5*INDEX(Property_CF!$B$187:$AZ$187,1,$A30)))*0.02</f>
        <v>19575.242925154562</v>
      </c>
      <c r="P30" s="28">
        <f t="array" ref="P30">E30+F30+INDEX(Property_CF!$C$187:$AZ$187,1,$A30)</f>
        <v>170170.43274141254</v>
      </c>
      <c r="Q30" s="28">
        <f>Budget!$P$6</f>
        <v>76477.3</v>
      </c>
      <c r="R30" s="28">
        <f>SUM('Rental Tax &amp; Gearing'!$H$6:$H$8)</f>
        <v>-11228.78761669634</v>
      </c>
      <c r="S30" s="28">
        <f>IF($C30 &lt; Scenarios!$K$7,
    (P30 + R30 - Q30),
    0
)</f>
        <v>0</v>
      </c>
      <c r="T30" s="28">
        <f>IF($C30 &lt; Scenarios!$K$7,
 P30 - Budget!$P$6,
 0)</f>
        <v>0</v>
      </c>
      <c r="U30" s="28">
        <f>U29*(1+Scenarios!$K$8) + IF(C30&lt;Scenarios!$K$7, 'Superannuation (Inputs)'!$N$7, 0)</f>
        <v>6848974.3838745626</v>
      </c>
      <c r="V30" s="28">
        <f>V29*(1+Scenarios!$K$11)</f>
        <v>4840538.0967882248</v>
      </c>
      <c r="W30" s="28">
        <f t="shared" si="6"/>
        <v>1369721.8253863137</v>
      </c>
      <c r="X30" s="28">
        <f t="shared" si="0"/>
        <v>13059234.306049101</v>
      </c>
      <c r="Y30" s="28">
        <f>IF(C30&gt;=Scenarios!$K$7, Profile!B33*(1+Scenarios!$K$10)^(C30-Scenarios!$K$7), 0)</f>
        <v>0</v>
      </c>
      <c r="Z30" s="28">
        <f t="shared" si="1"/>
        <v>13059234.306049101</v>
      </c>
    </row>
    <row r="31" spans="1:26">
      <c r="A31" s="4">
        <f t="shared" si="2"/>
        <v>26</v>
      </c>
      <c r="B31" s="4">
        <f t="shared" si="5"/>
        <v>2051</v>
      </c>
      <c r="C31" s="61">
        <f t="shared" si="3"/>
        <v>73</v>
      </c>
      <c r="D31" s="65">
        <f t="shared" si="3"/>
        <v>66</v>
      </c>
      <c r="E31" s="28">
        <f>IF(
 $C31 &lt; Scenarios!$K$7,
 _xlfn.XLOOKUP($B31,'Income Schedule'!$A$5:$A$60,'Income Schedule'!$B$5:$B$60,0),
 IF(
  $C31 = Scenarios!$K$7,
  _xlfn.XLOOKUP($B31,'Income Schedule'!$A$5:$A$60,'Income Schedule'!$B$5:$B$60,0) * (1-Profile!$B$20),
  0
 )
)</f>
        <v>0</v>
      </c>
      <c r="F31" s="28">
        <f>IF(
 $C31 &lt; (Scenarios!$K$15 + (Profile!$B$6-Profile!$B$7)),
 _xlfn.XLOOKUP($B31,'Income Schedule'!$A$5:$A$60,'Income Schedule'!$C$5:$C$60,0),
 IF(
  $C31 = (Scenarios!$K$15 + (Profile!$B$6-Profile!$B$7)),
  _xlfn.XLOOKUP($B31,'Income Schedule'!$A$5:$A$60,'Income Schedule'!$C$5:$C$60,0) * (1-Profile!$B$21),
  0
 )
)</f>
        <v>0</v>
      </c>
      <c r="G31" s="28">
        <f>IF(
 $C31 &lt; Scenarios!$K$7,
 IF('Superannuation (Inputs)'!$I$6="Fixed",
    'Superannuation (Inputs)'!$C$6,
    'Superannuation (Inputs)'!$J$6
 ),
 IF(
  $C31 = Scenarios!$K$7,
  IF('Superannuation (Inputs)'!$I$6="Fixed",
     'Superannuation (Inputs)'!$C$6*(1-Profile!$B$20),
     'Superannuation (Inputs)'!$J$6
  ),
  0
 )
)</f>
        <v>0</v>
      </c>
      <c r="H31" s="28">
        <f>G31 * 'Superannuation (Inputs)'!$H$6</f>
        <v>0</v>
      </c>
      <c r="I31" s="28">
        <f>IF(
 $C31 &lt; (Scenarios!$K$15 + (Profile!$B$6-Profile!$B$7)),
 IF('Superannuation (Inputs)'!$I$7="Fixed",
    'Superannuation (Inputs)'!$C$7,
    'Superannuation (Inputs)'!$J$7
 ),
 IF(
  $C31 = (Scenarios!$K$15 + (Profile!$B$6-Profile!$B$7)),
  IF('Superannuation (Inputs)'!$I$7="Fixed",
     'Superannuation (Inputs)'!$C$7*(1-Profile!$B$21),
     'Superannuation (Inputs)'!$J$7
  ),
  0
 )
)</f>
        <v>0</v>
      </c>
      <c r="J31" s="28">
        <f>I31 * 'Superannuation (Inputs)'!$H$7</f>
        <v>0</v>
      </c>
      <c r="K31" s="28">
        <f>K30*(1+Scenarios!$K$8) + G31-H31</f>
        <v>3251206.9603743977</v>
      </c>
      <c r="L31" s="28">
        <f>L30*(1+Scenarios!$K$8) + H31-I31</f>
        <v>1207112.639708533</v>
      </c>
      <c r="M31" s="28">
        <f t="shared" si="4"/>
        <v>4458319.6000829302</v>
      </c>
      <c r="N31" s="28">
        <f>(IF((E31 + 0.5*INDEX(Property_CF!$B$187:$AZ$187,1,$A31))&lt;=18200,0, IF((E31 + 0.5*INDEX(Property_CF!$B$187:$AZ$187,1,$A31))&lt;=45000,((E31 + 0.5*INDEX(Property_CF!$B$187:$AZ$187,1,$A31))-18200)*0.19, IF((E31 + 0.5*INDEX(Property_CF!$B$187:$AZ$187,1,$A31))&lt;=120000,5092+((E31 + 0.5*INDEX(Property_CF!$B$187:$AZ$187,1,$A31))-45000)*0.325, IF((E31 + 0.5*INDEX(Property_CF!$B$187:$AZ$187,1,$A31))&lt;=180000,29467+((E31 + 0.5*INDEX(Property_CF!$B$187:$AZ$187,1,$A31))-120000)*0.37, 51667+((E31 + 0.5*INDEX(Property_CF!$B$187:$AZ$187,1,$A31))-180000)*0.45)))))+((E31 + 0.5*INDEX(Property_CF!$B$187:$AZ$187,1,$A31)))*0.02</f>
        <v>19821.399647893664</v>
      </c>
      <c r="O31" s="28">
        <f>(IF((F31 + 0.5*INDEX(Property_CF!$B$187:$AZ$187,1,$A31))&lt;=18200,0, IF((F31 + 0.5*INDEX(Property_CF!$B$187:$AZ$187,1,$A31))&lt;=45000,((F31 + 0.5*INDEX(Property_CF!$B$187:$AZ$187,1,$A31))-18200)*0.19, IF((F31 + 0.5*INDEX(Property_CF!$B$187:$AZ$187,1,$A31))&lt;=120000,5092+((F31 + 0.5*INDEX(Property_CF!$B$187:$AZ$187,1,$A31))-45000)*0.325, IF((F31 + 0.5*INDEX(Property_CF!$B$187:$AZ$187,1,$A31))&lt;=180000,29467+((F31 + 0.5*INDEX(Property_CF!$B$187:$AZ$187,1,$A31))-120000)*0.37, 51667+((F31 + 0.5*INDEX(Property_CF!$B$187:$AZ$187,1,$A31))-180000)*0.45)))))+((F31 + 0.5*INDEX(Property_CF!$B$187:$AZ$187,1,$A31)))*0.02</f>
        <v>19821.399647893664</v>
      </c>
      <c r="P31" s="28">
        <f t="array" ref="P31">E31+F31+INDEX(Property_CF!$C$187:$AZ$187,1,$A31)</f>
        <v>180550.12316604448</v>
      </c>
      <c r="Q31" s="28">
        <f>Budget!$P$6</f>
        <v>76477.3</v>
      </c>
      <c r="R31" s="28">
        <f>SUM('Rental Tax &amp; Gearing'!$H$6:$H$8)</f>
        <v>-11228.78761669634</v>
      </c>
      <c r="S31" s="28">
        <f>IF($C31 &lt; Scenarios!$K$7,
    (P31 + R31 - Q31),
    0
)</f>
        <v>0</v>
      </c>
      <c r="T31" s="28">
        <f>IF($C31 &lt; Scenarios!$K$7,
 P31 - Budget!$P$6,
 0)</f>
        <v>0</v>
      </c>
      <c r="U31" s="28">
        <f>U30*(1+Scenarios!$K$8) + IF(C31&lt;Scenarios!$K$7, 'Superannuation (Inputs)'!$N$7, 0)</f>
        <v>7294157.7188264085</v>
      </c>
      <c r="V31" s="28">
        <f>V30*(1+Scenarios!$K$11)</f>
        <v>5058362.3111436944</v>
      </c>
      <c r="W31" s="28">
        <f t="shared" si="6"/>
        <v>1410813.4801479031</v>
      </c>
      <c r="X31" s="28">
        <f t="shared" si="0"/>
        <v>13763333.510118006</v>
      </c>
      <c r="Y31" s="28">
        <f>IF(C31&gt;=Scenarios!$K$7, Profile!B34*(1+Scenarios!$K$10)^(C31-Scenarios!$K$7), 0)</f>
        <v>0</v>
      </c>
      <c r="Z31" s="28">
        <f t="shared" si="1"/>
        <v>13763333.510118006</v>
      </c>
    </row>
    <row r="32" spans="1:26">
      <c r="A32" s="4">
        <f t="shared" si="2"/>
        <v>27</v>
      </c>
      <c r="B32" s="4">
        <f t="shared" si="5"/>
        <v>2052</v>
      </c>
      <c r="C32" s="61">
        <f t="shared" si="3"/>
        <v>74</v>
      </c>
      <c r="D32" s="65">
        <f t="shared" si="3"/>
        <v>67</v>
      </c>
      <c r="E32" s="28">
        <f>IF(
 $C32 &lt; Scenarios!$K$7,
 _xlfn.XLOOKUP($B32,'Income Schedule'!$A$5:$A$60,'Income Schedule'!$B$5:$B$60,0),
 IF(
  $C32 = Scenarios!$K$7,
  _xlfn.XLOOKUP($B32,'Income Schedule'!$A$5:$A$60,'Income Schedule'!$B$5:$B$60,0) * (1-Profile!$B$20),
  0
 )
)</f>
        <v>0</v>
      </c>
      <c r="F32" s="28">
        <f>IF(
 $C32 &lt; (Scenarios!$K$15 + (Profile!$B$6-Profile!$B$7)),
 _xlfn.XLOOKUP($B32,'Income Schedule'!$A$5:$A$60,'Income Schedule'!$C$5:$C$60,0),
 IF(
  $C32 = (Scenarios!$K$15 + (Profile!$B$6-Profile!$B$7)),
  _xlfn.XLOOKUP($B32,'Income Schedule'!$A$5:$A$60,'Income Schedule'!$C$5:$C$60,0) * (1-Profile!$B$21),
  0
 )
)</f>
        <v>0</v>
      </c>
      <c r="G32" s="28">
        <f>IF(
 $C32 &lt; Scenarios!$K$7,
 IF('Superannuation (Inputs)'!$I$6="Fixed",
    'Superannuation (Inputs)'!$C$6,
    'Superannuation (Inputs)'!$J$6
 ),
 IF(
  $C32 = Scenarios!$K$7,
  IF('Superannuation (Inputs)'!$I$6="Fixed",
     'Superannuation (Inputs)'!$C$6*(1-Profile!$B$20),
     'Superannuation (Inputs)'!$J$6
  ),
  0
 )
)</f>
        <v>0</v>
      </c>
      <c r="H32" s="28">
        <f>G32 * 'Superannuation (Inputs)'!$H$6</f>
        <v>0</v>
      </c>
      <c r="I32" s="28">
        <f>IF(
 $C32 &lt; (Scenarios!$K$15 + (Profile!$B$6-Profile!$B$7)),
 IF('Superannuation (Inputs)'!$I$7="Fixed",
    'Superannuation (Inputs)'!$C$7,
    'Superannuation (Inputs)'!$J$7
 ),
 IF(
  $C32 = (Scenarios!$K$15 + (Profile!$B$6-Profile!$B$7)),
  IF('Superannuation (Inputs)'!$I$7="Fixed",
     'Superannuation (Inputs)'!$C$7*(1-Profile!$B$21),
     'Superannuation (Inputs)'!$J$7
  ),
  0
 )
)</f>
        <v>0</v>
      </c>
      <c r="J32" s="28">
        <f>I32 * 'Superannuation (Inputs)'!$H$7</f>
        <v>0</v>
      </c>
      <c r="K32" s="28">
        <f>K31*(1+Scenarios!$K$8) + G32-H32</f>
        <v>3462535.4127987335</v>
      </c>
      <c r="L32" s="28">
        <f>L31*(1+Scenarios!$K$8) + H32-I32</f>
        <v>1285574.9612895874</v>
      </c>
      <c r="M32" s="28">
        <f t="shared" si="4"/>
        <v>4748110.3740883209</v>
      </c>
      <c r="N32" s="28">
        <f>(IF((E32 + 0.5*INDEX(Property_CF!$B$187:$AZ$187,1,$A32))&lt;=18200,0, IF((E32 + 0.5*INDEX(Property_CF!$B$187:$AZ$187,1,$A32))&lt;=45000,((E32 + 0.5*INDEX(Property_CF!$B$187:$AZ$187,1,$A32))-18200)*0.19, IF((E32 + 0.5*INDEX(Property_CF!$B$187:$AZ$187,1,$A32))&lt;=120000,5092+((E32 + 0.5*INDEX(Property_CF!$B$187:$AZ$187,1,$A32))-45000)*0.325, IF((E32 + 0.5*INDEX(Property_CF!$B$187:$AZ$187,1,$A32))&lt;=180000,29467+((E32 + 0.5*INDEX(Property_CF!$B$187:$AZ$187,1,$A32))-120000)*0.37, 51667+((E32 + 0.5*INDEX(Property_CF!$B$187:$AZ$187,1,$A32))-180000)*0.45)))))+((E32 + 0.5*INDEX(Property_CF!$B$187:$AZ$187,1,$A32)))*0.02</f>
        <v>21611.896246142674</v>
      </c>
      <c r="O32" s="28">
        <f>(IF((F32 + 0.5*INDEX(Property_CF!$B$187:$AZ$187,1,$A32))&lt;=18200,0, IF((F32 + 0.5*INDEX(Property_CF!$B$187:$AZ$187,1,$A32))&lt;=45000,((F32 + 0.5*INDEX(Property_CF!$B$187:$AZ$187,1,$A32))-18200)*0.19, IF((F32 + 0.5*INDEX(Property_CF!$B$187:$AZ$187,1,$A32))&lt;=120000,5092+((F32 + 0.5*INDEX(Property_CF!$B$187:$AZ$187,1,$A32))-45000)*0.325, IF((F32 + 0.5*INDEX(Property_CF!$B$187:$AZ$187,1,$A32))&lt;=180000,29467+((F32 + 0.5*INDEX(Property_CF!$B$187:$AZ$187,1,$A32))-120000)*0.37, 51667+((F32 + 0.5*INDEX(Property_CF!$B$187:$AZ$187,1,$A32))-180000)*0.45)))))+((F32 + 0.5*INDEX(Property_CF!$B$187:$AZ$187,1,$A32)))*0.02</f>
        <v>21611.896246142674</v>
      </c>
      <c r="P32" s="28">
        <f t="array" ref="P32">E32+F32+INDEX(Property_CF!$C$187:$AZ$187,1,$A32)</f>
        <v>186730.08699572511</v>
      </c>
      <c r="Q32" s="28">
        <f>Budget!$P$6</f>
        <v>76477.3</v>
      </c>
      <c r="R32" s="28">
        <f>SUM('Rental Tax &amp; Gearing'!$H$6:$H$8)</f>
        <v>-11228.78761669634</v>
      </c>
      <c r="S32" s="28">
        <f>IF($C32 &lt; Scenarios!$K$7,
    (P32 + R32 - Q32),
    0
)</f>
        <v>0</v>
      </c>
      <c r="T32" s="28">
        <f>IF($C32 &lt; Scenarios!$K$7,
 P32 - Budget!$P$6,
 0)</f>
        <v>0</v>
      </c>
      <c r="U32" s="28">
        <f>U31*(1+Scenarios!$K$8) + IF(C32&lt;Scenarios!$K$7, 'Superannuation (Inputs)'!$N$7, 0)</f>
        <v>7768277.9705501245</v>
      </c>
      <c r="V32" s="28">
        <f>V31*(1+Scenarios!$K$11)</f>
        <v>5285988.6151451599</v>
      </c>
      <c r="W32" s="28">
        <f t="shared" si="6"/>
        <v>1453137.8845523403</v>
      </c>
      <c r="X32" s="28">
        <f t="shared" si="0"/>
        <v>14507404.470247626</v>
      </c>
      <c r="Y32" s="28">
        <f>IF(C32&gt;=Scenarios!$K$7, Profile!B35*(1+Scenarios!$K$10)^(C32-Scenarios!$K$7), 0)</f>
        <v>0</v>
      </c>
      <c r="Z32" s="28">
        <f t="shared" si="1"/>
        <v>14507404.470247626</v>
      </c>
    </row>
    <row r="33" spans="1:26">
      <c r="A33" s="4">
        <f t="shared" si="2"/>
        <v>28</v>
      </c>
      <c r="B33" s="4">
        <f t="shared" si="5"/>
        <v>2053</v>
      </c>
      <c r="C33" s="61">
        <f t="shared" si="3"/>
        <v>75</v>
      </c>
      <c r="D33" s="65">
        <f t="shared" si="3"/>
        <v>68</v>
      </c>
      <c r="E33" s="28">
        <f>IF(
 $C33 &lt; Scenarios!$K$7,
 _xlfn.XLOOKUP($B33,'Income Schedule'!$A$5:$A$60,'Income Schedule'!$B$5:$B$60,0),
 IF(
  $C33 = Scenarios!$K$7,
  _xlfn.XLOOKUP($B33,'Income Schedule'!$A$5:$A$60,'Income Schedule'!$B$5:$B$60,0) * (1-Profile!$B$20),
  0
 )
)</f>
        <v>0</v>
      </c>
      <c r="F33" s="28">
        <f>IF(
 $C33 &lt; (Scenarios!$K$15 + (Profile!$B$6-Profile!$B$7)),
 _xlfn.XLOOKUP($B33,'Income Schedule'!$A$5:$A$60,'Income Schedule'!$C$5:$C$60,0),
 IF(
  $C33 = (Scenarios!$K$15 + (Profile!$B$6-Profile!$B$7)),
  _xlfn.XLOOKUP($B33,'Income Schedule'!$A$5:$A$60,'Income Schedule'!$C$5:$C$60,0) * (1-Profile!$B$21),
  0
 )
)</f>
        <v>0</v>
      </c>
      <c r="G33" s="28">
        <f>IF(
 $C33 &lt; Scenarios!$K$7,
 IF('Superannuation (Inputs)'!$I$6="Fixed",
    'Superannuation (Inputs)'!$C$6,
    'Superannuation (Inputs)'!$J$6
 ),
 IF(
  $C33 = Scenarios!$K$7,
  IF('Superannuation (Inputs)'!$I$6="Fixed",
     'Superannuation (Inputs)'!$C$6*(1-Profile!$B$20),
     'Superannuation (Inputs)'!$J$6
  ),
  0
 )
)</f>
        <v>0</v>
      </c>
      <c r="H33" s="28">
        <f>G33 * 'Superannuation (Inputs)'!$H$6</f>
        <v>0</v>
      </c>
      <c r="I33" s="28">
        <f>IF(
 $C33 &lt; (Scenarios!$K$15 + (Profile!$B$6-Profile!$B$7)),
 IF('Superannuation (Inputs)'!$I$7="Fixed",
    'Superannuation (Inputs)'!$C$7,
    'Superannuation (Inputs)'!$J$7
 ),
 IF(
  $C33 = (Scenarios!$K$15 + (Profile!$B$6-Profile!$B$7)),
  IF('Superannuation (Inputs)'!$I$7="Fixed",
     'Superannuation (Inputs)'!$C$7*(1-Profile!$B$21),
     'Superannuation (Inputs)'!$J$7
  ),
  0
 )
)</f>
        <v>0</v>
      </c>
      <c r="J33" s="28">
        <f>I33 * 'Superannuation (Inputs)'!$H$7</f>
        <v>0</v>
      </c>
      <c r="K33" s="28">
        <f>K32*(1+Scenarios!$K$8) + G33-H33</f>
        <v>3687600.2146306508</v>
      </c>
      <c r="L33" s="28">
        <f>L32*(1+Scenarios!$K$8) + H33-I33</f>
        <v>1369137.3337734106</v>
      </c>
      <c r="M33" s="28">
        <f t="shared" si="4"/>
        <v>5056737.5484040612</v>
      </c>
      <c r="N33" s="28">
        <f>(IF((E33 + 0.5*INDEX(Property_CF!$B$187:$AZ$187,1,$A33))&lt;=18200,0, IF((E33 + 0.5*INDEX(Property_CF!$B$187:$AZ$187,1,$A33))&lt;=45000,((E33 + 0.5*INDEX(Property_CF!$B$187:$AZ$187,1,$A33))-18200)*0.19, IF((E33 + 0.5*INDEX(Property_CF!$B$187:$AZ$187,1,$A33))&lt;=120000,5092+((E33 + 0.5*INDEX(Property_CF!$B$187:$AZ$187,1,$A33))-45000)*0.325, IF((E33 + 0.5*INDEX(Property_CF!$B$187:$AZ$187,1,$A33))&lt;=180000,29467+((E33 + 0.5*INDEX(Property_CF!$B$187:$AZ$187,1,$A33))-120000)*0.37, 51667+((E33 + 0.5*INDEX(Property_CF!$B$187:$AZ$187,1,$A33))-180000)*0.45)))))+((E33 + 0.5*INDEX(Property_CF!$B$187:$AZ$187,1,$A33)))*0.02</f>
        <v>22677.940006762583</v>
      </c>
      <c r="O33" s="28">
        <f>(IF((F33 + 0.5*INDEX(Property_CF!$B$187:$AZ$187,1,$A33))&lt;=18200,0, IF((F33 + 0.5*INDEX(Property_CF!$B$187:$AZ$187,1,$A33))&lt;=45000,((F33 + 0.5*INDEX(Property_CF!$B$187:$AZ$187,1,$A33))-18200)*0.19, IF((F33 + 0.5*INDEX(Property_CF!$B$187:$AZ$187,1,$A33))&lt;=120000,5092+((F33 + 0.5*INDEX(Property_CF!$B$187:$AZ$187,1,$A33))-45000)*0.325, IF((F33 + 0.5*INDEX(Property_CF!$B$187:$AZ$187,1,$A33))&lt;=180000,29467+((F33 + 0.5*INDEX(Property_CF!$B$187:$AZ$187,1,$A33))-120000)*0.37, 51667+((F33 + 0.5*INDEX(Property_CF!$B$187:$AZ$187,1,$A33))-180000)*0.45)))))+((F33 + 0.5*INDEX(Property_CF!$B$187:$AZ$187,1,$A33)))*0.02</f>
        <v>22677.940006762583</v>
      </c>
      <c r="P33" s="28">
        <f t="array" ref="P33">E33+F33+INDEX(Property_CF!$C$187:$AZ$187,1,$A33)</f>
        <v>193102.07399991364</v>
      </c>
      <c r="Q33" s="28">
        <f>Budget!$P$6</f>
        <v>76477.3</v>
      </c>
      <c r="R33" s="28">
        <f>SUM('Rental Tax &amp; Gearing'!$H$6:$H$8)</f>
        <v>-11228.78761669634</v>
      </c>
      <c r="S33" s="28">
        <f>IF($C33 &lt; Scenarios!$K$7,
    (P33 + R33 - Q33),
    0
)</f>
        <v>0</v>
      </c>
      <c r="T33" s="28">
        <f>IF($C33 &lt; Scenarios!$K$7,
 P33 - Budget!$P$6,
 0)</f>
        <v>0</v>
      </c>
      <c r="U33" s="28">
        <f>U32*(1+Scenarios!$K$8) + IF(C33&lt;Scenarios!$K$7, 'Superannuation (Inputs)'!$N$7, 0)</f>
        <v>8273216.0386358825</v>
      </c>
      <c r="V33" s="28">
        <f>V32*(1+Scenarios!$K$11)</f>
        <v>5523858.1028266922</v>
      </c>
      <c r="W33" s="28">
        <f t="shared" si="6"/>
        <v>1496732.0210889105</v>
      </c>
      <c r="X33" s="28">
        <f t="shared" si="0"/>
        <v>15293806.162551487</v>
      </c>
      <c r="Y33" s="28">
        <f>IF(C33&gt;=Scenarios!$K$7, Profile!B36*(1+Scenarios!$K$10)^(C33-Scenarios!$K$7), 0)</f>
        <v>0</v>
      </c>
      <c r="Z33" s="28">
        <f t="shared" si="1"/>
        <v>15293806.162551487</v>
      </c>
    </row>
    <row r="34" spans="1:26">
      <c r="A34" s="4">
        <f t="shared" si="2"/>
        <v>29</v>
      </c>
      <c r="B34" s="4">
        <f t="shared" si="5"/>
        <v>2054</v>
      </c>
      <c r="C34" s="61">
        <f t="shared" si="3"/>
        <v>76</v>
      </c>
      <c r="D34" s="65">
        <f t="shared" si="3"/>
        <v>69</v>
      </c>
      <c r="E34" s="28">
        <f>IF(
 $C34 &lt; Scenarios!$K$7,
 _xlfn.XLOOKUP($B34,'Income Schedule'!$A$5:$A$60,'Income Schedule'!$B$5:$B$60,0),
 IF(
  $C34 = Scenarios!$K$7,
  _xlfn.XLOOKUP($B34,'Income Schedule'!$A$5:$A$60,'Income Schedule'!$B$5:$B$60,0) * (1-Profile!$B$20),
  0
 )
)</f>
        <v>0</v>
      </c>
      <c r="F34" s="28">
        <f>IF(
 $C34 &lt; (Scenarios!$K$15 + (Profile!$B$6-Profile!$B$7)),
 _xlfn.XLOOKUP($B34,'Income Schedule'!$A$5:$A$60,'Income Schedule'!$C$5:$C$60,0),
 IF(
  $C34 = (Scenarios!$K$15 + (Profile!$B$6-Profile!$B$7)),
  _xlfn.XLOOKUP($B34,'Income Schedule'!$A$5:$A$60,'Income Schedule'!$C$5:$C$60,0) * (1-Profile!$B$21),
  0
 )
)</f>
        <v>0</v>
      </c>
      <c r="G34" s="28">
        <f>IF(
 $C34 &lt; Scenarios!$K$7,
 IF('Superannuation (Inputs)'!$I$6="Fixed",
    'Superannuation (Inputs)'!$C$6,
    'Superannuation (Inputs)'!$J$6
 ),
 IF(
  $C34 = Scenarios!$K$7,
  IF('Superannuation (Inputs)'!$I$6="Fixed",
     'Superannuation (Inputs)'!$C$6*(1-Profile!$B$20),
     'Superannuation (Inputs)'!$J$6
  ),
  0
 )
)</f>
        <v>0</v>
      </c>
      <c r="H34" s="28">
        <f>G34 * 'Superannuation (Inputs)'!$H$6</f>
        <v>0</v>
      </c>
      <c r="I34" s="28">
        <f>IF(
 $C34 &lt; (Scenarios!$K$15 + (Profile!$B$6-Profile!$B$7)),
 IF('Superannuation (Inputs)'!$I$7="Fixed",
    'Superannuation (Inputs)'!$C$7,
    'Superannuation (Inputs)'!$J$7
 ),
 IF(
  $C34 = (Scenarios!$K$15 + (Profile!$B$6-Profile!$B$7)),
  IF('Superannuation (Inputs)'!$I$7="Fixed",
     'Superannuation (Inputs)'!$C$7*(1-Profile!$B$21),
     'Superannuation (Inputs)'!$J$7
  ),
  0
 )
)</f>
        <v>0</v>
      </c>
      <c r="J34" s="28">
        <f>I34 * 'Superannuation (Inputs)'!$H$7</f>
        <v>0</v>
      </c>
      <c r="K34" s="28">
        <f>K33*(1+Scenarios!$K$8) + G34-H34</f>
        <v>3927294.2285816427</v>
      </c>
      <c r="L34" s="28">
        <f>L33*(1+Scenarios!$K$8) + H34-I34</f>
        <v>1458131.2604686823</v>
      </c>
      <c r="M34" s="28">
        <f t="shared" si="4"/>
        <v>5385425.489050325</v>
      </c>
      <c r="N34" s="28">
        <f>(IF((E34 + 0.5*INDEX(Property_CF!$B$187:$AZ$187,1,$A34))&lt;=18200,0, IF((E34 + 0.5*INDEX(Property_CF!$B$187:$AZ$187,1,$A34))&lt;=45000,((E34 + 0.5*INDEX(Property_CF!$B$187:$AZ$187,1,$A34))-18200)*0.19, IF((E34 + 0.5*INDEX(Property_CF!$B$187:$AZ$187,1,$A34))&lt;=120000,5092+((E34 + 0.5*INDEX(Property_CF!$B$187:$AZ$187,1,$A34))-45000)*0.325, IF((E34 + 0.5*INDEX(Property_CF!$B$187:$AZ$187,1,$A34))&lt;=180000,29467+((E34 + 0.5*INDEX(Property_CF!$B$187:$AZ$187,1,$A34))-120000)*0.37, 51667+((E34 + 0.5*INDEX(Property_CF!$B$187:$AZ$187,1,$A34))-180000)*0.45)))))+((E34 + 0.5*INDEX(Property_CF!$B$187:$AZ$187,1,$A34)))*0.02</f>
        <v>23777.107764985107</v>
      </c>
      <c r="O34" s="28">
        <f>(IF((F34 + 0.5*INDEX(Property_CF!$B$187:$AZ$187,1,$A34))&lt;=18200,0, IF((F34 + 0.5*INDEX(Property_CF!$B$187:$AZ$187,1,$A34))&lt;=45000,((F34 + 0.5*INDEX(Property_CF!$B$187:$AZ$187,1,$A34))-18200)*0.19, IF((F34 + 0.5*INDEX(Property_CF!$B$187:$AZ$187,1,$A34))&lt;=120000,5092+((F34 + 0.5*INDEX(Property_CF!$B$187:$AZ$187,1,$A34))-45000)*0.325, IF((F34 + 0.5*INDEX(Property_CF!$B$187:$AZ$187,1,$A34))&lt;=180000,29467+((F34 + 0.5*INDEX(Property_CF!$B$187:$AZ$187,1,$A34))-120000)*0.37, 51667+((F34 + 0.5*INDEX(Property_CF!$B$187:$AZ$187,1,$A34))-180000)*0.45)))))+((F34 + 0.5*INDEX(Property_CF!$B$187:$AZ$187,1,$A34)))*0.02</f>
        <v>23777.107764985107</v>
      </c>
      <c r="P34" s="28">
        <f t="array" ref="P34">E34+F34+INDEX(Property_CF!$C$187:$AZ$187,1,$A34)</f>
        <v>195286.01048033577</v>
      </c>
      <c r="Q34" s="28">
        <f>Budget!$P$6</f>
        <v>76477.3</v>
      </c>
      <c r="R34" s="28">
        <f>SUM('Rental Tax &amp; Gearing'!$H$6:$H$8)</f>
        <v>-11228.78761669634</v>
      </c>
      <c r="S34" s="28">
        <f>IF($C34 &lt; Scenarios!$K$7,
    (P34 + R34 - Q34),
    0
)</f>
        <v>0</v>
      </c>
      <c r="T34" s="28">
        <f>IF($C34 &lt; Scenarios!$K$7,
 P34 - Budget!$P$6,
 0)</f>
        <v>0</v>
      </c>
      <c r="U34" s="28">
        <f>U33*(1+Scenarios!$K$8) + IF(C34&lt;Scenarios!$K$7, 'Superannuation (Inputs)'!$N$7, 0)</f>
        <v>8810975.0811472144</v>
      </c>
      <c r="V34" s="28">
        <f>V33*(1+Scenarios!$K$11)</f>
        <v>5772431.7174538933</v>
      </c>
      <c r="W34" s="28">
        <f t="shared" si="6"/>
        <v>1541633.9817215779</v>
      </c>
      <c r="X34" s="28">
        <f t="shared" si="0"/>
        <v>16125040.780322686</v>
      </c>
      <c r="Y34" s="28">
        <f>IF(C34&gt;=Scenarios!$K$7, Profile!B37*(1+Scenarios!$K$10)^(C34-Scenarios!$K$7), 0)</f>
        <v>0</v>
      </c>
      <c r="Z34" s="28">
        <f t="shared" si="1"/>
        <v>16125040.780322686</v>
      </c>
    </row>
    <row r="35" spans="1:26">
      <c r="A35" s="4">
        <f t="shared" si="2"/>
        <v>30</v>
      </c>
      <c r="B35" s="4">
        <f t="shared" si="5"/>
        <v>2055</v>
      </c>
      <c r="C35" s="61">
        <f t="shared" si="3"/>
        <v>77</v>
      </c>
      <c r="D35" s="65">
        <f t="shared" si="3"/>
        <v>70</v>
      </c>
      <c r="E35" s="28">
        <f>IF(
 $C35 &lt; Scenarios!$K$7,
 _xlfn.XLOOKUP($B35,'Income Schedule'!$A$5:$A$60,'Income Schedule'!$B$5:$B$60,0),
 IF(
  $C35 = Scenarios!$K$7,
  _xlfn.XLOOKUP($B35,'Income Schedule'!$A$5:$A$60,'Income Schedule'!$B$5:$B$60,0) * (1-Profile!$B$20),
  0
 )
)</f>
        <v>0</v>
      </c>
      <c r="F35" s="28">
        <f>IF(
 $C35 &lt; (Scenarios!$K$15 + (Profile!$B$6-Profile!$B$7)),
 _xlfn.XLOOKUP($B35,'Income Schedule'!$A$5:$A$60,'Income Schedule'!$C$5:$C$60,0),
 IF(
  $C35 = (Scenarios!$K$15 + (Profile!$B$6-Profile!$B$7)),
  _xlfn.XLOOKUP($B35,'Income Schedule'!$A$5:$A$60,'Income Schedule'!$C$5:$C$60,0) * (1-Profile!$B$21),
  0
 )
)</f>
        <v>0</v>
      </c>
      <c r="G35" s="28">
        <f>IF(
 $C35 &lt; Scenarios!$K$7,
 IF('Superannuation (Inputs)'!$I$6="Fixed",
    'Superannuation (Inputs)'!$C$6,
    'Superannuation (Inputs)'!$J$6
 ),
 IF(
  $C35 = Scenarios!$K$7,
  IF('Superannuation (Inputs)'!$I$6="Fixed",
     'Superannuation (Inputs)'!$C$6*(1-Profile!$B$20),
     'Superannuation (Inputs)'!$J$6
  ),
  0
 )
)</f>
        <v>0</v>
      </c>
      <c r="H35" s="28">
        <f>G35 * 'Superannuation (Inputs)'!$H$6</f>
        <v>0</v>
      </c>
      <c r="I35" s="28">
        <f>IF(
 $C35 &lt; (Scenarios!$K$15 + (Profile!$B$6-Profile!$B$7)),
 IF('Superannuation (Inputs)'!$I$7="Fixed",
    'Superannuation (Inputs)'!$C$7,
    'Superannuation (Inputs)'!$J$7
 ),
 IF(
  $C35 = (Scenarios!$K$15 + (Profile!$B$6-Profile!$B$7)),
  IF('Superannuation (Inputs)'!$I$7="Fixed",
     'Superannuation (Inputs)'!$C$7*(1-Profile!$B$21),
     'Superannuation (Inputs)'!$J$7
  ),
  0
 )
)</f>
        <v>0</v>
      </c>
      <c r="J35" s="28">
        <f>I35 * 'Superannuation (Inputs)'!$H$7</f>
        <v>0</v>
      </c>
      <c r="K35" s="28">
        <f>K34*(1+Scenarios!$K$8) + G35-H35</f>
        <v>4182568.3534394493</v>
      </c>
      <c r="L35" s="28">
        <f>L34*(1+Scenarios!$K$8) + H35-I35</f>
        <v>1552909.7923991466</v>
      </c>
      <c r="M35" s="28">
        <f t="shared" si="4"/>
        <v>5735478.1458385959</v>
      </c>
      <c r="N35" s="28">
        <f>(IF((E35 + 0.5*INDEX(Property_CF!$B$187:$AZ$187,1,$A35))&lt;=18200,0, IF((E35 + 0.5*INDEX(Property_CF!$B$187:$AZ$187,1,$A35))&lt;=45000,((E35 + 0.5*INDEX(Property_CF!$B$187:$AZ$187,1,$A35))-18200)*0.19, IF((E35 + 0.5*INDEX(Property_CF!$B$187:$AZ$187,1,$A35))&lt;=120000,5092+((E35 + 0.5*INDEX(Property_CF!$B$187:$AZ$187,1,$A35))-45000)*0.325, IF((E35 + 0.5*INDEX(Property_CF!$B$187:$AZ$187,1,$A35))&lt;=180000,29467+((E35 + 0.5*INDEX(Property_CF!$B$187:$AZ$187,1,$A35))-120000)*0.37, 51667+((E35 + 0.5*INDEX(Property_CF!$B$187:$AZ$187,1,$A35))-180000)*0.45)))))+((E35 + 0.5*INDEX(Property_CF!$B$187:$AZ$187,1,$A35)))*0.02</f>
        <v>24153.836807857919</v>
      </c>
      <c r="O35" s="28">
        <f>(IF((F35 + 0.5*INDEX(Property_CF!$B$187:$AZ$187,1,$A35))&lt;=18200,0, IF((F35 + 0.5*INDEX(Property_CF!$B$187:$AZ$187,1,$A35))&lt;=45000,((F35 + 0.5*INDEX(Property_CF!$B$187:$AZ$187,1,$A35))-18200)*0.19, IF((F35 + 0.5*INDEX(Property_CF!$B$187:$AZ$187,1,$A35))&lt;=120000,5092+((F35 + 0.5*INDEX(Property_CF!$B$187:$AZ$187,1,$A35))-45000)*0.325, IF((F35 + 0.5*INDEX(Property_CF!$B$187:$AZ$187,1,$A35))&lt;=180000,29467+((F35 + 0.5*INDEX(Property_CF!$B$187:$AZ$187,1,$A35))-120000)*0.37, 51667+((F35 + 0.5*INDEX(Property_CF!$B$187:$AZ$187,1,$A35))-180000)*0.45)))))+((F35 + 0.5*INDEX(Property_CF!$B$187:$AZ$187,1,$A35)))*0.02</f>
        <v>24153.836807857919</v>
      </c>
      <c r="P35" s="28">
        <f t="array" ref="P35">E35+F35+INDEX(Property_CF!$C$187:$AZ$187,1,$A35)</f>
        <v>206446.00466793118</v>
      </c>
      <c r="Q35" s="28">
        <f>Budget!$P$6</f>
        <v>76477.3</v>
      </c>
      <c r="R35" s="28">
        <f>SUM('Rental Tax &amp; Gearing'!$H$6:$H$8)</f>
        <v>-11228.78761669634</v>
      </c>
      <c r="S35" s="28">
        <f>IF($C35 &lt; Scenarios!$K$7,
    (P35 + R35 - Q35),
    0
)</f>
        <v>0</v>
      </c>
      <c r="T35" s="28">
        <f>IF($C35 &lt; Scenarios!$K$7,
 P35 - Budget!$P$6,
 0)</f>
        <v>0</v>
      </c>
      <c r="U35" s="28">
        <f>U34*(1+Scenarios!$K$8) + IF(C35&lt;Scenarios!$K$7, 'Superannuation (Inputs)'!$N$7, 0)</f>
        <v>9383688.4614217822</v>
      </c>
      <c r="V35" s="28">
        <f>V34*(1+Scenarios!$K$11)</f>
        <v>6032191.1447393177</v>
      </c>
      <c r="W35" s="28">
        <f t="shared" si="6"/>
        <v>1587883.0011732252</v>
      </c>
      <c r="X35" s="28">
        <f t="shared" si="0"/>
        <v>17003762.607334323</v>
      </c>
      <c r="Y35" s="28">
        <f>IF(C35&gt;=Scenarios!$K$7, Profile!B38*(1+Scenarios!$K$10)^(C35-Scenarios!$K$7), 0)</f>
        <v>0</v>
      </c>
      <c r="Z35" s="28">
        <f t="shared" si="1"/>
        <v>17003762.607334323</v>
      </c>
    </row>
    <row r="36" spans="1:26">
      <c r="A36" s="4">
        <f t="shared" si="2"/>
        <v>31</v>
      </c>
      <c r="B36" s="4">
        <f t="shared" si="5"/>
        <v>2056</v>
      </c>
      <c r="C36" s="61">
        <f t="shared" si="3"/>
        <v>78</v>
      </c>
      <c r="D36" s="65">
        <f t="shared" si="3"/>
        <v>71</v>
      </c>
      <c r="E36" s="28">
        <f>IF(
 $C36 &lt; Scenarios!$K$7,
 _xlfn.XLOOKUP($B36,'Income Schedule'!$A$5:$A$60,'Income Schedule'!$B$5:$B$60,0),
 IF(
  $C36 = Scenarios!$K$7,
  _xlfn.XLOOKUP($B36,'Income Schedule'!$A$5:$A$60,'Income Schedule'!$B$5:$B$60,0) * (1-Profile!$B$20),
  0
 )
)</f>
        <v>0</v>
      </c>
      <c r="F36" s="28">
        <f>IF(
 $C36 &lt; (Scenarios!$K$15 + (Profile!$B$6-Profile!$B$7)),
 _xlfn.XLOOKUP($B36,'Income Schedule'!$A$5:$A$60,'Income Schedule'!$C$5:$C$60,0),
 IF(
  $C36 = (Scenarios!$K$15 + (Profile!$B$6-Profile!$B$7)),
  _xlfn.XLOOKUP($B36,'Income Schedule'!$A$5:$A$60,'Income Schedule'!$C$5:$C$60,0) * (1-Profile!$B$21),
  0
 )
)</f>
        <v>0</v>
      </c>
      <c r="G36" s="28">
        <f>IF(
 $C36 &lt; Scenarios!$K$7,
 IF('Superannuation (Inputs)'!$I$6="Fixed",
    'Superannuation (Inputs)'!$C$6,
    'Superannuation (Inputs)'!$J$6
 ),
 IF(
  $C36 = Scenarios!$K$7,
  IF('Superannuation (Inputs)'!$I$6="Fixed",
     'Superannuation (Inputs)'!$C$6*(1-Profile!$B$20),
     'Superannuation (Inputs)'!$J$6
  ),
  0
 )
)</f>
        <v>0</v>
      </c>
      <c r="H36" s="28">
        <f>G36 * 'Superannuation (Inputs)'!$H$6</f>
        <v>0</v>
      </c>
      <c r="I36" s="28">
        <f>IF(
 $C36 &lt; (Scenarios!$K$15 + (Profile!$B$6-Profile!$B$7)),
 IF('Superannuation (Inputs)'!$I$7="Fixed",
    'Superannuation (Inputs)'!$C$7,
    'Superannuation (Inputs)'!$J$7
 ),
 IF(
  $C36 = (Scenarios!$K$15 + (Profile!$B$6-Profile!$B$7)),
  IF('Superannuation (Inputs)'!$I$7="Fixed",
     'Superannuation (Inputs)'!$C$7*(1-Profile!$B$21),
     'Superannuation (Inputs)'!$J$7
  ),
  0
 )
)</f>
        <v>0</v>
      </c>
      <c r="J36" s="28">
        <f>I36 * 'Superannuation (Inputs)'!$H$7</f>
        <v>0</v>
      </c>
      <c r="K36" s="28">
        <f>K35*(1+Scenarios!$K$8) + G36-H36</f>
        <v>4454435.2964130137</v>
      </c>
      <c r="L36" s="28">
        <f>L35*(1+Scenarios!$K$8) + H36-I36</f>
        <v>1653848.928905091</v>
      </c>
      <c r="M36" s="28">
        <f t="shared" si="4"/>
        <v>6108284.225318105</v>
      </c>
      <c r="N36" s="28">
        <f>(IF((E36 + 0.5*INDEX(Property_CF!$B$187:$AZ$187,1,$A36))&lt;=18200,0, IF((E36 + 0.5*INDEX(Property_CF!$B$187:$AZ$187,1,$A36))&lt;=45000,((E36 + 0.5*INDEX(Property_CF!$B$187:$AZ$187,1,$A36))-18200)*0.19, IF((E36 + 0.5*INDEX(Property_CF!$B$187:$AZ$187,1,$A36))&lt;=120000,5092+((E36 + 0.5*INDEX(Property_CF!$B$187:$AZ$187,1,$A36))-45000)*0.325, IF((E36 + 0.5*INDEX(Property_CF!$B$187:$AZ$187,1,$A36))&lt;=180000,29467+((E36 + 0.5*INDEX(Property_CF!$B$187:$AZ$187,1,$A36))-120000)*0.37, 51667+((E36 + 0.5*INDEX(Property_CF!$B$187:$AZ$187,1,$A36))-180000)*0.45)))))+((E36 + 0.5*INDEX(Property_CF!$B$187:$AZ$187,1,$A36)))*0.02</f>
        <v>26078.935805218131</v>
      </c>
      <c r="O36" s="28">
        <f>(IF((F36 + 0.5*INDEX(Property_CF!$B$187:$AZ$187,1,$A36))&lt;=18200,0, IF((F36 + 0.5*INDEX(Property_CF!$B$187:$AZ$187,1,$A36))&lt;=45000,((F36 + 0.5*INDEX(Property_CF!$B$187:$AZ$187,1,$A36))-18200)*0.19, IF((F36 + 0.5*INDEX(Property_CF!$B$187:$AZ$187,1,$A36))&lt;=120000,5092+((F36 + 0.5*INDEX(Property_CF!$B$187:$AZ$187,1,$A36))-45000)*0.325, IF((F36 + 0.5*INDEX(Property_CF!$B$187:$AZ$187,1,$A36))&lt;=180000,29467+((F36 + 0.5*INDEX(Property_CF!$B$187:$AZ$187,1,$A36))-120000)*0.37, 51667+((F36 + 0.5*INDEX(Property_CF!$B$187:$AZ$187,1,$A36))-180000)*0.45)))))+((F36 + 0.5*INDEX(Property_CF!$B$187:$AZ$187,1,$A36)))*0.02</f>
        <v>26078.935805218131</v>
      </c>
      <c r="P36" s="28">
        <f t="array" ref="P36">E36+F36+INDEX(Property_CF!$C$187:$AZ$187,1,$A36)</f>
        <v>213430.35228423405</v>
      </c>
      <c r="Q36" s="28">
        <f>Budget!$P$6</f>
        <v>76477.3</v>
      </c>
      <c r="R36" s="28">
        <f>SUM('Rental Tax &amp; Gearing'!$H$6:$H$8)</f>
        <v>-11228.78761669634</v>
      </c>
      <c r="S36" s="28">
        <f>IF($C36 &lt; Scenarios!$K$7,
    (P36 + R36 - Q36),
    0
)</f>
        <v>0</v>
      </c>
      <c r="T36" s="28">
        <f>IF($C36 &lt; Scenarios!$K$7,
 P36 - Budget!$P$6,
 0)</f>
        <v>0</v>
      </c>
      <c r="U36" s="28">
        <f>U35*(1+Scenarios!$K$8) + IF(C36&lt;Scenarios!$K$7, 'Superannuation (Inputs)'!$N$7, 0)</f>
        <v>9993628.2114141975</v>
      </c>
      <c r="V36" s="28">
        <f>V35*(1+Scenarios!$K$11)</f>
        <v>6303639.7462525861</v>
      </c>
      <c r="W36" s="28">
        <f t="shared" si="6"/>
        <v>1635519.491208422</v>
      </c>
      <c r="X36" s="28">
        <f t="shared" si="0"/>
        <v>17932787.448875207</v>
      </c>
      <c r="Y36" s="28">
        <f>IF(C36&gt;=Scenarios!$K$7, Profile!B39*(1+Scenarios!$K$10)^(C36-Scenarios!$K$7), 0)</f>
        <v>0</v>
      </c>
      <c r="Z36" s="28">
        <f t="shared" si="1"/>
        <v>17932787.448875207</v>
      </c>
    </row>
    <row r="37" spans="1:26">
      <c r="A37" s="4">
        <f t="shared" si="2"/>
        <v>32</v>
      </c>
      <c r="B37" s="4">
        <f t="shared" si="5"/>
        <v>2057</v>
      </c>
      <c r="C37" s="61">
        <f t="shared" si="3"/>
        <v>79</v>
      </c>
      <c r="D37" s="65">
        <f t="shared" si="3"/>
        <v>72</v>
      </c>
      <c r="E37" s="28">
        <f>IF(
 $C37 &lt; Scenarios!$K$7,
 _xlfn.XLOOKUP($B37,'Income Schedule'!$A$5:$A$60,'Income Schedule'!$B$5:$B$60,0),
 IF(
  $C37 = Scenarios!$K$7,
  _xlfn.XLOOKUP($B37,'Income Schedule'!$A$5:$A$60,'Income Schedule'!$B$5:$B$60,0) * (1-Profile!$B$20),
  0
 )
)</f>
        <v>0</v>
      </c>
      <c r="F37" s="28">
        <f>IF(
 $C37 &lt; (Scenarios!$K$15 + (Profile!$B$6-Profile!$B$7)),
 _xlfn.XLOOKUP($B37,'Income Schedule'!$A$5:$A$60,'Income Schedule'!$C$5:$C$60,0),
 IF(
  $C37 = (Scenarios!$K$15 + (Profile!$B$6-Profile!$B$7)),
  _xlfn.XLOOKUP($B37,'Income Schedule'!$A$5:$A$60,'Income Schedule'!$C$5:$C$60,0) * (1-Profile!$B$21),
  0
 )
)</f>
        <v>0</v>
      </c>
      <c r="G37" s="28">
        <f>IF(
 $C37 &lt; Scenarios!$K$7,
 IF('Superannuation (Inputs)'!$I$6="Fixed",
    'Superannuation (Inputs)'!$C$6,
    'Superannuation (Inputs)'!$J$6
 ),
 IF(
  $C37 = Scenarios!$K$7,
  IF('Superannuation (Inputs)'!$I$6="Fixed",
     'Superannuation (Inputs)'!$C$6*(1-Profile!$B$20),
     'Superannuation (Inputs)'!$J$6
  ),
  0
 )
)</f>
        <v>0</v>
      </c>
      <c r="H37" s="28">
        <f>G37 * 'Superannuation (Inputs)'!$H$6</f>
        <v>0</v>
      </c>
      <c r="I37" s="28">
        <f>IF(
 $C37 &lt; (Scenarios!$K$15 + (Profile!$B$6-Profile!$B$7)),
 IF('Superannuation (Inputs)'!$I$7="Fixed",
    'Superannuation (Inputs)'!$C$7,
    'Superannuation (Inputs)'!$J$7
 ),
 IF(
  $C37 = (Scenarios!$K$15 + (Profile!$B$6-Profile!$B$7)),
  IF('Superannuation (Inputs)'!$I$7="Fixed",
     'Superannuation (Inputs)'!$C$7*(1-Profile!$B$21),
     'Superannuation (Inputs)'!$J$7
  ),
  0
 )
)</f>
        <v>0</v>
      </c>
      <c r="J37" s="28">
        <f>I37 * 'Superannuation (Inputs)'!$H$7</f>
        <v>0</v>
      </c>
      <c r="K37" s="28">
        <f>K36*(1+Scenarios!$K$8) + G37-H37</f>
        <v>4743973.5906798597</v>
      </c>
      <c r="L37" s="28">
        <f>L36*(1+Scenarios!$K$8) + H37-I37</f>
        <v>1761349.1092839218</v>
      </c>
      <c r="M37" s="28">
        <f t="shared" si="4"/>
        <v>6505322.699963782</v>
      </c>
      <c r="N37" s="28">
        <f>(IF((E37 + 0.5*INDEX(Property_CF!$B$187:$AZ$187,1,$A37))&lt;=18200,0, IF((E37 + 0.5*INDEX(Property_CF!$B$187:$AZ$187,1,$A37))&lt;=45000,((E37 + 0.5*INDEX(Property_CF!$B$187:$AZ$187,1,$A37))-18200)*0.19, IF((E37 + 0.5*INDEX(Property_CF!$B$187:$AZ$187,1,$A37))&lt;=120000,5092+((E37 + 0.5*INDEX(Property_CF!$B$187:$AZ$187,1,$A37))-45000)*0.325, IF((E37 + 0.5*INDEX(Property_CF!$B$187:$AZ$187,1,$A37))&lt;=180000,29467+((E37 + 0.5*INDEX(Property_CF!$B$187:$AZ$187,1,$A37))-120000)*0.37, 51667+((E37 + 0.5*INDEX(Property_CF!$B$187:$AZ$187,1,$A37))-180000)*0.45)))))+((E37 + 0.5*INDEX(Property_CF!$B$187:$AZ$187,1,$A37)))*0.02</f>
        <v>27283.735769030372</v>
      </c>
      <c r="O37" s="28">
        <f>(IF((F37 + 0.5*INDEX(Property_CF!$B$187:$AZ$187,1,$A37))&lt;=18200,0, IF((F37 + 0.5*INDEX(Property_CF!$B$187:$AZ$187,1,$A37))&lt;=45000,((F37 + 0.5*INDEX(Property_CF!$B$187:$AZ$187,1,$A37))-18200)*0.19, IF((F37 + 0.5*INDEX(Property_CF!$B$187:$AZ$187,1,$A37))&lt;=120000,5092+((F37 + 0.5*INDEX(Property_CF!$B$187:$AZ$187,1,$A37))-45000)*0.325, IF((F37 + 0.5*INDEX(Property_CF!$B$187:$AZ$187,1,$A37))&lt;=180000,29467+((F37 + 0.5*INDEX(Property_CF!$B$187:$AZ$187,1,$A37))-120000)*0.37, 51667+((F37 + 0.5*INDEX(Property_CF!$B$187:$AZ$187,1,$A37))-180000)*0.45)))))+((F37 + 0.5*INDEX(Property_CF!$B$187:$AZ$187,1,$A37)))*0.02</f>
        <v>27283.735769030372</v>
      </c>
      <c r="P37" s="28">
        <f t="array" ref="P37">E37+F37+INDEX(Property_CF!$C$187:$AZ$187,1,$A37)</f>
        <v>220631.54227218265</v>
      </c>
      <c r="Q37" s="28">
        <f>Budget!$P$6</f>
        <v>76477.3</v>
      </c>
      <c r="R37" s="28">
        <f>SUM('Rental Tax &amp; Gearing'!$H$6:$H$8)</f>
        <v>-11228.78761669634</v>
      </c>
      <c r="S37" s="28">
        <f>IF($C37 &lt; Scenarios!$K$7,
    (P37 + R37 - Q37),
    0
)</f>
        <v>0</v>
      </c>
      <c r="T37" s="28">
        <f>IF($C37 &lt; Scenarios!$K$7,
 P37 - Budget!$P$6,
 0)</f>
        <v>0</v>
      </c>
      <c r="U37" s="28">
        <f>U36*(1+Scenarios!$K$8) + IF(C37&lt;Scenarios!$K$7, 'Superannuation (Inputs)'!$N$7, 0)</f>
        <v>10643214.045156119</v>
      </c>
      <c r="V37" s="28">
        <f>V36*(1+Scenarios!$K$11)</f>
        <v>6587303.5348339519</v>
      </c>
      <c r="W37" s="28">
        <f t="shared" si="6"/>
        <v>1684585.0759446747</v>
      </c>
      <c r="X37" s="28">
        <f t="shared" si="0"/>
        <v>18915102.655934744</v>
      </c>
      <c r="Y37" s="28">
        <f>IF(C37&gt;=Scenarios!$K$7, Profile!B40*(1+Scenarios!$K$10)^(C37-Scenarios!$K$7), 0)</f>
        <v>0</v>
      </c>
      <c r="Z37" s="28">
        <f t="shared" si="1"/>
        <v>18915102.655934744</v>
      </c>
    </row>
    <row r="38" spans="1:26">
      <c r="A38" s="4">
        <f t="shared" si="2"/>
        <v>33</v>
      </c>
      <c r="B38" s="4">
        <f t="shared" si="5"/>
        <v>2058</v>
      </c>
      <c r="C38" s="61">
        <f t="shared" si="3"/>
        <v>80</v>
      </c>
      <c r="D38" s="65">
        <f t="shared" si="3"/>
        <v>73</v>
      </c>
      <c r="E38" s="28">
        <f>IF(
 $C38 &lt; Scenarios!$K$7,
 _xlfn.XLOOKUP($B38,'Income Schedule'!$A$5:$A$60,'Income Schedule'!$B$5:$B$60,0),
 IF(
  $C38 = Scenarios!$K$7,
  _xlfn.XLOOKUP($B38,'Income Schedule'!$A$5:$A$60,'Income Schedule'!$B$5:$B$60,0) * (1-Profile!$B$20),
  0
 )
)</f>
        <v>0</v>
      </c>
      <c r="F38" s="28">
        <f>IF(
 $C38 &lt; (Scenarios!$K$15 + (Profile!$B$6-Profile!$B$7)),
 _xlfn.XLOOKUP($B38,'Income Schedule'!$A$5:$A$60,'Income Schedule'!$C$5:$C$60,0),
 IF(
  $C38 = (Scenarios!$K$15 + (Profile!$B$6-Profile!$B$7)),
  _xlfn.XLOOKUP($B38,'Income Schedule'!$A$5:$A$60,'Income Schedule'!$C$5:$C$60,0) * (1-Profile!$B$21),
  0
 )
)</f>
        <v>0</v>
      </c>
      <c r="G38" s="28">
        <f>IF(
 $C38 &lt; Scenarios!$K$7,
 IF('Superannuation (Inputs)'!$I$6="Fixed",
    'Superannuation (Inputs)'!$C$6,
    'Superannuation (Inputs)'!$J$6
 ),
 IF(
  $C38 = Scenarios!$K$7,
  IF('Superannuation (Inputs)'!$I$6="Fixed",
     'Superannuation (Inputs)'!$C$6*(1-Profile!$B$20),
     'Superannuation (Inputs)'!$J$6
  ),
  0
 )
)</f>
        <v>0</v>
      </c>
      <c r="H38" s="28">
        <f>G38 * 'Superannuation (Inputs)'!$H$6</f>
        <v>0</v>
      </c>
      <c r="I38" s="28">
        <f>IF(
 $C38 &lt; (Scenarios!$K$15 + (Profile!$B$6-Profile!$B$7)),
 IF('Superannuation (Inputs)'!$I$7="Fixed",
    'Superannuation (Inputs)'!$C$7,
    'Superannuation (Inputs)'!$J$7
 ),
 IF(
  $C38 = (Scenarios!$K$15 + (Profile!$B$6-Profile!$B$7)),
  IF('Superannuation (Inputs)'!$I$7="Fixed",
     'Superannuation (Inputs)'!$C$7*(1-Profile!$B$21),
     'Superannuation (Inputs)'!$J$7
  ),
  0
 )
)</f>
        <v>0</v>
      </c>
      <c r="J38" s="28">
        <f>I38 * 'Superannuation (Inputs)'!$H$7</f>
        <v>0</v>
      </c>
      <c r="K38" s="28">
        <f>K37*(1+Scenarios!$K$8) + G38-H38</f>
        <v>5052331.8740740502</v>
      </c>
      <c r="L38" s="28">
        <f>L37*(1+Scenarios!$K$8) + H38-I38</f>
        <v>1875836.8013873766</v>
      </c>
      <c r="M38" s="28">
        <f t="shared" si="4"/>
        <v>6928168.6754614264</v>
      </c>
      <c r="N38" s="28">
        <f>(IF((E38 + 0.5*INDEX(Property_CF!$B$187:$AZ$187,1,$A38))&lt;=18200,0, IF((E38 + 0.5*INDEX(Property_CF!$B$187:$AZ$187,1,$A38))&lt;=45000,((E38 + 0.5*INDEX(Property_CF!$B$187:$AZ$187,1,$A38))-18200)*0.19, IF((E38 + 0.5*INDEX(Property_CF!$B$187:$AZ$187,1,$A38))&lt;=120000,5092+((E38 + 0.5*INDEX(Property_CF!$B$187:$AZ$187,1,$A38))-45000)*0.325, IF((E38 + 0.5*INDEX(Property_CF!$B$187:$AZ$187,1,$A38))&lt;=180000,29467+((E38 + 0.5*INDEX(Property_CF!$B$187:$AZ$187,1,$A38))-120000)*0.37, 51667+((E38 + 0.5*INDEX(Property_CF!$B$187:$AZ$187,1,$A38))-180000)*0.45)))))+((E38 + 0.5*INDEX(Property_CF!$B$187:$AZ$187,1,$A38)))*0.02</f>
        <v>28525.941041951508</v>
      </c>
      <c r="O38" s="28">
        <f>(IF((F38 + 0.5*INDEX(Property_CF!$B$187:$AZ$187,1,$A38))&lt;=18200,0, IF((F38 + 0.5*INDEX(Property_CF!$B$187:$AZ$187,1,$A38))&lt;=45000,((F38 + 0.5*INDEX(Property_CF!$B$187:$AZ$187,1,$A38))-18200)*0.19, IF((F38 + 0.5*INDEX(Property_CF!$B$187:$AZ$187,1,$A38))&lt;=120000,5092+((F38 + 0.5*INDEX(Property_CF!$B$187:$AZ$187,1,$A38))-45000)*0.325, IF((F38 + 0.5*INDEX(Property_CF!$B$187:$AZ$187,1,$A38))&lt;=180000,29467+((F38 + 0.5*INDEX(Property_CF!$B$187:$AZ$187,1,$A38))-120000)*0.37, 51667+((F38 + 0.5*INDEX(Property_CF!$B$187:$AZ$187,1,$A38))-180000)*0.45)))))+((F38 + 0.5*INDEX(Property_CF!$B$187:$AZ$187,1,$A38)))*0.02</f>
        <v>28525.941041951508</v>
      </c>
      <c r="P38" s="28">
        <f t="array" ref="P38">E38+F38+INDEX(Property_CF!$C$187:$AZ$187,1,$A38)</f>
        <v>223670.26270150527</v>
      </c>
      <c r="Q38" s="28">
        <f>Budget!$P$6</f>
        <v>76477.3</v>
      </c>
      <c r="R38" s="28">
        <f>SUM('Rental Tax &amp; Gearing'!$H$6:$H$8)</f>
        <v>-11228.78761669634</v>
      </c>
      <c r="S38" s="28">
        <f>IF($C38 &lt; Scenarios!$K$7,
    (P38 + R38 - Q38),
    0
)</f>
        <v>0</v>
      </c>
      <c r="T38" s="28">
        <f>IF($C38 &lt; Scenarios!$K$7,
 P38 - Budget!$P$6,
 0)</f>
        <v>0</v>
      </c>
      <c r="U38" s="28">
        <f>U37*(1+Scenarios!$K$8) + IF(C38&lt;Scenarios!$K$7, 'Superannuation (Inputs)'!$N$7, 0)</f>
        <v>11335022.958091266</v>
      </c>
      <c r="V38" s="28">
        <f>V37*(1+Scenarios!$K$11)</f>
        <v>6883732.1939014792</v>
      </c>
      <c r="W38" s="28">
        <f t="shared" si="6"/>
        <v>1735122.628223015</v>
      </c>
      <c r="X38" s="28">
        <f t="shared" si="0"/>
        <v>19953877.780215763</v>
      </c>
      <c r="Y38" s="28">
        <f>IF(C38&gt;=Scenarios!$K$7, Profile!B41*(1+Scenarios!$K$10)^(C38-Scenarios!$K$7), 0)</f>
        <v>0</v>
      </c>
      <c r="Z38" s="28">
        <f t="shared" si="1"/>
        <v>19953877.780215763</v>
      </c>
    </row>
    <row r="39" spans="1:26">
      <c r="A39" s="4">
        <f t="shared" si="2"/>
        <v>34</v>
      </c>
      <c r="B39" s="4">
        <f t="shared" si="5"/>
        <v>2059</v>
      </c>
      <c r="C39" s="61">
        <f t="shared" si="3"/>
        <v>81</v>
      </c>
      <c r="D39" s="65">
        <f t="shared" si="3"/>
        <v>74</v>
      </c>
      <c r="E39" s="28">
        <f>IF(
 $C39 &lt; Scenarios!$K$7,
 _xlfn.XLOOKUP($B39,'Income Schedule'!$A$5:$A$60,'Income Schedule'!$B$5:$B$60,0),
 IF(
  $C39 = Scenarios!$K$7,
  _xlfn.XLOOKUP($B39,'Income Schedule'!$A$5:$A$60,'Income Schedule'!$B$5:$B$60,0) * (1-Profile!$B$20),
  0
 )
)</f>
        <v>0</v>
      </c>
      <c r="F39" s="28">
        <f>IF(
 $C39 &lt; (Scenarios!$K$15 + (Profile!$B$6-Profile!$B$7)),
 _xlfn.XLOOKUP($B39,'Income Schedule'!$A$5:$A$60,'Income Schedule'!$C$5:$C$60,0),
 IF(
  $C39 = (Scenarios!$K$15 + (Profile!$B$6-Profile!$B$7)),
  _xlfn.XLOOKUP($B39,'Income Schedule'!$A$5:$A$60,'Income Schedule'!$C$5:$C$60,0) * (1-Profile!$B$21),
  0
 )
)</f>
        <v>0</v>
      </c>
      <c r="G39" s="28">
        <f>IF(
 $C39 &lt; Scenarios!$K$7,
 IF('Superannuation (Inputs)'!$I$6="Fixed",
    'Superannuation (Inputs)'!$C$6,
    'Superannuation (Inputs)'!$J$6
 ),
 IF(
  $C39 = Scenarios!$K$7,
  IF('Superannuation (Inputs)'!$I$6="Fixed",
     'Superannuation (Inputs)'!$C$6*(1-Profile!$B$20),
     'Superannuation (Inputs)'!$J$6
  ),
  0
 )
)</f>
        <v>0</v>
      </c>
      <c r="H39" s="28">
        <f>G39 * 'Superannuation (Inputs)'!$H$6</f>
        <v>0</v>
      </c>
      <c r="I39" s="28">
        <f>IF(
 $C39 &lt; (Scenarios!$K$15 + (Profile!$B$6-Profile!$B$7)),
 IF('Superannuation (Inputs)'!$I$7="Fixed",
    'Superannuation (Inputs)'!$C$7,
    'Superannuation (Inputs)'!$J$7
 ),
 IF(
  $C39 = (Scenarios!$K$15 + (Profile!$B$6-Profile!$B$7)),
  IF('Superannuation (Inputs)'!$I$7="Fixed",
     'Superannuation (Inputs)'!$C$7*(1-Profile!$B$21),
     'Superannuation (Inputs)'!$J$7
  ),
  0
 )
)</f>
        <v>0</v>
      </c>
      <c r="J39" s="28">
        <f>I39 * 'Superannuation (Inputs)'!$H$7</f>
        <v>0</v>
      </c>
      <c r="K39" s="28">
        <f>K38*(1+Scenarios!$K$8) + G39-H39</f>
        <v>5380733.4458888629</v>
      </c>
      <c r="L39" s="28">
        <f>L38*(1+Scenarios!$K$8) + H39-I39</f>
        <v>1997766.1934775561</v>
      </c>
      <c r="M39" s="28">
        <f t="shared" si="4"/>
        <v>7378499.6393664191</v>
      </c>
      <c r="N39" s="28">
        <f>(IF((E39 + 0.5*INDEX(Property_CF!$B$187:$AZ$187,1,$A39))&lt;=18200,0, IF((E39 + 0.5*INDEX(Property_CF!$B$187:$AZ$187,1,$A39))&lt;=45000,((E39 + 0.5*INDEX(Property_CF!$B$187:$AZ$187,1,$A39))-18200)*0.19, IF((E39 + 0.5*INDEX(Property_CF!$B$187:$AZ$187,1,$A39))&lt;=120000,5092+((E39 + 0.5*INDEX(Property_CF!$B$187:$AZ$187,1,$A39))-45000)*0.325, IF((E39 + 0.5*INDEX(Property_CF!$B$187:$AZ$187,1,$A39))&lt;=180000,29467+((E39 + 0.5*INDEX(Property_CF!$B$187:$AZ$187,1,$A39))-120000)*0.37, 51667+((E39 + 0.5*INDEX(Property_CF!$B$187:$AZ$187,1,$A39))-180000)*0.45)))))+((E39 + 0.5*INDEX(Property_CF!$B$187:$AZ$187,1,$A39)))*0.02</f>
        <v>29050.120316009659</v>
      </c>
      <c r="O39" s="28">
        <f>(IF((F39 + 0.5*INDEX(Property_CF!$B$187:$AZ$187,1,$A39))&lt;=18200,0, IF((F39 + 0.5*INDEX(Property_CF!$B$187:$AZ$187,1,$A39))&lt;=45000,((F39 + 0.5*INDEX(Property_CF!$B$187:$AZ$187,1,$A39))-18200)*0.19, IF((F39 + 0.5*INDEX(Property_CF!$B$187:$AZ$187,1,$A39))&lt;=120000,5092+((F39 + 0.5*INDEX(Property_CF!$B$187:$AZ$187,1,$A39))-45000)*0.325, IF((F39 + 0.5*INDEX(Property_CF!$B$187:$AZ$187,1,$A39))&lt;=180000,29467+((F39 + 0.5*INDEX(Property_CF!$B$187:$AZ$187,1,$A39))-120000)*0.37, 51667+((F39 + 0.5*INDEX(Property_CF!$B$187:$AZ$187,1,$A39))-180000)*0.45)))))+((F39 + 0.5*INDEX(Property_CF!$B$187:$AZ$187,1,$A39)))*0.02</f>
        <v>29050.120316009659</v>
      </c>
      <c r="P39" s="28">
        <f t="array" ref="P39">E39+F39+INDEX(Property_CF!$C$187:$AZ$187,1,$A39)</f>
        <v>235711.40685398644</v>
      </c>
      <c r="Q39" s="28">
        <f>Budget!$P$6</f>
        <v>76477.3</v>
      </c>
      <c r="R39" s="28">
        <f>SUM('Rental Tax &amp; Gearing'!$H$6:$H$8)</f>
        <v>-11228.78761669634</v>
      </c>
      <c r="S39" s="28">
        <f>IF($C39 &lt; Scenarios!$K$7,
    (P39 + R39 - Q39),
    0
)</f>
        <v>0</v>
      </c>
      <c r="T39" s="28">
        <f>IF($C39 &lt; Scenarios!$K$7,
 P39 - Budget!$P$6,
 0)</f>
        <v>0</v>
      </c>
      <c r="U39" s="28">
        <f>U38*(1+Scenarios!$K$8) + IF(C39&lt;Scenarios!$K$7, 'Superannuation (Inputs)'!$N$7, 0)</f>
        <v>12071799.450367197</v>
      </c>
      <c r="V39" s="28">
        <f>V38*(1+Scenarios!$K$11)</f>
        <v>7193500.1426270455</v>
      </c>
      <c r="W39" s="28">
        <f t="shared" si="6"/>
        <v>1787176.3070697056</v>
      </c>
      <c r="X39" s="28">
        <f t="shared" si="0"/>
        <v>21052475.900063947</v>
      </c>
      <c r="Y39" s="28">
        <f>IF(C39&gt;=Scenarios!$K$7, Profile!B42*(1+Scenarios!$K$10)^(C39-Scenarios!$K$7), 0)</f>
        <v>0</v>
      </c>
      <c r="Z39" s="28">
        <f t="shared" si="1"/>
        <v>21052475.900063947</v>
      </c>
    </row>
    <row r="40" spans="1:26">
      <c r="A40" s="4">
        <f t="shared" si="2"/>
        <v>35</v>
      </c>
      <c r="B40" s="4">
        <f t="shared" si="5"/>
        <v>2060</v>
      </c>
      <c r="C40" s="61">
        <f t="shared" si="3"/>
        <v>82</v>
      </c>
      <c r="D40" s="65">
        <f t="shared" si="3"/>
        <v>75</v>
      </c>
      <c r="E40" s="28">
        <f>IF(
 $C40 &lt; Scenarios!$K$7,
 _xlfn.XLOOKUP($B40,'Income Schedule'!$A$5:$A$60,'Income Schedule'!$B$5:$B$60,0),
 IF(
  $C40 = Scenarios!$K$7,
  _xlfn.XLOOKUP($B40,'Income Schedule'!$A$5:$A$60,'Income Schedule'!$B$5:$B$60,0) * (1-Profile!$B$20),
  0
 )
)</f>
        <v>0</v>
      </c>
      <c r="F40" s="28">
        <f>IF(
 $C40 &lt; (Scenarios!$K$15 + (Profile!$B$6-Profile!$B$7)),
 _xlfn.XLOOKUP($B40,'Income Schedule'!$A$5:$A$60,'Income Schedule'!$C$5:$C$60,0),
 IF(
  $C40 = (Scenarios!$K$15 + (Profile!$B$6-Profile!$B$7)),
  _xlfn.XLOOKUP($B40,'Income Schedule'!$A$5:$A$60,'Income Schedule'!$C$5:$C$60,0) * (1-Profile!$B$21),
  0
 )
)</f>
        <v>0</v>
      </c>
      <c r="G40" s="28">
        <f>IF(
 $C40 &lt; Scenarios!$K$7,
 IF('Superannuation (Inputs)'!$I$6="Fixed",
    'Superannuation (Inputs)'!$C$6,
    'Superannuation (Inputs)'!$J$6
 ),
 IF(
  $C40 = Scenarios!$K$7,
  IF('Superannuation (Inputs)'!$I$6="Fixed",
     'Superannuation (Inputs)'!$C$6*(1-Profile!$B$20),
     'Superannuation (Inputs)'!$J$6
  ),
  0
 )
)</f>
        <v>0</v>
      </c>
      <c r="H40" s="28">
        <f>G40 * 'Superannuation (Inputs)'!$H$6</f>
        <v>0</v>
      </c>
      <c r="I40" s="28">
        <f>IF(
 $C40 &lt; (Scenarios!$K$15 + (Profile!$B$6-Profile!$B$7)),
 IF('Superannuation (Inputs)'!$I$7="Fixed",
    'Superannuation (Inputs)'!$C$7,
    'Superannuation (Inputs)'!$J$7
 ),
 IF(
  $C40 = (Scenarios!$K$15 + (Profile!$B$6-Profile!$B$7)),
  IF('Superannuation (Inputs)'!$I$7="Fixed",
     'Superannuation (Inputs)'!$C$7*(1-Profile!$B$21),
     'Superannuation (Inputs)'!$J$7
  ),
  0
 )
)</f>
        <v>0</v>
      </c>
      <c r="J40" s="28">
        <f>I40 * 'Superannuation (Inputs)'!$H$7</f>
        <v>0</v>
      </c>
      <c r="K40" s="28">
        <f>K39*(1+Scenarios!$K$8) + G40-H40</f>
        <v>5730481.1198716387</v>
      </c>
      <c r="L40" s="28">
        <f>L39*(1+Scenarios!$K$8) + H40-I40</f>
        <v>2127620.996053597</v>
      </c>
      <c r="M40" s="28">
        <f t="shared" si="4"/>
        <v>7858102.1159252357</v>
      </c>
      <c r="N40" s="28">
        <f>(IF((E40 + 0.5*INDEX(Property_CF!$B$187:$AZ$187,1,$A40))&lt;=18200,0, IF((E40 + 0.5*INDEX(Property_CF!$B$187:$AZ$187,1,$A40))&lt;=45000,((E40 + 0.5*INDEX(Property_CF!$B$187:$AZ$187,1,$A40))-18200)*0.19, IF((E40 + 0.5*INDEX(Property_CF!$B$187:$AZ$187,1,$A40))&lt;=120000,5092+((E40 + 0.5*INDEX(Property_CF!$B$187:$AZ$187,1,$A40))-45000)*0.325, IF((E40 + 0.5*INDEX(Property_CF!$B$187:$AZ$187,1,$A40))&lt;=180000,29467+((E40 + 0.5*INDEX(Property_CF!$B$187:$AZ$187,1,$A40))-120000)*0.37, 51667+((E40 + 0.5*INDEX(Property_CF!$B$187:$AZ$187,1,$A40))-180000)*0.45)))))+((E40 + 0.5*INDEX(Property_CF!$B$187:$AZ$187,1,$A40)))*0.02</f>
        <v>31127.217682312661</v>
      </c>
      <c r="O40" s="28">
        <f>(IF((F40 + 0.5*INDEX(Property_CF!$B$187:$AZ$187,1,$A40))&lt;=18200,0, IF((F40 + 0.5*INDEX(Property_CF!$B$187:$AZ$187,1,$A40))&lt;=45000,((F40 + 0.5*INDEX(Property_CF!$B$187:$AZ$187,1,$A40))-18200)*0.19, IF((F40 + 0.5*INDEX(Property_CF!$B$187:$AZ$187,1,$A40))&lt;=120000,5092+((F40 + 0.5*INDEX(Property_CF!$B$187:$AZ$187,1,$A40))-45000)*0.325, IF((F40 + 0.5*INDEX(Property_CF!$B$187:$AZ$187,1,$A40))&lt;=180000,29467+((F40 + 0.5*INDEX(Property_CF!$B$187:$AZ$187,1,$A40))-120000)*0.37, 51667+((F40 + 0.5*INDEX(Property_CF!$B$187:$AZ$187,1,$A40))-180000)*0.45)))))+((F40 + 0.5*INDEX(Property_CF!$B$187:$AZ$187,1,$A40)))*0.02</f>
        <v>31127.217682312661</v>
      </c>
      <c r="P40" s="28">
        <f t="array" ref="P40">E40+F40+INDEX(Property_CF!$C$187:$AZ$187,1,$A40)</f>
        <v>243604.07949407797</v>
      </c>
      <c r="Q40" s="28">
        <f>Budget!$P$6</f>
        <v>76477.3</v>
      </c>
      <c r="R40" s="28">
        <f>SUM('Rental Tax &amp; Gearing'!$H$6:$H$8)</f>
        <v>-11228.78761669634</v>
      </c>
      <c r="S40" s="28">
        <f>IF($C40 &lt; Scenarios!$K$7,
    (P40 + R40 - Q40),
    0
)</f>
        <v>0</v>
      </c>
      <c r="T40" s="28">
        <f>IF($C40 &lt; Scenarios!$K$7,
 P40 - Budget!$P$6,
 0)</f>
        <v>0</v>
      </c>
      <c r="U40" s="28">
        <f>U39*(1+Scenarios!$K$8) + IF(C40&lt;Scenarios!$K$7, 'Superannuation (Inputs)'!$N$7, 0)</f>
        <v>12856466.414641064</v>
      </c>
      <c r="V40" s="28">
        <f>V39*(1+Scenarios!$K$11)</f>
        <v>7517207.6490452625</v>
      </c>
      <c r="W40" s="28">
        <f t="shared" si="6"/>
        <v>1840791.5962817967</v>
      </c>
      <c r="X40" s="28">
        <f t="shared" si="0"/>
        <v>22214465.659968123</v>
      </c>
      <c r="Y40" s="28">
        <f>IF(C40&gt;=Scenarios!$K$7, Profile!B43*(1+Scenarios!$K$10)^(C40-Scenarios!$K$7), 0)</f>
        <v>0</v>
      </c>
      <c r="Z40" s="28">
        <f t="shared" si="1"/>
        <v>22214465.659968123</v>
      </c>
    </row>
    <row r="41" spans="1:26">
      <c r="A41" s="4">
        <f t="shared" si="2"/>
        <v>36</v>
      </c>
      <c r="B41" s="4">
        <f t="shared" si="5"/>
        <v>2061</v>
      </c>
      <c r="C41" s="61">
        <f t="shared" si="3"/>
        <v>83</v>
      </c>
      <c r="D41" s="65">
        <f t="shared" si="3"/>
        <v>76</v>
      </c>
      <c r="E41" s="28">
        <f>IF(
 $C41 &lt; Scenarios!$K$7,
 _xlfn.XLOOKUP($B41,'Income Schedule'!$A$5:$A$60,'Income Schedule'!$B$5:$B$60,0),
 IF(
  $C41 = Scenarios!$K$7,
  _xlfn.XLOOKUP($B41,'Income Schedule'!$A$5:$A$60,'Income Schedule'!$B$5:$B$60,0) * (1-Profile!$B$20),
  0
 )
)</f>
        <v>0</v>
      </c>
      <c r="F41" s="28">
        <f>IF(
 $C41 &lt; (Scenarios!$K$15 + (Profile!$B$6-Profile!$B$7)),
 _xlfn.XLOOKUP($B41,'Income Schedule'!$A$5:$A$60,'Income Schedule'!$C$5:$C$60,0),
 IF(
  $C41 = (Scenarios!$K$15 + (Profile!$B$6-Profile!$B$7)),
  _xlfn.XLOOKUP($B41,'Income Schedule'!$A$5:$A$60,'Income Schedule'!$C$5:$C$60,0) * (1-Profile!$B$21),
  0
 )
)</f>
        <v>0</v>
      </c>
      <c r="G41" s="28">
        <f>IF(
 $C41 &lt; Scenarios!$K$7,
 IF('Superannuation (Inputs)'!$I$6="Fixed",
    'Superannuation (Inputs)'!$C$6,
    'Superannuation (Inputs)'!$J$6
 ),
 IF(
  $C41 = Scenarios!$K$7,
  IF('Superannuation (Inputs)'!$I$6="Fixed",
     'Superannuation (Inputs)'!$C$6*(1-Profile!$B$20),
     'Superannuation (Inputs)'!$J$6
  ),
  0
 )
)</f>
        <v>0</v>
      </c>
      <c r="H41" s="28">
        <f>G41 * 'Superannuation (Inputs)'!$H$6</f>
        <v>0</v>
      </c>
      <c r="I41" s="28">
        <f>IF(
 $C41 &lt; (Scenarios!$K$15 + (Profile!$B$6-Profile!$B$7)),
 IF('Superannuation (Inputs)'!$I$7="Fixed",
    'Superannuation (Inputs)'!$C$7,
    'Superannuation (Inputs)'!$J$7
 ),
 IF(
  $C41 = (Scenarios!$K$15 + (Profile!$B$6-Profile!$B$7)),
  IF('Superannuation (Inputs)'!$I$7="Fixed",
     'Superannuation (Inputs)'!$C$7*(1-Profile!$B$21),
     'Superannuation (Inputs)'!$J$7
  ),
  0
 )
)</f>
        <v>0</v>
      </c>
      <c r="J41" s="28">
        <f>I41 * 'Superannuation (Inputs)'!$H$7</f>
        <v>0</v>
      </c>
      <c r="K41" s="28">
        <f>K40*(1+Scenarios!$K$8) + G41-H41</f>
        <v>6102962.3926632954</v>
      </c>
      <c r="L41" s="28">
        <f>L40*(1+Scenarios!$K$8) + H41-I41</f>
        <v>2265916.3607970807</v>
      </c>
      <c r="M41" s="28">
        <f t="shared" si="4"/>
        <v>8368878.7534603756</v>
      </c>
      <c r="N41" s="28">
        <f>(IF((E41 + 0.5*INDEX(Property_CF!$B$187:$AZ$187,1,$A41))&lt;=18200,0, IF((E41 + 0.5*INDEX(Property_CF!$B$187:$AZ$187,1,$A41))&lt;=45000,((E41 + 0.5*INDEX(Property_CF!$B$187:$AZ$187,1,$A41))-18200)*0.19, IF((E41 + 0.5*INDEX(Property_CF!$B$187:$AZ$187,1,$A41))&lt;=120000,5092+((E41 + 0.5*INDEX(Property_CF!$B$187:$AZ$187,1,$A41))-45000)*0.325, IF((E41 + 0.5*INDEX(Property_CF!$B$187:$AZ$187,1,$A41))&lt;=180000,29467+((E41 + 0.5*INDEX(Property_CF!$B$187:$AZ$187,1,$A41))-120000)*0.37, 51667+((E41 + 0.5*INDEX(Property_CF!$B$187:$AZ$187,1,$A41))-180000)*0.45)))))+((E41 + 0.5*INDEX(Property_CF!$B$187:$AZ$187,1,$A41)))*0.02</f>
        <v>32569.795501345208</v>
      </c>
      <c r="O41" s="28">
        <f>(IF((F41 + 0.5*INDEX(Property_CF!$B$187:$AZ$187,1,$A41))&lt;=18200,0, IF((F41 + 0.5*INDEX(Property_CF!$B$187:$AZ$187,1,$A41))&lt;=45000,((F41 + 0.5*INDEX(Property_CF!$B$187:$AZ$187,1,$A41))-18200)*0.19, IF((F41 + 0.5*INDEX(Property_CF!$B$187:$AZ$187,1,$A41))&lt;=120000,5092+((F41 + 0.5*INDEX(Property_CF!$B$187:$AZ$187,1,$A41))-45000)*0.325, IF((F41 + 0.5*INDEX(Property_CF!$B$187:$AZ$187,1,$A41))&lt;=180000,29467+((F41 + 0.5*INDEX(Property_CF!$B$187:$AZ$187,1,$A41))-120000)*0.37, 51667+((F41 + 0.5*INDEX(Property_CF!$B$187:$AZ$187,1,$A41))-180000)*0.45)))))+((F41 + 0.5*INDEX(Property_CF!$B$187:$AZ$187,1,$A41)))*0.02</f>
        <v>32569.795501345208</v>
      </c>
      <c r="P41" s="28">
        <f t="array" ref="P41">E41+F41+INDEX(Property_CF!$C$187:$AZ$187,1,$A41)</f>
        <v>251741.60333048407</v>
      </c>
      <c r="Q41" s="28">
        <f>Budget!$P$6</f>
        <v>76477.3</v>
      </c>
      <c r="R41" s="28">
        <f>SUM('Rental Tax &amp; Gearing'!$H$6:$H$8)</f>
        <v>-11228.78761669634</v>
      </c>
      <c r="S41" s="28">
        <f>IF($C41 &lt; Scenarios!$K$7,
    (P41 + R41 - Q41),
    0
)</f>
        <v>0</v>
      </c>
      <c r="T41" s="28">
        <f>IF($C41 &lt; Scenarios!$K$7,
 P41 - Budget!$P$6,
 0)</f>
        <v>0</v>
      </c>
      <c r="U41" s="28">
        <f>U40*(1+Scenarios!$K$8) + IF(C41&lt;Scenarios!$K$7, 'Superannuation (Inputs)'!$N$7, 0)</f>
        <v>13692136.731592732</v>
      </c>
      <c r="V41" s="28">
        <f>V40*(1+Scenarios!$K$11)</f>
        <v>7855481.9932522988</v>
      </c>
      <c r="W41" s="28">
        <f t="shared" si="6"/>
        <v>1896015.3441702507</v>
      </c>
      <c r="X41" s="28">
        <f t="shared" si="0"/>
        <v>23443634.069015279</v>
      </c>
      <c r="Y41" s="28">
        <f>IF(C41&gt;=Scenarios!$K$7, Profile!B44*(1+Scenarios!$K$10)^(C41-Scenarios!$K$7), 0)</f>
        <v>0</v>
      </c>
      <c r="Z41" s="28">
        <f t="shared" si="1"/>
        <v>23443634.069015279</v>
      </c>
    </row>
    <row r="42" spans="1:26">
      <c r="A42" s="4">
        <f t="shared" si="2"/>
        <v>37</v>
      </c>
      <c r="B42" s="4">
        <f t="shared" si="5"/>
        <v>2062</v>
      </c>
      <c r="C42" s="61">
        <f t="shared" si="3"/>
        <v>84</v>
      </c>
      <c r="D42" s="65">
        <f t="shared" si="3"/>
        <v>77</v>
      </c>
      <c r="E42" s="28">
        <f>IF(
 $C42 &lt; Scenarios!$K$7,
 _xlfn.XLOOKUP($B42,'Income Schedule'!$A$5:$A$60,'Income Schedule'!$B$5:$B$60,0),
 IF(
  $C42 = Scenarios!$K$7,
  _xlfn.XLOOKUP($B42,'Income Schedule'!$A$5:$A$60,'Income Schedule'!$B$5:$B$60,0) * (1-Profile!$B$20),
  0
 )
)</f>
        <v>0</v>
      </c>
      <c r="F42" s="28">
        <f>IF(
 $C42 &lt; (Scenarios!$K$15 + (Profile!$B$6-Profile!$B$7)),
 _xlfn.XLOOKUP($B42,'Income Schedule'!$A$5:$A$60,'Income Schedule'!$C$5:$C$60,0),
 IF(
  $C42 = (Scenarios!$K$15 + (Profile!$B$6-Profile!$B$7)),
  _xlfn.XLOOKUP($B42,'Income Schedule'!$A$5:$A$60,'Income Schedule'!$C$5:$C$60,0) * (1-Profile!$B$21),
  0
 )
)</f>
        <v>0</v>
      </c>
      <c r="G42" s="28">
        <f>IF(
 $C42 &lt; Scenarios!$K$7,
 IF('Superannuation (Inputs)'!$I$6="Fixed",
    'Superannuation (Inputs)'!$C$6,
    'Superannuation (Inputs)'!$J$6
 ),
 IF(
  $C42 = Scenarios!$K$7,
  IF('Superannuation (Inputs)'!$I$6="Fixed",
     'Superannuation (Inputs)'!$C$6*(1-Profile!$B$20),
     'Superannuation (Inputs)'!$J$6
  ),
  0
 )
)</f>
        <v>0</v>
      </c>
      <c r="H42" s="28">
        <f>G42 * 'Superannuation (Inputs)'!$H$6</f>
        <v>0</v>
      </c>
      <c r="I42" s="28">
        <f>IF(
 $C42 &lt; (Scenarios!$K$15 + (Profile!$B$6-Profile!$B$7)),
 IF('Superannuation (Inputs)'!$I$7="Fixed",
    'Superannuation (Inputs)'!$C$7,
    'Superannuation (Inputs)'!$J$7
 ),
 IF(
  $C42 = (Scenarios!$K$15 + (Profile!$B$6-Profile!$B$7)),
  IF('Superannuation (Inputs)'!$I$7="Fixed",
     'Superannuation (Inputs)'!$C$7*(1-Profile!$B$21),
     'Superannuation (Inputs)'!$J$7
  ),
  0
 )
)</f>
        <v>0</v>
      </c>
      <c r="J42" s="28">
        <f>I42 * 'Superannuation (Inputs)'!$H$7</f>
        <v>0</v>
      </c>
      <c r="K42" s="28">
        <f>K41*(1+Scenarios!$K$8) + G42-H42</f>
        <v>6499654.9481864097</v>
      </c>
      <c r="L42" s="28">
        <f>L41*(1+Scenarios!$K$8) + H42-I42</f>
        <v>2413200.924248891</v>
      </c>
      <c r="M42" s="28">
        <f t="shared" si="4"/>
        <v>8912855.8724353015</v>
      </c>
      <c r="N42" s="28">
        <f>(IF((E42 + 0.5*INDEX(Property_CF!$B$187:$AZ$187,1,$A42))&lt;=18200,0, IF((E42 + 0.5*INDEX(Property_CF!$B$187:$AZ$187,1,$A42))&lt;=45000,((E42 + 0.5*INDEX(Property_CF!$B$187:$AZ$187,1,$A42))-18200)*0.19, IF((E42 + 0.5*INDEX(Property_CF!$B$187:$AZ$187,1,$A42))&lt;=120000,5092+((E42 + 0.5*INDEX(Property_CF!$B$187:$AZ$187,1,$A42))-45000)*0.325, IF((E42 + 0.5*INDEX(Property_CF!$B$187:$AZ$187,1,$A42))&lt;=180000,29467+((E42 + 0.5*INDEX(Property_CF!$B$187:$AZ$187,1,$A42))-120000)*0.37, 51667+((E42 + 0.5*INDEX(Property_CF!$B$187:$AZ$187,1,$A42))-180000)*0.45)))))+((E42 + 0.5*INDEX(Property_CF!$B$187:$AZ$187,1,$A42)))*0.02</f>
        <v>34156.612649444396</v>
      </c>
      <c r="O42" s="28">
        <f>(IF((F42 + 0.5*INDEX(Property_CF!$B$187:$AZ$187,1,$A42))&lt;=18200,0, IF((F42 + 0.5*INDEX(Property_CF!$B$187:$AZ$187,1,$A42))&lt;=45000,((F42 + 0.5*INDEX(Property_CF!$B$187:$AZ$187,1,$A42))-18200)*0.19, IF((F42 + 0.5*INDEX(Property_CF!$B$187:$AZ$187,1,$A42))&lt;=120000,5092+((F42 + 0.5*INDEX(Property_CF!$B$187:$AZ$187,1,$A42))-45000)*0.325, IF((F42 + 0.5*INDEX(Property_CF!$B$187:$AZ$187,1,$A42))&lt;=180000,29467+((F42 + 0.5*INDEX(Property_CF!$B$187:$AZ$187,1,$A42))-120000)*0.37, 51667+((F42 + 0.5*INDEX(Property_CF!$B$187:$AZ$187,1,$A42))-180000)*0.45)))))+((F42 + 0.5*INDEX(Property_CF!$B$187:$AZ$187,1,$A42)))*0.02</f>
        <v>34156.612649444396</v>
      </c>
      <c r="P42" s="28">
        <f t="array" ref="P42">E42+F42+INDEX(Property_CF!$C$187:$AZ$187,1,$A42)</f>
        <v>255745.52567452192</v>
      </c>
      <c r="Q42" s="28">
        <f>Budget!$P$6</f>
        <v>76477.3</v>
      </c>
      <c r="R42" s="28">
        <f>SUM('Rental Tax &amp; Gearing'!$H$6:$H$8)</f>
        <v>-11228.78761669634</v>
      </c>
      <c r="S42" s="28">
        <f>IF($C42 &lt; Scenarios!$K$7,
    (P42 + R42 - Q42),
    0
)</f>
        <v>0</v>
      </c>
      <c r="T42" s="28">
        <f>IF($C42 &lt; Scenarios!$K$7,
 P42 - Budget!$P$6,
 0)</f>
        <v>0</v>
      </c>
      <c r="U42" s="28">
        <f>U41*(1+Scenarios!$K$8) + IF(C42&lt;Scenarios!$K$7, 'Superannuation (Inputs)'!$N$7, 0)</f>
        <v>14582125.619146258</v>
      </c>
      <c r="V42" s="28">
        <f>V41*(1+Scenarios!$K$11)</f>
        <v>8208978.6829486517</v>
      </c>
      <c r="W42" s="28">
        <f t="shared" si="6"/>
        <v>1952895.8044953584</v>
      </c>
      <c r="X42" s="28">
        <f t="shared" si="0"/>
        <v>24744000.106590267</v>
      </c>
      <c r="Y42" s="28">
        <f>IF(C42&gt;=Scenarios!$K$7, Profile!B45*(1+Scenarios!$K$10)^(C42-Scenarios!$K$7), 0)</f>
        <v>0</v>
      </c>
      <c r="Z42" s="28">
        <f t="shared" si="1"/>
        <v>24744000.106590267</v>
      </c>
    </row>
    <row r="43" spans="1:26">
      <c r="A43" s="4">
        <f t="shared" si="2"/>
        <v>38</v>
      </c>
      <c r="B43" s="4">
        <f t="shared" si="5"/>
        <v>2063</v>
      </c>
      <c r="C43" s="61">
        <f t="shared" si="3"/>
        <v>85</v>
      </c>
      <c r="D43" s="65">
        <f t="shared" si="3"/>
        <v>78</v>
      </c>
      <c r="E43" s="28">
        <f>IF(
 $C43 &lt; Scenarios!$K$7,
 _xlfn.XLOOKUP($B43,'Income Schedule'!$A$5:$A$60,'Income Schedule'!$B$5:$B$60,0),
 IF(
  $C43 = Scenarios!$K$7,
  _xlfn.XLOOKUP($B43,'Income Schedule'!$A$5:$A$60,'Income Schedule'!$B$5:$B$60,0) * (1-Profile!$B$20),
  0
 )
)</f>
        <v>0</v>
      </c>
      <c r="F43" s="28">
        <f>IF(
 $C43 &lt; (Scenarios!$K$15 + (Profile!$B$6-Profile!$B$7)),
 _xlfn.XLOOKUP($B43,'Income Schedule'!$A$5:$A$60,'Income Schedule'!$C$5:$C$60,0),
 IF(
  $C43 = (Scenarios!$K$15 + (Profile!$B$6-Profile!$B$7)),
  _xlfn.XLOOKUP($B43,'Income Schedule'!$A$5:$A$60,'Income Schedule'!$C$5:$C$60,0) * (1-Profile!$B$21),
  0
 )
)</f>
        <v>0</v>
      </c>
      <c r="G43" s="28">
        <f>IF(
 $C43 &lt; Scenarios!$K$7,
 IF('Superannuation (Inputs)'!$I$6="Fixed",
    'Superannuation (Inputs)'!$C$6,
    'Superannuation (Inputs)'!$J$6
 ),
 IF(
  $C43 = Scenarios!$K$7,
  IF('Superannuation (Inputs)'!$I$6="Fixed",
     'Superannuation (Inputs)'!$C$6*(1-Profile!$B$20),
     'Superannuation (Inputs)'!$J$6
  ),
  0
 )
)</f>
        <v>0</v>
      </c>
      <c r="H43" s="28">
        <f>G43 * 'Superannuation (Inputs)'!$H$6</f>
        <v>0</v>
      </c>
      <c r="I43" s="28">
        <f>IF(
 $C43 &lt; (Scenarios!$K$15 + (Profile!$B$6-Profile!$B$7)),
 IF('Superannuation (Inputs)'!$I$7="Fixed",
    'Superannuation (Inputs)'!$C$7,
    'Superannuation (Inputs)'!$J$7
 ),
 IF(
  $C43 = (Scenarios!$K$15 + (Profile!$B$6-Profile!$B$7)),
  IF('Superannuation (Inputs)'!$I$7="Fixed",
     'Superannuation (Inputs)'!$C$7*(1-Profile!$B$21),
     'Superannuation (Inputs)'!$J$7
  ),
  0
 )
)</f>
        <v>0</v>
      </c>
      <c r="J43" s="28">
        <f>I43 * 'Superannuation (Inputs)'!$H$7</f>
        <v>0</v>
      </c>
      <c r="K43" s="28">
        <f>K42*(1+Scenarios!$K$8) + G43-H43</f>
        <v>6922132.5198185258</v>
      </c>
      <c r="L43" s="28">
        <f>L42*(1+Scenarios!$K$8) + H43-I43</f>
        <v>2570058.9843250685</v>
      </c>
      <c r="M43" s="28">
        <f t="shared" si="4"/>
        <v>9492191.5041435938</v>
      </c>
      <c r="N43" s="28">
        <f>(IF((E43 + 0.5*INDEX(Property_CF!$B$187:$AZ$187,1,$A43))&lt;=18200,0, IF((E43 + 0.5*INDEX(Property_CF!$B$187:$AZ$187,1,$A43))&lt;=45000,((E43 + 0.5*INDEX(Property_CF!$B$187:$AZ$187,1,$A43))-18200)*0.19, IF((E43 + 0.5*INDEX(Property_CF!$B$187:$AZ$187,1,$A43))&lt;=120000,5092+((E43 + 0.5*INDEX(Property_CF!$B$187:$AZ$187,1,$A43))-45000)*0.325, IF((E43 + 0.5*INDEX(Property_CF!$B$187:$AZ$187,1,$A43))&lt;=180000,29467+((E43 + 0.5*INDEX(Property_CF!$B$187:$AZ$187,1,$A43))-120000)*0.37, 51667+((E43 + 0.5*INDEX(Property_CF!$B$187:$AZ$187,1,$A43))-180000)*0.45)))))+((E43 + 0.5*INDEX(Property_CF!$B$187:$AZ$187,1,$A43)))*0.02</f>
        <v>34937.377506531775</v>
      </c>
      <c r="O43" s="28">
        <f>(IF((F43 + 0.5*INDEX(Property_CF!$B$187:$AZ$187,1,$A43))&lt;=18200,0, IF((F43 + 0.5*INDEX(Property_CF!$B$187:$AZ$187,1,$A43))&lt;=45000,((F43 + 0.5*INDEX(Property_CF!$B$187:$AZ$187,1,$A43))-18200)*0.19, IF((F43 + 0.5*INDEX(Property_CF!$B$187:$AZ$187,1,$A43))&lt;=120000,5092+((F43 + 0.5*INDEX(Property_CF!$B$187:$AZ$187,1,$A43))-45000)*0.325, IF((F43 + 0.5*INDEX(Property_CF!$B$187:$AZ$187,1,$A43))&lt;=180000,29467+((F43 + 0.5*INDEX(Property_CF!$B$187:$AZ$187,1,$A43))-120000)*0.37, 51667+((F43 + 0.5*INDEX(Property_CF!$B$187:$AZ$187,1,$A43))-180000)*0.45)))))+((F43 + 0.5*INDEX(Property_CF!$B$187:$AZ$187,1,$A43)))*0.02</f>
        <v>34937.377506531775</v>
      </c>
      <c r="P43" s="28">
        <f t="array" ref="P43">E43+F43+INDEX(Property_CF!$C$187:$AZ$187,1,$A43)</f>
        <v>268781.62530123396</v>
      </c>
      <c r="Q43" s="28">
        <f>Budget!$P$6</f>
        <v>76477.3</v>
      </c>
      <c r="R43" s="28">
        <f>SUM('Rental Tax &amp; Gearing'!$H$6:$H$8)</f>
        <v>-11228.78761669634</v>
      </c>
      <c r="S43" s="28">
        <f>IF($C43 &lt; Scenarios!$K$7,
    (P43 + R43 - Q43),
    0
)</f>
        <v>0</v>
      </c>
      <c r="T43" s="28">
        <f>IF($C43 &lt; Scenarios!$K$7,
 P43 - Budget!$P$6,
 0)</f>
        <v>0</v>
      </c>
      <c r="U43" s="28">
        <f>U42*(1+Scenarios!$K$8) + IF(C43&lt;Scenarios!$K$7, 'Superannuation (Inputs)'!$N$7, 0)</f>
        <v>15529963.784390764</v>
      </c>
      <c r="V43" s="28">
        <f>V42*(1+Scenarios!$K$11)</f>
        <v>8578382.72368134</v>
      </c>
      <c r="W43" s="28">
        <f t="shared" si="6"/>
        <v>2011482.6786302191</v>
      </c>
      <c r="X43" s="28">
        <f t="shared" si="0"/>
        <v>26119829.186702322</v>
      </c>
      <c r="Y43" s="28">
        <f>IF(C43&gt;=Scenarios!$K$7, Profile!B46*(1+Scenarios!$K$10)^(C43-Scenarios!$K$7), 0)</f>
        <v>0</v>
      </c>
      <c r="Z43" s="28">
        <f t="shared" si="1"/>
        <v>26119829.186702322</v>
      </c>
    </row>
    <row r="44" spans="1:26">
      <c r="A44" s="4">
        <f t="shared" si="2"/>
        <v>39</v>
      </c>
      <c r="B44" s="4">
        <f t="shared" si="5"/>
        <v>2064</v>
      </c>
      <c r="C44" s="61">
        <f t="shared" si="3"/>
        <v>86</v>
      </c>
      <c r="D44" s="65">
        <f t="shared" si="3"/>
        <v>79</v>
      </c>
      <c r="E44" s="28">
        <f>IF(
 $C44 &lt; Scenarios!$K$7,
 _xlfn.XLOOKUP($B44,'Income Schedule'!$A$5:$A$60,'Income Schedule'!$B$5:$B$60,0),
 IF(
  $C44 = Scenarios!$K$7,
  _xlfn.XLOOKUP($B44,'Income Schedule'!$A$5:$A$60,'Income Schedule'!$B$5:$B$60,0) * (1-Profile!$B$20),
  0
 )
)</f>
        <v>0</v>
      </c>
      <c r="F44" s="28">
        <f>IF(
 $C44 &lt; (Scenarios!$K$15 + (Profile!$B$6-Profile!$B$7)),
 _xlfn.XLOOKUP($B44,'Income Schedule'!$A$5:$A$60,'Income Schedule'!$C$5:$C$60,0),
 IF(
  $C44 = (Scenarios!$K$15 + (Profile!$B$6-Profile!$B$7)),
  _xlfn.XLOOKUP($B44,'Income Schedule'!$A$5:$A$60,'Income Schedule'!$C$5:$C$60,0) * (1-Profile!$B$21),
  0
 )
)</f>
        <v>0</v>
      </c>
      <c r="G44" s="28">
        <f>IF(
 $C44 &lt; Scenarios!$K$7,
 IF('Superannuation (Inputs)'!$I$6="Fixed",
    'Superannuation (Inputs)'!$C$6,
    'Superannuation (Inputs)'!$J$6
 ),
 IF(
  $C44 = Scenarios!$K$7,
  IF('Superannuation (Inputs)'!$I$6="Fixed",
     'Superannuation (Inputs)'!$C$6*(1-Profile!$B$20),
     'Superannuation (Inputs)'!$J$6
  ),
  0
 )
)</f>
        <v>0</v>
      </c>
      <c r="H44" s="28">
        <f>G44 * 'Superannuation (Inputs)'!$H$6</f>
        <v>0</v>
      </c>
      <c r="I44" s="28">
        <f>IF(
 $C44 &lt; (Scenarios!$K$15 + (Profile!$B$6-Profile!$B$7)),
 IF('Superannuation (Inputs)'!$I$7="Fixed",
    'Superannuation (Inputs)'!$C$7,
    'Superannuation (Inputs)'!$J$7
 ),
 IF(
  $C44 = (Scenarios!$K$15 + (Profile!$B$6-Profile!$B$7)),
  IF('Superannuation (Inputs)'!$I$7="Fixed",
     'Superannuation (Inputs)'!$C$7*(1-Profile!$B$21),
     'Superannuation (Inputs)'!$J$7
  ),
  0
 )
)</f>
        <v>0</v>
      </c>
      <c r="J44" s="28">
        <f>I44 * 'Superannuation (Inputs)'!$H$7</f>
        <v>0</v>
      </c>
      <c r="K44" s="28">
        <f>K43*(1+Scenarios!$K$8) + G44-H44</f>
        <v>7372071.13360673</v>
      </c>
      <c r="L44" s="28">
        <f>L43*(1+Scenarios!$K$8) + H44-I44</f>
        <v>2737112.8183061979</v>
      </c>
      <c r="M44" s="28">
        <f t="shared" si="4"/>
        <v>10109183.951912928</v>
      </c>
      <c r="N44" s="28">
        <f>(IF((E44 + 0.5*INDEX(Property_CF!$B$187:$AZ$187,1,$A44))&lt;=18200,0, IF((E44 + 0.5*INDEX(Property_CF!$B$187:$AZ$187,1,$A44))&lt;=45000,((E44 + 0.5*INDEX(Property_CF!$B$187:$AZ$187,1,$A44))-18200)*0.19, IF((E44 + 0.5*INDEX(Property_CF!$B$187:$AZ$187,1,$A44))&lt;=120000,5092+((E44 + 0.5*INDEX(Property_CF!$B$187:$AZ$187,1,$A44))-45000)*0.325, IF((E44 + 0.5*INDEX(Property_CF!$B$187:$AZ$187,1,$A44))&lt;=180000,29467+((E44 + 0.5*INDEX(Property_CF!$B$187:$AZ$187,1,$A44))-120000)*0.37, 51667+((E44 + 0.5*INDEX(Property_CF!$B$187:$AZ$187,1,$A44))-180000)*0.45)))))+((E44 + 0.5*INDEX(Property_CF!$B$187:$AZ$187,1,$A44)))*0.02</f>
        <v>37479.41693374062</v>
      </c>
      <c r="O44" s="28">
        <f>(IF((F44 + 0.5*INDEX(Property_CF!$B$187:$AZ$187,1,$A44))&lt;=18200,0, IF((F44 + 0.5*INDEX(Property_CF!$B$187:$AZ$187,1,$A44))&lt;=45000,((F44 + 0.5*INDEX(Property_CF!$B$187:$AZ$187,1,$A44))-18200)*0.19, IF((F44 + 0.5*INDEX(Property_CF!$B$187:$AZ$187,1,$A44))&lt;=120000,5092+((F44 + 0.5*INDEX(Property_CF!$B$187:$AZ$187,1,$A44))-45000)*0.325, IF((F44 + 0.5*INDEX(Property_CF!$B$187:$AZ$187,1,$A44))&lt;=180000,29467+((F44 + 0.5*INDEX(Property_CF!$B$187:$AZ$187,1,$A44))-120000)*0.37, 51667+((F44 + 0.5*INDEX(Property_CF!$B$187:$AZ$187,1,$A44))-180000)*0.45)))))+((F44 + 0.5*INDEX(Property_CF!$B$187:$AZ$187,1,$A44)))*0.02</f>
        <v>37479.41693374062</v>
      </c>
      <c r="P44" s="28">
        <f t="array" ref="P44">E44+F44+INDEX(Property_CF!$C$187:$AZ$187,1,$A44)</f>
        <v>277699.9195194093</v>
      </c>
      <c r="Q44" s="28">
        <f>Budget!$P$6</f>
        <v>76477.3</v>
      </c>
      <c r="R44" s="28">
        <f>SUM('Rental Tax &amp; Gearing'!$H$6:$H$8)</f>
        <v>-11228.78761669634</v>
      </c>
      <c r="S44" s="28">
        <f>IF($C44 &lt; Scenarios!$K$7,
    (P44 + R44 - Q44),
    0
)</f>
        <v>0</v>
      </c>
      <c r="T44" s="28">
        <f>IF($C44 &lt; Scenarios!$K$7,
 P44 - Budget!$P$6,
 0)</f>
        <v>0</v>
      </c>
      <c r="U44" s="28">
        <f>U43*(1+Scenarios!$K$8) + IF(C44&lt;Scenarios!$K$7, 'Superannuation (Inputs)'!$N$7, 0)</f>
        <v>16539411.430376163</v>
      </c>
      <c r="V44" s="28">
        <f>V43*(1+Scenarios!$K$11)</f>
        <v>8964409.9462470002</v>
      </c>
      <c r="W44" s="28">
        <f t="shared" si="6"/>
        <v>2071827.1589891256</v>
      </c>
      <c r="X44" s="28">
        <f t="shared" si="0"/>
        <v>27575648.535612285</v>
      </c>
      <c r="Y44" s="28">
        <f>IF(C44&gt;=Scenarios!$K$7, Profile!B47*(1+Scenarios!$K$10)^(C44-Scenarios!$K$7), 0)</f>
        <v>0</v>
      </c>
      <c r="Z44" s="28">
        <f t="shared" si="1"/>
        <v>27575648.535612285</v>
      </c>
    </row>
    <row r="45" spans="1:26">
      <c r="A45" s="4">
        <f t="shared" si="2"/>
        <v>40</v>
      </c>
      <c r="B45" s="4">
        <f t="shared" si="5"/>
        <v>2065</v>
      </c>
      <c r="C45" s="61">
        <f t="shared" si="3"/>
        <v>87</v>
      </c>
      <c r="D45" s="65">
        <f t="shared" si="3"/>
        <v>80</v>
      </c>
      <c r="E45" s="28">
        <f>IF(
 $C45 &lt; Scenarios!$K$7,
 _xlfn.XLOOKUP($B45,'Income Schedule'!$A$5:$A$60,'Income Schedule'!$B$5:$B$60,0),
 IF(
  $C45 = Scenarios!$K$7,
  _xlfn.XLOOKUP($B45,'Income Schedule'!$A$5:$A$60,'Income Schedule'!$B$5:$B$60,0) * (1-Profile!$B$20),
  0
 )
)</f>
        <v>0</v>
      </c>
      <c r="F45" s="28">
        <f>IF(
 $C45 &lt; (Scenarios!$K$15 + (Profile!$B$6-Profile!$B$7)),
 _xlfn.XLOOKUP($B45,'Income Schedule'!$A$5:$A$60,'Income Schedule'!$C$5:$C$60,0),
 IF(
  $C45 = (Scenarios!$K$15 + (Profile!$B$6-Profile!$B$7)),
  _xlfn.XLOOKUP($B45,'Income Schedule'!$A$5:$A$60,'Income Schedule'!$C$5:$C$60,0) * (1-Profile!$B$21),
  0
 )
)</f>
        <v>0</v>
      </c>
      <c r="G45" s="28">
        <f>IF(
 $C45 &lt; Scenarios!$K$7,
 IF('Superannuation (Inputs)'!$I$6="Fixed",
    'Superannuation (Inputs)'!$C$6,
    'Superannuation (Inputs)'!$J$6
 ),
 IF(
  $C45 = Scenarios!$K$7,
  IF('Superannuation (Inputs)'!$I$6="Fixed",
     'Superannuation (Inputs)'!$C$6*(1-Profile!$B$20),
     'Superannuation (Inputs)'!$J$6
  ),
  0
 )
)</f>
        <v>0</v>
      </c>
      <c r="H45" s="28">
        <f>G45 * 'Superannuation (Inputs)'!$H$6</f>
        <v>0</v>
      </c>
      <c r="I45" s="28">
        <f>IF(
 $C45 &lt; (Scenarios!$K$15 + (Profile!$B$6-Profile!$B$7)),
 IF('Superannuation (Inputs)'!$I$7="Fixed",
    'Superannuation (Inputs)'!$C$7,
    'Superannuation (Inputs)'!$J$7
 ),
 IF(
  $C45 = (Scenarios!$K$15 + (Profile!$B$6-Profile!$B$7)),
  IF('Superannuation (Inputs)'!$I$7="Fixed",
     'Superannuation (Inputs)'!$C$7*(1-Profile!$B$21),
     'Superannuation (Inputs)'!$J$7
  ),
  0
 )
)</f>
        <v>0</v>
      </c>
      <c r="J45" s="28">
        <f>I45 * 'Superannuation (Inputs)'!$H$7</f>
        <v>0</v>
      </c>
      <c r="K45" s="28">
        <f>K44*(1+Scenarios!$K$8) + G45-H45</f>
        <v>7851255.757291167</v>
      </c>
      <c r="L45" s="28">
        <f>L44*(1+Scenarios!$K$8) + H45-I45</f>
        <v>2915025.1514961007</v>
      </c>
      <c r="M45" s="28">
        <f t="shared" si="4"/>
        <v>10766280.908787267</v>
      </c>
      <c r="N45" s="28">
        <f>(IF((E45 + 0.5*INDEX(Property_CF!$B$187:$AZ$187,1,$A45))&lt;=18200,0, IF((E45 + 0.5*INDEX(Property_CF!$B$187:$AZ$187,1,$A45))&lt;=45000,((E45 + 0.5*INDEX(Property_CF!$B$187:$AZ$187,1,$A45))-18200)*0.19, IF((E45 + 0.5*INDEX(Property_CF!$B$187:$AZ$187,1,$A45))&lt;=120000,5092+((E45 + 0.5*INDEX(Property_CF!$B$187:$AZ$187,1,$A45))-45000)*0.325, IF((E45 + 0.5*INDEX(Property_CF!$B$187:$AZ$187,1,$A45))&lt;=180000,29467+((E45 + 0.5*INDEX(Property_CF!$B$187:$AZ$187,1,$A45))-120000)*0.37, 51667+((E45 + 0.5*INDEX(Property_CF!$B$187:$AZ$187,1,$A45))-180000)*0.45)))))+((E45 + 0.5*INDEX(Property_CF!$B$187:$AZ$187,1,$A45)))*0.02</f>
        <v>39218.484306284809</v>
      </c>
      <c r="O45" s="28">
        <f>(IF((F45 + 0.5*INDEX(Property_CF!$B$187:$AZ$187,1,$A45))&lt;=18200,0, IF((F45 + 0.5*INDEX(Property_CF!$B$187:$AZ$187,1,$A45))&lt;=45000,((F45 + 0.5*INDEX(Property_CF!$B$187:$AZ$187,1,$A45))-18200)*0.19, IF((F45 + 0.5*INDEX(Property_CF!$B$187:$AZ$187,1,$A45))&lt;=120000,5092+((F45 + 0.5*INDEX(Property_CF!$B$187:$AZ$187,1,$A45))-45000)*0.325, IF((F45 + 0.5*INDEX(Property_CF!$B$187:$AZ$187,1,$A45))&lt;=180000,29467+((F45 + 0.5*INDEX(Property_CF!$B$187:$AZ$187,1,$A45))-120000)*0.37, 51667+((F45 + 0.5*INDEX(Property_CF!$B$187:$AZ$187,1,$A45))-180000)*0.45)))))+((F45 + 0.5*INDEX(Property_CF!$B$187:$AZ$187,1,$A45)))*0.02</f>
        <v>39218.484306284809</v>
      </c>
      <c r="P45" s="28">
        <f t="array" ref="P45">E45+F45+INDEX(Property_CF!$C$187:$AZ$187,1,$A45)</f>
        <v>286894.6714568584</v>
      </c>
      <c r="Q45" s="28">
        <f>Budget!$P$6</f>
        <v>76477.3</v>
      </c>
      <c r="R45" s="28">
        <f>SUM('Rental Tax &amp; Gearing'!$H$6:$H$8)</f>
        <v>-11228.78761669634</v>
      </c>
      <c r="S45" s="28">
        <f>IF($C45 &lt; Scenarios!$K$7,
    (P45 + R45 - Q45),
    0
)</f>
        <v>0</v>
      </c>
      <c r="T45" s="28">
        <f>IF($C45 &lt; Scenarios!$K$7,
 P45 - Budget!$P$6,
 0)</f>
        <v>0</v>
      </c>
      <c r="U45" s="28">
        <f>U44*(1+Scenarios!$K$8) + IF(C45&lt;Scenarios!$K$7, 'Superannuation (Inputs)'!$N$7, 0)</f>
        <v>17614473.173350614</v>
      </c>
      <c r="V45" s="28">
        <f>V44*(1+Scenarios!$K$11)</f>
        <v>9367808.3938281145</v>
      </c>
      <c r="W45" s="28">
        <f t="shared" si="6"/>
        <v>2133981.9737587995</v>
      </c>
      <c r="X45" s="28">
        <f t="shared" si="0"/>
        <v>29116263.540937524</v>
      </c>
      <c r="Y45" s="28">
        <f>IF(C45&gt;=Scenarios!$K$7, Profile!B48*(1+Scenarios!$K$10)^(C45-Scenarios!$K$7), 0)</f>
        <v>0</v>
      </c>
      <c r="Z45" s="28">
        <f t="shared" si="1"/>
        <v>29116263.540937524</v>
      </c>
    </row>
    <row r="46" spans="1:26">
      <c r="A46" s="4">
        <f t="shared" si="2"/>
        <v>41</v>
      </c>
      <c r="B46" s="4">
        <f t="shared" si="5"/>
        <v>2066</v>
      </c>
      <c r="C46" s="61">
        <f t="shared" si="3"/>
        <v>88</v>
      </c>
      <c r="D46" s="65">
        <f t="shared" si="3"/>
        <v>81</v>
      </c>
      <c r="E46" s="28">
        <f>IF(
 $C46 &lt; Scenarios!$K$7,
 _xlfn.XLOOKUP($B46,'Income Schedule'!$A$5:$A$60,'Income Schedule'!$B$5:$B$60,0),
 IF(
  $C46 = Scenarios!$K$7,
  _xlfn.XLOOKUP($B46,'Income Schedule'!$A$5:$A$60,'Income Schedule'!$B$5:$B$60,0) * (1-Profile!$B$20),
  0
 )
)</f>
        <v>0</v>
      </c>
      <c r="F46" s="28">
        <f>IF(
 $C46 &lt; (Scenarios!$K$15 + (Profile!$B$6-Profile!$B$7)),
 _xlfn.XLOOKUP($B46,'Income Schedule'!$A$5:$A$60,'Income Schedule'!$C$5:$C$60,0),
 IF(
  $C46 = (Scenarios!$K$15 + (Profile!$B$6-Profile!$B$7)),
  _xlfn.XLOOKUP($B46,'Income Schedule'!$A$5:$A$60,'Income Schedule'!$C$5:$C$60,0) * (1-Profile!$B$21),
  0
 )
)</f>
        <v>0</v>
      </c>
      <c r="G46" s="28">
        <f>IF(
 $C46 &lt; Scenarios!$K$7,
 IF('Superannuation (Inputs)'!$I$6="Fixed",
    'Superannuation (Inputs)'!$C$6,
    'Superannuation (Inputs)'!$J$6
 ),
 IF(
  $C46 = Scenarios!$K$7,
  IF('Superannuation (Inputs)'!$I$6="Fixed",
     'Superannuation (Inputs)'!$C$6*(1-Profile!$B$20),
     'Superannuation (Inputs)'!$J$6
  ),
  0
 )
)</f>
        <v>0</v>
      </c>
      <c r="H46" s="28">
        <f>G46 * 'Superannuation (Inputs)'!$H$6</f>
        <v>0</v>
      </c>
      <c r="I46" s="28">
        <f>IF(
 $C46 &lt; (Scenarios!$K$15 + (Profile!$B$6-Profile!$B$7)),
 IF('Superannuation (Inputs)'!$I$7="Fixed",
    'Superannuation (Inputs)'!$C$7,
    'Superannuation (Inputs)'!$J$7
 ),
 IF(
  $C46 = (Scenarios!$K$15 + (Profile!$B$6-Profile!$B$7)),
  IF('Superannuation (Inputs)'!$I$7="Fixed",
     'Superannuation (Inputs)'!$C$7*(1-Profile!$B$21),
     'Superannuation (Inputs)'!$J$7
  ),
  0
 )
)</f>
        <v>0</v>
      </c>
      <c r="J46" s="28">
        <f>I46 * 'Superannuation (Inputs)'!$H$7</f>
        <v>0</v>
      </c>
      <c r="K46" s="28">
        <f>K45*(1+Scenarios!$K$8) + G46-H46</f>
        <v>8361587.3815150922</v>
      </c>
      <c r="L46" s="28">
        <f>L45*(1+Scenarios!$K$8) + H46-I46</f>
        <v>3104501.7863433473</v>
      </c>
      <c r="M46" s="28">
        <f t="shared" si="4"/>
        <v>11466089.16785844</v>
      </c>
      <c r="N46" s="28">
        <f>(IF((E46 + 0.5*INDEX(Property_CF!$B$187:$AZ$187,1,$A46))&lt;=18200,0, IF((E46 + 0.5*INDEX(Property_CF!$B$187:$AZ$187,1,$A46))&lt;=45000,((E46 + 0.5*INDEX(Property_CF!$B$187:$AZ$187,1,$A46))-18200)*0.19, IF((E46 + 0.5*INDEX(Property_CF!$B$187:$AZ$187,1,$A46))&lt;=120000,5092+((E46 + 0.5*INDEX(Property_CF!$B$187:$AZ$187,1,$A46))-45000)*0.325, IF((E46 + 0.5*INDEX(Property_CF!$B$187:$AZ$187,1,$A46))&lt;=180000,29467+((E46 + 0.5*INDEX(Property_CF!$B$187:$AZ$187,1,$A46))-120000)*0.37, 51667+((E46 + 0.5*INDEX(Property_CF!$B$187:$AZ$187,1,$A46))-180000)*0.45)))))+((E46 + 0.5*INDEX(Property_CF!$B$187:$AZ$187,1,$A46)))*0.02</f>
        <v>41011.460934087387</v>
      </c>
      <c r="O46" s="28">
        <f>(IF((F46 + 0.5*INDEX(Property_CF!$B$187:$AZ$187,1,$A46))&lt;=18200,0, IF((F46 + 0.5*INDEX(Property_CF!$B$187:$AZ$187,1,$A46))&lt;=45000,((F46 + 0.5*INDEX(Property_CF!$B$187:$AZ$187,1,$A46))-18200)*0.19, IF((F46 + 0.5*INDEX(Property_CF!$B$187:$AZ$187,1,$A46))&lt;=120000,5092+((F46 + 0.5*INDEX(Property_CF!$B$187:$AZ$187,1,$A46))-45000)*0.325, IF((F46 + 0.5*INDEX(Property_CF!$B$187:$AZ$187,1,$A46))&lt;=180000,29467+((F46 + 0.5*INDEX(Property_CF!$B$187:$AZ$187,1,$A46))-120000)*0.37, 51667+((F46 + 0.5*INDEX(Property_CF!$B$187:$AZ$187,1,$A46))-180000)*0.45)))))+((F46 + 0.5*INDEX(Property_CF!$B$187:$AZ$187,1,$A46)))*0.02</f>
        <v>41011.460934087387</v>
      </c>
      <c r="P46" s="28">
        <f t="array" ref="P46">E46+F46+INDEX(Property_CF!$C$187:$AZ$187,1,$A46)</f>
        <v>291988.39756747766</v>
      </c>
      <c r="Q46" s="28">
        <f>Budget!$P$6</f>
        <v>76477.3</v>
      </c>
      <c r="R46" s="28">
        <f>SUM('Rental Tax &amp; Gearing'!$H$6:$H$8)</f>
        <v>-11228.78761669634</v>
      </c>
      <c r="S46" s="28">
        <f>IF($C46 &lt; Scenarios!$K$7,
    (P46 + R46 - Q46),
    0
)</f>
        <v>0</v>
      </c>
      <c r="T46" s="28">
        <f>IF($C46 &lt; Scenarios!$K$7,
 P46 - Budget!$P$6,
 0)</f>
        <v>0</v>
      </c>
      <c r="U46" s="28">
        <f>U45*(1+Scenarios!$K$8) + IF(C46&lt;Scenarios!$K$7, 'Superannuation (Inputs)'!$N$7, 0)</f>
        <v>18759413.929618403</v>
      </c>
      <c r="V46" s="28">
        <f>V45*(1+Scenarios!$K$11)</f>
        <v>9789359.7715503797</v>
      </c>
      <c r="W46" s="28">
        <f t="shared" si="6"/>
        <v>2198001.4329715637</v>
      </c>
      <c r="X46" s="28">
        <f t="shared" si="0"/>
        <v>30746775.134140346</v>
      </c>
      <c r="Y46" s="28">
        <f>IF(C46&gt;=Scenarios!$K$7, Profile!B49*(1+Scenarios!$K$10)^(C46-Scenarios!$K$7), 0)</f>
        <v>0</v>
      </c>
      <c r="Z46" s="28">
        <f t="shared" si="1"/>
        <v>30746775.134140346</v>
      </c>
    </row>
    <row r="47" spans="1:26">
      <c r="A47" s="4">
        <f t="shared" si="2"/>
        <v>42</v>
      </c>
      <c r="B47" s="4">
        <f t="shared" si="5"/>
        <v>2067</v>
      </c>
      <c r="C47" s="61">
        <f t="shared" si="3"/>
        <v>89</v>
      </c>
      <c r="D47" s="65">
        <f t="shared" si="3"/>
        <v>82</v>
      </c>
      <c r="E47" s="28">
        <f>IF(
 $C47 &lt; Scenarios!$K$7,
 _xlfn.XLOOKUP($B47,'Income Schedule'!$A$5:$A$60,'Income Schedule'!$B$5:$B$60,0),
 IF(
  $C47 = Scenarios!$K$7,
  _xlfn.XLOOKUP($B47,'Income Schedule'!$A$5:$A$60,'Income Schedule'!$B$5:$B$60,0) * (1-Profile!$B$20),
  0
 )
)</f>
        <v>0</v>
      </c>
      <c r="F47" s="28">
        <f>IF(
 $C47 &lt; (Scenarios!$K$15 + (Profile!$B$6-Profile!$B$7)),
 _xlfn.XLOOKUP($B47,'Income Schedule'!$A$5:$A$60,'Income Schedule'!$C$5:$C$60,0),
 IF(
  $C47 = (Scenarios!$K$15 + (Profile!$B$6-Profile!$B$7)),
  _xlfn.XLOOKUP($B47,'Income Schedule'!$A$5:$A$60,'Income Schedule'!$C$5:$C$60,0) * (1-Profile!$B$21),
  0
 )
)</f>
        <v>0</v>
      </c>
      <c r="G47" s="28">
        <f>IF(
 $C47 &lt; Scenarios!$K$7,
 IF('Superannuation (Inputs)'!$I$6="Fixed",
    'Superannuation (Inputs)'!$C$6,
    'Superannuation (Inputs)'!$J$6
 ),
 IF(
  $C47 = Scenarios!$K$7,
  IF('Superannuation (Inputs)'!$I$6="Fixed",
     'Superannuation (Inputs)'!$C$6*(1-Profile!$B$20),
     'Superannuation (Inputs)'!$J$6
  ),
  0
 )
)</f>
        <v>0</v>
      </c>
      <c r="H47" s="28">
        <f>G47 * 'Superannuation (Inputs)'!$H$6</f>
        <v>0</v>
      </c>
      <c r="I47" s="28">
        <f>IF(
 $C47 &lt; (Scenarios!$K$15 + (Profile!$B$6-Profile!$B$7)),
 IF('Superannuation (Inputs)'!$I$7="Fixed",
    'Superannuation (Inputs)'!$C$7,
    'Superannuation (Inputs)'!$J$7
 ),
 IF(
  $C47 = (Scenarios!$K$15 + (Profile!$B$6-Profile!$B$7)),
  IF('Superannuation (Inputs)'!$I$7="Fixed",
     'Superannuation (Inputs)'!$C$7*(1-Profile!$B$21),
     'Superannuation (Inputs)'!$J$7
  ),
  0
 )
)</f>
        <v>0</v>
      </c>
      <c r="J47" s="28">
        <f>I47 * 'Superannuation (Inputs)'!$H$7</f>
        <v>0</v>
      </c>
      <c r="K47" s="28">
        <f>K46*(1+Scenarios!$K$8) + G47-H47</f>
        <v>8905090.5613135733</v>
      </c>
      <c r="L47" s="28">
        <f>L46*(1+Scenarios!$K$8) + H47-I47</f>
        <v>3306294.4024556647</v>
      </c>
      <c r="M47" s="28">
        <f t="shared" si="4"/>
        <v>12211384.963769238</v>
      </c>
      <c r="N47" s="28">
        <f>(IF((E47 + 0.5*INDEX(Property_CF!$B$187:$AZ$187,1,$A47))&lt;=18200,0, IF((E47 + 0.5*INDEX(Property_CF!$B$187:$AZ$187,1,$A47))&lt;=45000,((E47 + 0.5*INDEX(Property_CF!$B$187:$AZ$187,1,$A47))-18200)*0.19, IF((E47 + 0.5*INDEX(Property_CF!$B$187:$AZ$187,1,$A47))&lt;=120000,5092+((E47 + 0.5*INDEX(Property_CF!$B$187:$AZ$187,1,$A47))-45000)*0.325, IF((E47 + 0.5*INDEX(Property_CF!$B$187:$AZ$187,1,$A47))&lt;=180000,29467+((E47 + 0.5*INDEX(Property_CF!$B$187:$AZ$187,1,$A47))-120000)*0.37, 51667+((E47 + 0.5*INDEX(Property_CF!$B$187:$AZ$187,1,$A47))-180000)*0.45)))))+((E47 + 0.5*INDEX(Property_CF!$B$187:$AZ$187,1,$A47)))*0.02</f>
        <v>42004.737525658144</v>
      </c>
      <c r="O47" s="28">
        <f>(IF((F47 + 0.5*INDEX(Property_CF!$B$187:$AZ$187,1,$A47))&lt;=18200,0, IF((F47 + 0.5*INDEX(Property_CF!$B$187:$AZ$187,1,$A47))&lt;=45000,((F47 + 0.5*INDEX(Property_CF!$B$187:$AZ$187,1,$A47))-18200)*0.19, IF((F47 + 0.5*INDEX(Property_CF!$B$187:$AZ$187,1,$A47))&lt;=120000,5092+((F47 + 0.5*INDEX(Property_CF!$B$187:$AZ$187,1,$A47))-45000)*0.325, IF((F47 + 0.5*INDEX(Property_CF!$B$187:$AZ$187,1,$A47))&lt;=180000,29467+((F47 + 0.5*INDEX(Property_CF!$B$187:$AZ$187,1,$A47))-120000)*0.37, 51667+((F47 + 0.5*INDEX(Property_CF!$B$187:$AZ$187,1,$A47))-180000)*0.45)))))+((F47 + 0.5*INDEX(Property_CF!$B$187:$AZ$187,1,$A47)))*0.02</f>
        <v>42004.737525658144</v>
      </c>
      <c r="P47" s="28">
        <f t="array" ref="P47">E47+F47+INDEX(Property_CF!$C$187:$AZ$187,1,$A47)</f>
        <v>306147.8753668383</v>
      </c>
      <c r="Q47" s="28">
        <f>Budget!$P$6</f>
        <v>76477.3</v>
      </c>
      <c r="R47" s="28">
        <f>SUM('Rental Tax &amp; Gearing'!$H$6:$H$8)</f>
        <v>-11228.78761669634</v>
      </c>
      <c r="S47" s="28">
        <f>IF($C47 &lt; Scenarios!$K$7,
    (P47 + R47 - Q47),
    0
)</f>
        <v>0</v>
      </c>
      <c r="T47" s="28">
        <f>IF($C47 &lt; Scenarios!$K$7,
 P47 - Budget!$P$6,
 0)</f>
        <v>0</v>
      </c>
      <c r="U47" s="28">
        <f>U46*(1+Scenarios!$K$8) + IF(C47&lt;Scenarios!$K$7, 'Superannuation (Inputs)'!$N$7, 0)</f>
        <v>19978775.835043598</v>
      </c>
      <c r="V47" s="28">
        <f>V46*(1+Scenarios!$K$11)</f>
        <v>10229880.961270146</v>
      </c>
      <c r="W47" s="28">
        <f t="shared" si="6"/>
        <v>2263941.4759607106</v>
      </c>
      <c r="X47" s="28">
        <f t="shared" si="0"/>
        <v>32472598.272274453</v>
      </c>
      <c r="Y47" s="28">
        <f>IF(C47&gt;=Scenarios!$K$7, Profile!B50*(1+Scenarios!$K$10)^(C47-Scenarios!$K$7), 0)</f>
        <v>0</v>
      </c>
      <c r="Z47" s="28">
        <f t="shared" si="1"/>
        <v>32472598.272274453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8"/>
  <sheetViews>
    <sheetView workbookViewId="0">
      <selection activeCell="E31" sqref="E31"/>
    </sheetView>
  </sheetViews>
  <sheetFormatPr baseColWidth="10" defaultColWidth="8.83203125" defaultRowHeight="15"/>
  <cols>
    <col min="1" max="1" width="38.1640625" style="22" customWidth="1"/>
    <col min="2" max="6" width="10" customWidth="1"/>
    <col min="7" max="7" width="12.1640625" customWidth="1"/>
    <col min="8" max="13" width="10" customWidth="1"/>
    <col min="14" max="14" width="14" customWidth="1"/>
    <col min="15" max="15" width="2" customWidth="1"/>
    <col min="16" max="16" width="22" customWidth="1"/>
  </cols>
  <sheetData>
    <row r="1" spans="1:16" ht="24">
      <c r="A1" s="202" t="s">
        <v>87</v>
      </c>
      <c r="B1" s="203"/>
      <c r="C1" s="203"/>
      <c r="D1" s="203"/>
      <c r="E1" s="203"/>
      <c r="F1" s="203"/>
      <c r="G1" s="203"/>
      <c r="H1" s="203"/>
      <c r="I1" s="203"/>
      <c r="J1" s="203"/>
      <c r="K1" s="203"/>
      <c r="L1" s="203"/>
      <c r="M1" s="203"/>
      <c r="N1" s="203"/>
    </row>
    <row r="3" spans="1:16">
      <c r="A3" s="30" t="s">
        <v>88</v>
      </c>
    </row>
    <row r="5" spans="1:16" ht="18">
      <c r="A5" s="15" t="s">
        <v>89</v>
      </c>
      <c r="B5" s="15" t="s">
        <v>90</v>
      </c>
      <c r="C5" s="15" t="s">
        <v>91</v>
      </c>
      <c r="D5" s="15" t="s">
        <v>92</v>
      </c>
      <c r="E5" s="15" t="s">
        <v>93</v>
      </c>
      <c r="F5" s="15" t="s">
        <v>94</v>
      </c>
      <c r="G5" s="15" t="s">
        <v>95</v>
      </c>
      <c r="H5" s="15" t="s">
        <v>96</v>
      </c>
      <c r="I5" s="15" t="s">
        <v>97</v>
      </c>
      <c r="J5" s="15" t="s">
        <v>98</v>
      </c>
      <c r="K5" s="15" t="s">
        <v>99</v>
      </c>
      <c r="L5" s="15" t="s">
        <v>100</v>
      </c>
      <c r="M5" s="15" t="s">
        <v>101</v>
      </c>
      <c r="N5" s="15" t="s">
        <v>102</v>
      </c>
      <c r="P5" s="6" t="s">
        <v>103</v>
      </c>
    </row>
    <row r="6" spans="1:16" s="27" customFormat="1" ht="19">
      <c r="A6" s="23" t="s">
        <v>104</v>
      </c>
      <c r="B6" s="23">
        <f>B7</f>
        <v>0</v>
      </c>
      <c r="C6" s="23">
        <f t="shared" ref="C6:M6" si="0">C7</f>
        <v>675</v>
      </c>
      <c r="D6" s="23">
        <f t="shared" si="0"/>
        <v>0</v>
      </c>
      <c r="E6" s="23">
        <f t="shared" si="0"/>
        <v>0</v>
      </c>
      <c r="F6" s="23">
        <f t="shared" si="0"/>
        <v>675</v>
      </c>
      <c r="G6" s="23">
        <f t="shared" si="0"/>
        <v>0</v>
      </c>
      <c r="H6" s="23">
        <f t="shared" si="0"/>
        <v>0</v>
      </c>
      <c r="I6" s="23">
        <f t="shared" si="0"/>
        <v>675</v>
      </c>
      <c r="J6" s="23">
        <f t="shared" si="0"/>
        <v>0</v>
      </c>
      <c r="K6" s="23">
        <f t="shared" si="0"/>
        <v>0</v>
      </c>
      <c r="L6" s="23">
        <f t="shared" si="0"/>
        <v>675</v>
      </c>
      <c r="M6" s="23">
        <f t="shared" si="0"/>
        <v>0</v>
      </c>
      <c r="N6" s="23">
        <f>SUM(B6:M6)</f>
        <v>2700</v>
      </c>
      <c r="P6" s="8">
        <f>N78</f>
        <v>76477.3</v>
      </c>
    </row>
    <row r="7" spans="1:16" ht="20.25" customHeight="1">
      <c r="A7" s="21" t="s">
        <v>105</v>
      </c>
      <c r="B7" s="12"/>
      <c r="C7" s="12">
        <v>675</v>
      </c>
      <c r="D7" s="12"/>
      <c r="E7" s="12"/>
      <c r="F7" s="12">
        <v>675</v>
      </c>
      <c r="G7" s="12"/>
      <c r="H7" s="12"/>
      <c r="I7" s="12">
        <v>675</v>
      </c>
      <c r="J7" s="12"/>
      <c r="K7" s="12"/>
      <c r="L7" s="12">
        <v>675</v>
      </c>
      <c r="M7" s="12"/>
      <c r="N7" s="28">
        <f t="array" ref="N7">SUM(B7:M7)</f>
        <v>2700</v>
      </c>
    </row>
    <row r="8" spans="1:16" s="23" customFormat="1">
      <c r="A8" s="23" t="s">
        <v>106</v>
      </c>
      <c r="B8" s="23">
        <f>SUM(B9:B15)</f>
        <v>730</v>
      </c>
      <c r="C8" s="23">
        <f t="shared" ref="C8:M8" si="1">SUM(C9:C15)</f>
        <v>130</v>
      </c>
      <c r="D8" s="23">
        <f t="shared" si="1"/>
        <v>490</v>
      </c>
      <c r="E8" s="23">
        <f t="shared" si="1"/>
        <v>780</v>
      </c>
      <c r="F8" s="23">
        <f t="shared" si="1"/>
        <v>130</v>
      </c>
      <c r="G8" s="23">
        <f t="shared" si="1"/>
        <v>328</v>
      </c>
      <c r="H8" s="23">
        <f t="shared" si="1"/>
        <v>1130</v>
      </c>
      <c r="I8" s="23">
        <f t="shared" si="1"/>
        <v>130</v>
      </c>
      <c r="J8" s="23">
        <f t="shared" si="1"/>
        <v>130</v>
      </c>
      <c r="K8" s="23">
        <f t="shared" si="1"/>
        <v>1680</v>
      </c>
      <c r="L8" s="23">
        <f t="shared" si="1"/>
        <v>490</v>
      </c>
      <c r="M8" s="23">
        <f t="shared" si="1"/>
        <v>130</v>
      </c>
      <c r="N8" s="23">
        <f>SUM(B8:M8)</f>
        <v>6278</v>
      </c>
    </row>
    <row r="9" spans="1:16" ht="20.25" customHeight="1">
      <c r="A9" s="21" t="s">
        <v>107</v>
      </c>
      <c r="B9" s="12">
        <v>350</v>
      </c>
      <c r="C9" s="12"/>
      <c r="D9" s="12"/>
      <c r="E9" s="12">
        <v>300</v>
      </c>
      <c r="F9" s="12"/>
      <c r="G9" s="12"/>
      <c r="H9" s="12">
        <v>350</v>
      </c>
      <c r="I9" s="12"/>
      <c r="J9" s="12"/>
      <c r="K9" s="12">
        <v>350</v>
      </c>
      <c r="L9" s="12"/>
      <c r="M9" s="12"/>
      <c r="N9" s="28">
        <f t="array" ref="N9">SUM(B9:M9)</f>
        <v>1350</v>
      </c>
    </row>
    <row r="10" spans="1:16" ht="20.25" customHeight="1">
      <c r="A10" s="21" t="s">
        <v>108</v>
      </c>
      <c r="B10" s="12">
        <v>250</v>
      </c>
      <c r="C10" s="12"/>
      <c r="D10" s="12"/>
      <c r="E10" s="12">
        <v>350</v>
      </c>
      <c r="F10" s="12"/>
      <c r="G10" s="12"/>
      <c r="H10" s="12">
        <v>650</v>
      </c>
      <c r="I10" s="12"/>
      <c r="J10" s="12"/>
      <c r="K10" s="12">
        <v>1200</v>
      </c>
      <c r="L10" s="12"/>
      <c r="M10" s="12"/>
      <c r="N10" s="28">
        <f t="array" ref="N10">SUM(B10:M10)</f>
        <v>2450</v>
      </c>
    </row>
    <row r="11" spans="1:16" ht="20.25" customHeight="1">
      <c r="A11" s="21" t="s">
        <v>109</v>
      </c>
      <c r="B11" s="12">
        <v>95</v>
      </c>
      <c r="C11" s="12">
        <f>B11</f>
        <v>95</v>
      </c>
      <c r="D11" s="12">
        <f t="shared" ref="D11:M11" si="2">C11</f>
        <v>95</v>
      </c>
      <c r="E11" s="12">
        <f t="shared" si="2"/>
        <v>95</v>
      </c>
      <c r="F11" s="12">
        <f t="shared" si="2"/>
        <v>95</v>
      </c>
      <c r="G11" s="12">
        <f t="shared" si="2"/>
        <v>95</v>
      </c>
      <c r="H11" s="12">
        <f t="shared" si="2"/>
        <v>95</v>
      </c>
      <c r="I11" s="12">
        <f t="shared" si="2"/>
        <v>95</v>
      </c>
      <c r="J11" s="12">
        <f t="shared" si="2"/>
        <v>95</v>
      </c>
      <c r="K11" s="12">
        <f t="shared" si="2"/>
        <v>95</v>
      </c>
      <c r="L11" s="12">
        <f t="shared" si="2"/>
        <v>95</v>
      </c>
      <c r="M11" s="12">
        <f t="shared" si="2"/>
        <v>95</v>
      </c>
      <c r="N11" s="28">
        <f t="array" ref="N11">SUM(B11:M11)</f>
        <v>1140</v>
      </c>
    </row>
    <row r="12" spans="1:16" ht="20.25" customHeight="1">
      <c r="A12" s="21" t="s">
        <v>110</v>
      </c>
      <c r="B12" s="12">
        <v>35</v>
      </c>
      <c r="C12" s="12">
        <f>B12</f>
        <v>35</v>
      </c>
      <c r="D12" s="12">
        <f t="shared" ref="D12:M12" si="3">C12</f>
        <v>35</v>
      </c>
      <c r="E12" s="12">
        <f t="shared" si="3"/>
        <v>35</v>
      </c>
      <c r="F12" s="12">
        <f t="shared" si="3"/>
        <v>35</v>
      </c>
      <c r="G12" s="12">
        <f t="shared" si="3"/>
        <v>35</v>
      </c>
      <c r="H12" s="12">
        <f t="shared" si="3"/>
        <v>35</v>
      </c>
      <c r="I12" s="12">
        <f t="shared" si="3"/>
        <v>35</v>
      </c>
      <c r="J12" s="12">
        <f t="shared" si="3"/>
        <v>35</v>
      </c>
      <c r="K12" s="12">
        <f t="shared" si="3"/>
        <v>35</v>
      </c>
      <c r="L12" s="12">
        <f t="shared" si="3"/>
        <v>35</v>
      </c>
      <c r="M12" s="12">
        <f t="shared" si="3"/>
        <v>35</v>
      </c>
      <c r="N12" s="28">
        <f t="array" ref="N12">SUM(B12:M12)</f>
        <v>420</v>
      </c>
    </row>
    <row r="13" spans="1:16">
      <c r="A13" s="21" t="s">
        <v>111</v>
      </c>
      <c r="B13" s="12"/>
      <c r="C13" s="12"/>
      <c r="D13" s="12">
        <v>360</v>
      </c>
      <c r="E13" s="12"/>
      <c r="F13" s="12"/>
      <c r="G13" s="12"/>
      <c r="H13" s="12"/>
      <c r="I13" s="12"/>
      <c r="J13" s="12"/>
      <c r="K13" s="12"/>
      <c r="L13" s="12">
        <v>360</v>
      </c>
      <c r="M13" s="12"/>
      <c r="N13" s="28">
        <f t="array" ref="N13">SUM(B13:M13)</f>
        <v>720</v>
      </c>
    </row>
    <row r="14" spans="1:16">
      <c r="A14" s="21" t="s">
        <v>112</v>
      </c>
      <c r="B14" s="12"/>
      <c r="C14" s="12"/>
      <c r="D14" s="12"/>
      <c r="E14" s="12"/>
      <c r="F14" s="12"/>
      <c r="G14" s="12">
        <v>99</v>
      </c>
      <c r="H14" s="12"/>
      <c r="I14" s="12"/>
      <c r="J14" s="12"/>
      <c r="K14" s="12"/>
      <c r="L14" s="12"/>
      <c r="M14" s="12"/>
      <c r="N14" s="28">
        <f t="array" ref="N14">SUM(B14:M14)</f>
        <v>99</v>
      </c>
    </row>
    <row r="15" spans="1:16">
      <c r="A15" s="21" t="s">
        <v>113</v>
      </c>
      <c r="B15" s="12"/>
      <c r="C15" s="12"/>
      <c r="D15" s="12"/>
      <c r="E15" s="12"/>
      <c r="F15" s="12"/>
      <c r="G15" s="12">
        <v>99</v>
      </c>
      <c r="H15" s="12"/>
      <c r="I15" s="12"/>
      <c r="J15" s="12"/>
      <c r="K15" s="12"/>
      <c r="L15" s="12"/>
      <c r="M15" s="12"/>
      <c r="N15" s="28">
        <f t="array" ref="N15">SUM(B15:M15)</f>
        <v>99</v>
      </c>
    </row>
    <row r="16" spans="1:16" s="23" customFormat="1">
      <c r="A16" s="23" t="s">
        <v>114</v>
      </c>
      <c r="B16" s="23">
        <f>SUM(B17)</f>
        <v>2500</v>
      </c>
      <c r="C16" s="23">
        <f t="shared" ref="C16:M16" si="4">SUM(C17)</f>
        <v>2500</v>
      </c>
      <c r="D16" s="23">
        <f t="shared" si="4"/>
        <v>2500</v>
      </c>
      <c r="E16" s="23">
        <f t="shared" si="4"/>
        <v>2500</v>
      </c>
      <c r="F16" s="23">
        <f t="shared" si="4"/>
        <v>2500</v>
      </c>
      <c r="G16" s="23">
        <f t="shared" si="4"/>
        <v>2500</v>
      </c>
      <c r="H16" s="23">
        <f t="shared" si="4"/>
        <v>2500</v>
      </c>
      <c r="I16" s="23">
        <f t="shared" si="4"/>
        <v>2500</v>
      </c>
      <c r="J16" s="23">
        <f t="shared" si="4"/>
        <v>2500</v>
      </c>
      <c r="K16" s="23">
        <f t="shared" si="4"/>
        <v>2500</v>
      </c>
      <c r="L16" s="23">
        <f t="shared" si="4"/>
        <v>2500</v>
      </c>
      <c r="M16" s="23">
        <f t="shared" si="4"/>
        <v>2500</v>
      </c>
      <c r="N16" s="23">
        <f>SUM(B16:M16)</f>
        <v>30000</v>
      </c>
    </row>
    <row r="17" spans="1:14" ht="20.25" customHeight="1">
      <c r="A17" s="21" t="s">
        <v>115</v>
      </c>
      <c r="B17" s="12">
        <v>2500</v>
      </c>
      <c r="C17" s="12">
        <v>2500</v>
      </c>
      <c r="D17" s="12">
        <v>2500</v>
      </c>
      <c r="E17" s="12">
        <v>2500</v>
      </c>
      <c r="F17" s="12">
        <v>2500</v>
      </c>
      <c r="G17" s="12">
        <v>2500</v>
      </c>
      <c r="H17" s="12">
        <v>2500</v>
      </c>
      <c r="I17" s="12">
        <v>2500</v>
      </c>
      <c r="J17" s="12">
        <v>2500</v>
      </c>
      <c r="K17" s="12">
        <v>2500</v>
      </c>
      <c r="L17" s="12">
        <v>2500</v>
      </c>
      <c r="M17" s="12">
        <v>2500</v>
      </c>
      <c r="N17" s="28">
        <f t="array" ref="N17">SUM(B17:M17)</f>
        <v>30000</v>
      </c>
    </row>
    <row r="18" spans="1:14" s="23" customFormat="1">
      <c r="A18" s="23" t="s">
        <v>116</v>
      </c>
      <c r="B18" s="23">
        <f>SUM(B19:B22)</f>
        <v>240</v>
      </c>
      <c r="C18" s="23">
        <f t="shared" ref="C18:M18" si="5">SUM(C19:C22)</f>
        <v>240</v>
      </c>
      <c r="D18" s="23">
        <f t="shared" si="5"/>
        <v>2165</v>
      </c>
      <c r="E18" s="23">
        <f t="shared" si="5"/>
        <v>240</v>
      </c>
      <c r="F18" s="23">
        <f t="shared" si="5"/>
        <v>240</v>
      </c>
      <c r="G18" s="23">
        <f t="shared" si="5"/>
        <v>240</v>
      </c>
      <c r="H18" s="23">
        <f t="shared" si="5"/>
        <v>240</v>
      </c>
      <c r="I18" s="23">
        <f t="shared" si="5"/>
        <v>240</v>
      </c>
      <c r="J18" s="23">
        <f t="shared" si="5"/>
        <v>240</v>
      </c>
      <c r="K18" s="23">
        <f t="shared" si="5"/>
        <v>240</v>
      </c>
      <c r="L18" s="23">
        <f t="shared" si="5"/>
        <v>240</v>
      </c>
      <c r="M18" s="23">
        <f t="shared" si="5"/>
        <v>240</v>
      </c>
      <c r="N18" s="23">
        <f t="shared" ref="N18:N74" si="6">SUM(B18:M18)</f>
        <v>4805</v>
      </c>
    </row>
    <row r="19" spans="1:14" ht="20.25" customHeight="1">
      <c r="A19" s="21" t="s">
        <v>117</v>
      </c>
      <c r="B19" s="12">
        <v>160</v>
      </c>
      <c r="C19" s="12">
        <v>160</v>
      </c>
      <c r="D19" s="12">
        <v>160</v>
      </c>
      <c r="E19" s="12">
        <v>160</v>
      </c>
      <c r="F19" s="12">
        <v>160</v>
      </c>
      <c r="G19" s="12">
        <v>160</v>
      </c>
      <c r="H19" s="12">
        <v>160</v>
      </c>
      <c r="I19" s="12">
        <v>160</v>
      </c>
      <c r="J19" s="12">
        <v>160</v>
      </c>
      <c r="K19" s="12">
        <v>160</v>
      </c>
      <c r="L19" s="12">
        <v>160</v>
      </c>
      <c r="M19" s="12">
        <v>160</v>
      </c>
      <c r="N19" s="28">
        <f t="array" ref="N19">SUM(B19:M19)</f>
        <v>1920</v>
      </c>
    </row>
    <row r="20" spans="1:14" ht="20.25" customHeight="1">
      <c r="A20" s="21" t="s">
        <v>118</v>
      </c>
      <c r="B20" s="12"/>
      <c r="C20" s="12"/>
      <c r="D20" s="12">
        <v>125</v>
      </c>
      <c r="E20" s="12"/>
      <c r="F20" s="12"/>
      <c r="G20" s="12"/>
      <c r="H20" s="12"/>
      <c r="I20" s="12"/>
      <c r="J20" s="12"/>
      <c r="K20" s="12"/>
      <c r="L20" s="12"/>
      <c r="M20" s="12"/>
      <c r="N20" s="28">
        <f t="array" ref="N20">SUM(B20:M20)</f>
        <v>125</v>
      </c>
    </row>
    <row r="21" spans="1:14" ht="20.25" customHeight="1">
      <c r="A21" s="21" t="s">
        <v>119</v>
      </c>
      <c r="B21" s="12"/>
      <c r="C21" s="12"/>
      <c r="D21" s="12">
        <v>1800</v>
      </c>
      <c r="E21" s="12"/>
      <c r="F21" s="12"/>
      <c r="G21" s="12"/>
      <c r="H21" s="12"/>
      <c r="I21" s="12"/>
      <c r="J21" s="12"/>
      <c r="K21" s="12"/>
      <c r="L21" s="12"/>
      <c r="M21" s="12"/>
      <c r="N21" s="28">
        <f t="array" ref="N21">SUM(B21:M21)</f>
        <v>1800</v>
      </c>
    </row>
    <row r="22" spans="1:14" ht="20.25" customHeight="1">
      <c r="A22" s="21" t="s">
        <v>120</v>
      </c>
      <c r="B22" s="12">
        <v>80</v>
      </c>
      <c r="C22" s="12">
        <f>B22</f>
        <v>80</v>
      </c>
      <c r="D22" s="12">
        <f t="shared" ref="D22:M22" si="7">C22</f>
        <v>80</v>
      </c>
      <c r="E22" s="12">
        <f t="shared" si="7"/>
        <v>80</v>
      </c>
      <c r="F22" s="12">
        <f t="shared" si="7"/>
        <v>80</v>
      </c>
      <c r="G22" s="12">
        <f t="shared" si="7"/>
        <v>80</v>
      </c>
      <c r="H22" s="12">
        <f t="shared" si="7"/>
        <v>80</v>
      </c>
      <c r="I22" s="12">
        <f t="shared" si="7"/>
        <v>80</v>
      </c>
      <c r="J22" s="12">
        <f t="shared" si="7"/>
        <v>80</v>
      </c>
      <c r="K22" s="12">
        <f t="shared" si="7"/>
        <v>80</v>
      </c>
      <c r="L22" s="12">
        <f t="shared" si="7"/>
        <v>80</v>
      </c>
      <c r="M22" s="12">
        <f t="shared" si="7"/>
        <v>80</v>
      </c>
      <c r="N22" s="28">
        <f t="array" ref="N22">SUM(B22:M22)</f>
        <v>960</v>
      </c>
    </row>
    <row r="23" spans="1:14" s="23" customFormat="1">
      <c r="A23" s="23" t="s">
        <v>121</v>
      </c>
      <c r="B23" s="23">
        <f t="shared" ref="B23:M23" si="8">SUM(B24:B29)</f>
        <v>119.99</v>
      </c>
      <c r="C23" s="23">
        <f t="shared" si="8"/>
        <v>0</v>
      </c>
      <c r="D23" s="23">
        <f t="shared" si="8"/>
        <v>0</v>
      </c>
      <c r="E23" s="23">
        <f t="shared" si="8"/>
        <v>1610</v>
      </c>
      <c r="F23" s="23">
        <f t="shared" si="8"/>
        <v>0</v>
      </c>
      <c r="G23" s="23">
        <f t="shared" si="8"/>
        <v>204.5</v>
      </c>
      <c r="H23" s="23">
        <f t="shared" si="8"/>
        <v>2800</v>
      </c>
      <c r="I23" s="23">
        <f t="shared" si="8"/>
        <v>3750</v>
      </c>
      <c r="J23" s="23">
        <f t="shared" si="8"/>
        <v>0</v>
      </c>
      <c r="K23" s="23">
        <f t="shared" si="8"/>
        <v>0</v>
      </c>
      <c r="L23" s="23">
        <f t="shared" si="8"/>
        <v>0</v>
      </c>
      <c r="M23" s="23">
        <f t="shared" si="8"/>
        <v>0</v>
      </c>
      <c r="N23" s="23">
        <f>SUM(B23:M23)</f>
        <v>8484.49</v>
      </c>
    </row>
    <row r="24" spans="1:14" ht="20.25" customHeight="1">
      <c r="A24" s="21" t="s">
        <v>122</v>
      </c>
      <c r="B24" s="12">
        <v>119.99</v>
      </c>
      <c r="C24" s="12"/>
      <c r="D24" s="12"/>
      <c r="E24" s="12"/>
      <c r="F24" s="12"/>
      <c r="G24" s="12"/>
      <c r="H24" s="12"/>
      <c r="I24" s="12"/>
      <c r="J24" s="12"/>
      <c r="K24" s="12"/>
      <c r="L24" s="12"/>
      <c r="M24" s="12"/>
      <c r="N24" s="28">
        <f t="array" ref="N24">SUM(B24:M24)</f>
        <v>119.99</v>
      </c>
    </row>
    <row r="25" spans="1:14" ht="20.25" customHeight="1">
      <c r="A25" s="21" t="s">
        <v>123</v>
      </c>
      <c r="B25" s="12"/>
      <c r="C25" s="12"/>
      <c r="D25" s="12"/>
      <c r="E25" s="12"/>
      <c r="F25" s="12"/>
      <c r="G25" s="12">
        <f>409/2</f>
        <v>204.5</v>
      </c>
      <c r="H25" s="12"/>
      <c r="I25" s="12"/>
      <c r="J25" s="12"/>
      <c r="K25" s="12"/>
      <c r="L25" s="12"/>
      <c r="M25" s="12"/>
      <c r="N25" s="28">
        <f t="array" ref="N25">SUM(B25:M25)</f>
        <v>204.5</v>
      </c>
    </row>
    <row r="26" spans="1:14" ht="20.25" customHeight="1">
      <c r="A26" s="21" t="s">
        <v>124</v>
      </c>
      <c r="B26" s="12"/>
      <c r="C26" s="12"/>
      <c r="D26" s="12"/>
      <c r="E26" s="12"/>
      <c r="F26" s="12"/>
      <c r="G26" s="12"/>
      <c r="H26" s="12"/>
      <c r="I26" s="12">
        <v>3750</v>
      </c>
      <c r="J26" s="12"/>
      <c r="K26" s="12"/>
      <c r="L26" s="12"/>
      <c r="M26" s="12"/>
      <c r="N26" s="28">
        <f t="array" ref="N26">SUM(B26:M26)</f>
        <v>3750</v>
      </c>
    </row>
    <row r="27" spans="1:14" ht="20.25" customHeight="1">
      <c r="A27" s="21" t="s">
        <v>125</v>
      </c>
      <c r="B27" s="12"/>
      <c r="C27" s="12"/>
      <c r="D27" s="12"/>
      <c r="E27" s="12"/>
      <c r="F27" s="12"/>
      <c r="G27" s="12"/>
      <c r="H27" s="12">
        <v>2800</v>
      </c>
      <c r="I27" s="12"/>
      <c r="J27" s="12"/>
      <c r="K27" s="12"/>
      <c r="L27" s="12"/>
      <c r="M27" s="12"/>
      <c r="N27" s="28">
        <f t="array" ref="N27">SUM(B27:M27)</f>
        <v>2800</v>
      </c>
    </row>
    <row r="28" spans="1:14" ht="20.25" customHeight="1">
      <c r="A28" s="21" t="s">
        <v>126</v>
      </c>
      <c r="B28" s="12"/>
      <c r="C28" s="12"/>
      <c r="D28" s="12"/>
      <c r="E28" s="12">
        <v>660</v>
      </c>
      <c r="F28" s="12"/>
      <c r="G28" s="12"/>
      <c r="H28" s="12"/>
      <c r="I28" s="12"/>
      <c r="J28" s="12"/>
      <c r="K28" s="12"/>
      <c r="L28" s="12"/>
      <c r="M28" s="12"/>
      <c r="N28" s="28">
        <f t="array" ref="N28">SUM(B28:M28)</f>
        <v>660</v>
      </c>
    </row>
    <row r="29" spans="1:14" ht="20.25" customHeight="1">
      <c r="A29" s="21" t="s">
        <v>127</v>
      </c>
      <c r="B29" s="12"/>
      <c r="C29" s="12"/>
      <c r="D29" s="12"/>
      <c r="E29" s="12">
        <v>950</v>
      </c>
      <c r="F29" s="12"/>
      <c r="G29" s="12"/>
      <c r="H29" s="12"/>
      <c r="I29" s="12"/>
      <c r="J29" s="12"/>
      <c r="K29" s="12"/>
      <c r="L29" s="12"/>
      <c r="M29" s="12"/>
      <c r="N29" s="28">
        <f t="array" ref="N29">SUM(B29:M29)</f>
        <v>950</v>
      </c>
    </row>
    <row r="30" spans="1:14" s="23" customFormat="1">
      <c r="A30" s="23" t="s">
        <v>128</v>
      </c>
      <c r="B30" s="23">
        <f>SUM(B31:B47)</f>
        <v>891.84</v>
      </c>
      <c r="C30" s="23">
        <f>SUM(C31:C47)</f>
        <v>355</v>
      </c>
      <c r="D30" s="23">
        <f>SUM(D31:D47)</f>
        <v>360</v>
      </c>
      <c r="E30" s="23">
        <f>SUM(E31:E47)</f>
        <v>300</v>
      </c>
      <c r="F30" s="23">
        <f t="shared" ref="F30:M30" si="9">SUM(F31:F47)</f>
        <v>355</v>
      </c>
      <c r="G30" s="23">
        <f t="shared" si="9"/>
        <v>360</v>
      </c>
      <c r="H30" s="23">
        <f t="shared" si="9"/>
        <v>300</v>
      </c>
      <c r="I30" s="23">
        <f t="shared" si="9"/>
        <v>595</v>
      </c>
      <c r="J30" s="23">
        <f t="shared" si="9"/>
        <v>1700</v>
      </c>
      <c r="K30" s="23">
        <f t="shared" si="9"/>
        <v>621.83999999999992</v>
      </c>
      <c r="L30" s="23">
        <f t="shared" si="9"/>
        <v>355</v>
      </c>
      <c r="M30" s="23">
        <f t="shared" si="9"/>
        <v>1087.56</v>
      </c>
      <c r="N30" s="23">
        <f>SUM(B30:M30)</f>
        <v>7281.24</v>
      </c>
    </row>
    <row r="31" spans="1:14" ht="20.25" customHeight="1">
      <c r="A31" s="21" t="s">
        <v>129</v>
      </c>
      <c r="B31" s="12"/>
      <c r="C31" s="12"/>
      <c r="D31" s="12"/>
      <c r="E31" s="12"/>
      <c r="F31" s="12"/>
      <c r="G31" s="12"/>
      <c r="H31" s="12"/>
      <c r="I31" s="12"/>
      <c r="J31" s="12"/>
      <c r="K31" s="12"/>
      <c r="L31" s="12"/>
      <c r="M31" s="12">
        <v>300</v>
      </c>
      <c r="N31" s="28">
        <f>SUM(B31:M31)</f>
        <v>300</v>
      </c>
    </row>
    <row r="32" spans="1:14" ht="20.25" customHeight="1">
      <c r="A32" s="21" t="s">
        <v>130</v>
      </c>
      <c r="B32" s="12"/>
      <c r="C32" s="12"/>
      <c r="D32" s="12">
        <v>360</v>
      </c>
      <c r="E32" s="12"/>
      <c r="F32" s="12"/>
      <c r="G32" s="12">
        <v>360</v>
      </c>
      <c r="H32" s="12"/>
      <c r="I32" s="12"/>
      <c r="J32" s="12">
        <v>360</v>
      </c>
      <c r="K32" s="12"/>
      <c r="L32" s="12"/>
      <c r="M32" s="12">
        <v>360</v>
      </c>
      <c r="N32" s="28">
        <f t="shared" ref="N32:N47" si="10">SUM(B32:M32)</f>
        <v>1440</v>
      </c>
    </row>
    <row r="33" spans="1:14" s="23" customFormat="1">
      <c r="A33" s="31" t="s">
        <v>131</v>
      </c>
      <c r="N33" s="28">
        <f t="shared" si="10"/>
        <v>0</v>
      </c>
    </row>
    <row r="34" spans="1:14" ht="20.25" customHeight="1">
      <c r="A34" s="21" t="s">
        <v>132</v>
      </c>
      <c r="B34" s="12">
        <v>246.84</v>
      </c>
      <c r="C34" s="12"/>
      <c r="D34" s="12"/>
      <c r="E34" s="12"/>
      <c r="F34" s="12"/>
      <c r="G34" s="12"/>
      <c r="H34" s="12"/>
      <c r="I34" s="12"/>
      <c r="J34" s="12"/>
      <c r="K34" s="12"/>
      <c r="L34" s="12"/>
      <c r="M34" s="12"/>
      <c r="N34" s="28">
        <f t="shared" si="10"/>
        <v>246.84</v>
      </c>
    </row>
    <row r="35" spans="1:14" ht="20.25" customHeight="1">
      <c r="A35" s="21" t="s">
        <v>133</v>
      </c>
      <c r="B35" s="12"/>
      <c r="C35" s="12"/>
      <c r="D35" s="12"/>
      <c r="E35" s="12"/>
      <c r="F35" s="12"/>
      <c r="G35" s="12"/>
      <c r="H35" s="12"/>
      <c r="I35" s="12"/>
      <c r="J35" s="12"/>
      <c r="K35" s="12"/>
      <c r="L35" s="12"/>
      <c r="M35" s="12">
        <v>427.56</v>
      </c>
      <c r="N35" s="28">
        <f t="shared" si="10"/>
        <v>427.56</v>
      </c>
    </row>
    <row r="36" spans="1:14" ht="20.25" customHeight="1">
      <c r="A36" s="21" t="s">
        <v>134</v>
      </c>
      <c r="B36" s="12"/>
      <c r="C36" s="12"/>
      <c r="D36" s="12"/>
      <c r="E36" s="12"/>
      <c r="F36" s="12"/>
      <c r="G36" s="12"/>
      <c r="H36" s="12"/>
      <c r="I36" s="12"/>
      <c r="J36" s="12"/>
      <c r="K36" s="12">
        <v>321.83999999999997</v>
      </c>
      <c r="L36" s="12"/>
      <c r="M36" s="12"/>
      <c r="N36" s="28">
        <f t="shared" si="10"/>
        <v>321.83999999999997</v>
      </c>
    </row>
    <row r="37" spans="1:14" ht="20.25" customHeight="1">
      <c r="A37" s="21" t="s">
        <v>135</v>
      </c>
      <c r="B37" s="12"/>
      <c r="C37" s="12"/>
      <c r="D37" s="12"/>
      <c r="E37" s="12"/>
      <c r="F37" s="12"/>
      <c r="G37" s="12"/>
      <c r="H37" s="12"/>
      <c r="I37" s="12">
        <v>160</v>
      </c>
      <c r="J37" s="12"/>
      <c r="K37" s="12"/>
      <c r="L37" s="12"/>
      <c r="M37" s="12"/>
      <c r="N37" s="28">
        <f t="shared" si="10"/>
        <v>160</v>
      </c>
    </row>
    <row r="38" spans="1:14" ht="20.25" customHeight="1">
      <c r="A38" s="21" t="s">
        <v>136</v>
      </c>
      <c r="B38" s="12"/>
      <c r="C38" s="12"/>
      <c r="D38" s="12"/>
      <c r="E38" s="12"/>
      <c r="F38" s="12"/>
      <c r="G38" s="12"/>
      <c r="H38" s="12"/>
      <c r="I38" s="12">
        <v>80</v>
      </c>
      <c r="J38" s="12"/>
      <c r="K38" s="12"/>
      <c r="L38" s="12"/>
      <c r="M38" s="12"/>
      <c r="N38" s="28">
        <f t="shared" si="10"/>
        <v>80</v>
      </c>
    </row>
    <row r="39" spans="1:14" ht="20.25" customHeight="1">
      <c r="A39" s="21" t="s">
        <v>137</v>
      </c>
      <c r="B39" s="12"/>
      <c r="C39" s="12">
        <v>355</v>
      </c>
      <c r="D39" s="12"/>
      <c r="E39" s="12"/>
      <c r="F39" s="12">
        <v>355</v>
      </c>
      <c r="G39" s="12"/>
      <c r="H39" s="12"/>
      <c r="I39" s="12">
        <v>355</v>
      </c>
      <c r="J39" s="12"/>
      <c r="K39" s="12"/>
      <c r="L39" s="12">
        <v>355</v>
      </c>
      <c r="M39" s="12"/>
      <c r="N39" s="28">
        <f t="shared" si="10"/>
        <v>1420</v>
      </c>
    </row>
    <row r="40" spans="1:14" ht="20.25" customHeight="1">
      <c r="A40" s="21" t="s">
        <v>138</v>
      </c>
      <c r="B40" s="12">
        <v>300</v>
      </c>
      <c r="C40" s="12"/>
      <c r="D40" s="12"/>
      <c r="E40" s="12">
        <v>300</v>
      </c>
      <c r="F40" s="12"/>
      <c r="G40" s="12"/>
      <c r="H40" s="12">
        <v>300</v>
      </c>
      <c r="I40" s="12"/>
      <c r="J40" s="12"/>
      <c r="K40" s="12">
        <v>300</v>
      </c>
      <c r="L40" s="12"/>
      <c r="M40" s="12"/>
      <c r="N40" s="28">
        <f t="shared" si="10"/>
        <v>1200</v>
      </c>
    </row>
    <row r="41" spans="1:14" s="23" customFormat="1">
      <c r="A41" s="31" t="s">
        <v>139</v>
      </c>
      <c r="N41" s="28">
        <f t="shared" si="10"/>
        <v>0</v>
      </c>
    </row>
    <row r="42" spans="1:14" ht="20.25" customHeight="1">
      <c r="A42" s="21" t="s">
        <v>140</v>
      </c>
      <c r="B42" s="12">
        <v>295</v>
      </c>
      <c r="C42" s="12"/>
      <c r="D42" s="12"/>
      <c r="E42" s="12"/>
      <c r="F42" s="12"/>
      <c r="G42" s="12"/>
      <c r="H42" s="12"/>
      <c r="I42" s="12"/>
      <c r="J42" s="12"/>
      <c r="K42" s="12"/>
      <c r="L42" s="12"/>
      <c r="M42" s="12"/>
      <c r="N42" s="28">
        <f t="shared" si="10"/>
        <v>295</v>
      </c>
    </row>
    <row r="43" spans="1:14" ht="20.25" customHeight="1">
      <c r="A43" s="21" t="s">
        <v>141</v>
      </c>
      <c r="B43" s="12">
        <v>50</v>
      </c>
      <c r="C43" s="12"/>
      <c r="D43" s="12"/>
      <c r="E43" s="12"/>
      <c r="F43" s="12"/>
      <c r="G43" s="12"/>
      <c r="H43" s="12"/>
      <c r="I43" s="12"/>
      <c r="J43" s="12"/>
      <c r="K43" s="12"/>
      <c r="L43" s="12"/>
      <c r="M43" s="12"/>
      <c r="N43" s="28">
        <f t="shared" si="10"/>
        <v>50</v>
      </c>
    </row>
    <row r="44" spans="1:14" ht="20.25" customHeight="1">
      <c r="A44" s="21" t="s">
        <v>142</v>
      </c>
      <c r="B44" s="12"/>
      <c r="C44" s="12"/>
      <c r="D44" s="12"/>
      <c r="E44" s="12"/>
      <c r="F44" s="12"/>
      <c r="G44" s="12"/>
      <c r="H44" s="12"/>
      <c r="I44" s="12"/>
      <c r="J44" s="12">
        <v>435</v>
      </c>
      <c r="K44" s="12"/>
      <c r="L44" s="12"/>
      <c r="M44" s="12"/>
      <c r="N44" s="28">
        <f t="shared" si="10"/>
        <v>435</v>
      </c>
    </row>
    <row r="45" spans="1:14" ht="20.25" customHeight="1">
      <c r="A45" s="21" t="s">
        <v>143</v>
      </c>
      <c r="B45" s="12"/>
      <c r="C45" s="12"/>
      <c r="D45" s="12"/>
      <c r="E45" s="12"/>
      <c r="F45" s="12"/>
      <c r="G45" s="12"/>
      <c r="H45" s="12"/>
      <c r="I45" s="12"/>
      <c r="J45" s="12">
        <v>435</v>
      </c>
      <c r="K45" s="12"/>
      <c r="L45" s="12"/>
      <c r="M45" s="12"/>
      <c r="N45" s="28">
        <f t="shared" si="10"/>
        <v>435</v>
      </c>
    </row>
    <row r="46" spans="1:14" ht="20.25" customHeight="1">
      <c r="A46" s="21" t="s">
        <v>144</v>
      </c>
      <c r="B46" s="12"/>
      <c r="C46" s="12"/>
      <c r="D46" s="12"/>
      <c r="E46" s="12"/>
      <c r="F46" s="12"/>
      <c r="G46" s="12"/>
      <c r="H46" s="12"/>
      <c r="I46" s="12"/>
      <c r="J46" s="12">
        <v>235</v>
      </c>
      <c r="K46" s="12"/>
      <c r="L46" s="12"/>
      <c r="M46" s="12"/>
      <c r="N46" s="28">
        <f t="shared" si="10"/>
        <v>235</v>
      </c>
    </row>
    <row r="47" spans="1:14" ht="20.25" customHeight="1">
      <c r="A47" s="21" t="s">
        <v>145</v>
      </c>
      <c r="B47" s="12"/>
      <c r="C47" s="12"/>
      <c r="D47" s="12"/>
      <c r="E47" s="12"/>
      <c r="F47" s="12"/>
      <c r="G47" s="12"/>
      <c r="H47" s="12"/>
      <c r="I47" s="12"/>
      <c r="J47" s="12">
        <v>235</v>
      </c>
      <c r="K47" s="12"/>
      <c r="L47" s="12"/>
      <c r="M47" s="12"/>
      <c r="N47" s="28">
        <f t="shared" si="10"/>
        <v>235</v>
      </c>
    </row>
    <row r="48" spans="1:14" s="23" customFormat="1">
      <c r="A48" s="23" t="s">
        <v>146</v>
      </c>
      <c r="B48" s="23">
        <v>350</v>
      </c>
      <c r="C48" s="23">
        <v>350</v>
      </c>
      <c r="D48" s="23">
        <v>350</v>
      </c>
      <c r="E48" s="23">
        <v>350</v>
      </c>
      <c r="F48" s="23">
        <v>350</v>
      </c>
      <c r="G48" s="23">
        <v>350</v>
      </c>
      <c r="H48" s="23">
        <v>350</v>
      </c>
      <c r="I48" s="23">
        <v>350</v>
      </c>
      <c r="J48" s="23">
        <v>350</v>
      </c>
      <c r="K48" s="23">
        <v>350</v>
      </c>
      <c r="L48" s="23">
        <v>350</v>
      </c>
      <c r="M48" s="23">
        <v>350</v>
      </c>
      <c r="N48" s="23">
        <f t="shared" si="6"/>
        <v>4200</v>
      </c>
    </row>
    <row r="49" spans="1:14">
      <c r="A49" s="10" t="s">
        <v>147</v>
      </c>
      <c r="B49" s="4"/>
      <c r="C49" s="4">
        <v>465</v>
      </c>
      <c r="D49" s="4"/>
      <c r="E49" s="4"/>
      <c r="F49" s="4"/>
      <c r="G49" s="4"/>
      <c r="H49" s="4"/>
      <c r="I49" s="4"/>
      <c r="J49" s="4"/>
      <c r="K49" s="4"/>
      <c r="L49" s="4"/>
      <c r="M49" s="4"/>
      <c r="N49" s="24">
        <f t="shared" si="6"/>
        <v>465</v>
      </c>
    </row>
    <row r="50" spans="1:14">
      <c r="A50" s="10" t="s">
        <v>148</v>
      </c>
      <c r="B50" s="4"/>
      <c r="C50" s="4">
        <v>465</v>
      </c>
      <c r="D50" s="4"/>
      <c r="E50" s="4"/>
      <c r="F50" s="4"/>
      <c r="G50" s="4"/>
      <c r="H50" s="4"/>
      <c r="I50" s="4"/>
      <c r="J50" s="4"/>
      <c r="K50" s="4"/>
      <c r="L50" s="4"/>
      <c r="M50" s="4"/>
      <c r="N50" s="24">
        <f t="shared" si="6"/>
        <v>465</v>
      </c>
    </row>
    <row r="51" spans="1:14" s="23" customFormat="1">
      <c r="A51" s="23" t="s">
        <v>149</v>
      </c>
      <c r="B51" s="23">
        <f>SUM(B52:B66)</f>
        <v>262.89</v>
      </c>
      <c r="C51" s="23">
        <f t="shared" ref="C51:M51" si="11">SUM(C52:C66)</f>
        <v>132.9</v>
      </c>
      <c r="D51" s="23">
        <f t="shared" si="11"/>
        <v>132.9</v>
      </c>
      <c r="E51" s="23">
        <f t="shared" si="11"/>
        <v>515.77</v>
      </c>
      <c r="F51" s="23">
        <f t="shared" si="11"/>
        <v>132.9</v>
      </c>
      <c r="G51" s="23">
        <f t="shared" si="11"/>
        <v>132.9</v>
      </c>
      <c r="H51" s="23">
        <f t="shared" si="11"/>
        <v>132.9</v>
      </c>
      <c r="I51" s="23">
        <f t="shared" si="11"/>
        <v>248.89000000000004</v>
      </c>
      <c r="J51" s="23">
        <f t="shared" si="11"/>
        <v>132.9</v>
      </c>
      <c r="K51" s="23">
        <f t="shared" si="11"/>
        <v>132.9</v>
      </c>
      <c r="L51" s="23">
        <f t="shared" si="11"/>
        <v>697.83</v>
      </c>
      <c r="M51" s="23">
        <f t="shared" si="11"/>
        <v>249.89000000000001</v>
      </c>
      <c r="N51" s="23">
        <f t="shared" si="6"/>
        <v>2905.5700000000006</v>
      </c>
    </row>
    <row r="52" spans="1:14">
      <c r="A52" s="10" t="s">
        <v>150</v>
      </c>
      <c r="B52" s="12">
        <v>49.95</v>
      </c>
      <c r="C52" s="12">
        <v>49.95</v>
      </c>
      <c r="D52" s="12">
        <v>49.95</v>
      </c>
      <c r="E52" s="12">
        <v>49.95</v>
      </c>
      <c r="F52" s="12">
        <v>49.95</v>
      </c>
      <c r="G52" s="12">
        <v>49.95</v>
      </c>
      <c r="H52" s="12">
        <v>49.95</v>
      </c>
      <c r="I52" s="12">
        <v>49.95</v>
      </c>
      <c r="J52" s="12">
        <v>49.95</v>
      </c>
      <c r="K52" s="12">
        <v>49.95</v>
      </c>
      <c r="L52" s="12">
        <v>49.95</v>
      </c>
      <c r="M52" s="12">
        <v>49.95</v>
      </c>
      <c r="N52" s="24">
        <f t="shared" si="6"/>
        <v>599.4</v>
      </c>
    </row>
    <row r="53" spans="1:14">
      <c r="A53" s="10" t="s">
        <v>151</v>
      </c>
      <c r="B53" s="12"/>
      <c r="C53" s="12"/>
      <c r="D53" s="12"/>
      <c r="E53" s="12">
        <v>83.88</v>
      </c>
      <c r="F53" s="12"/>
      <c r="G53" s="12"/>
      <c r="H53" s="12"/>
      <c r="I53" s="12"/>
      <c r="J53" s="12"/>
      <c r="K53" s="12"/>
      <c r="L53" s="12"/>
      <c r="M53" s="12"/>
      <c r="N53" s="24">
        <f t="shared" si="6"/>
        <v>83.88</v>
      </c>
    </row>
    <row r="54" spans="1:14">
      <c r="A54" s="10" t="s">
        <v>152</v>
      </c>
      <c r="B54" s="12"/>
      <c r="C54" s="12"/>
      <c r="D54" s="12"/>
      <c r="E54" s="12"/>
      <c r="F54" s="12"/>
      <c r="G54" s="12"/>
      <c r="H54" s="12"/>
      <c r="I54" s="12"/>
      <c r="J54" s="12"/>
      <c r="K54" s="12"/>
      <c r="L54" s="12">
        <v>139.99</v>
      </c>
      <c r="M54" s="12"/>
      <c r="N54" s="24">
        <f t="shared" si="6"/>
        <v>139.99</v>
      </c>
    </row>
    <row r="55" spans="1:14">
      <c r="A55" s="10" t="s">
        <v>153</v>
      </c>
      <c r="B55" s="12"/>
      <c r="C55" s="12"/>
      <c r="D55" s="12"/>
      <c r="E55" s="12"/>
      <c r="F55" s="12"/>
      <c r="G55" s="12"/>
      <c r="H55" s="12"/>
      <c r="I55" s="12"/>
      <c r="J55" s="12"/>
      <c r="K55" s="12"/>
      <c r="L55" s="12"/>
      <c r="M55" s="12">
        <v>116.99</v>
      </c>
      <c r="N55" s="24">
        <f t="shared" si="6"/>
        <v>116.99</v>
      </c>
    </row>
    <row r="56" spans="1:14">
      <c r="A56" s="10" t="s">
        <v>154</v>
      </c>
      <c r="B56" s="12"/>
      <c r="C56" s="12"/>
      <c r="D56" s="12"/>
      <c r="E56" s="12"/>
      <c r="F56" s="12"/>
      <c r="G56" s="12"/>
      <c r="H56" s="12"/>
      <c r="I56" s="12"/>
      <c r="J56" s="12"/>
      <c r="K56" s="12"/>
      <c r="L56" s="12">
        <v>209.99</v>
      </c>
      <c r="M56" s="12"/>
      <c r="N56" s="24">
        <f t="shared" si="6"/>
        <v>209.99</v>
      </c>
    </row>
    <row r="57" spans="1:14">
      <c r="A57" s="10" t="s">
        <v>155</v>
      </c>
      <c r="B57" s="12">
        <v>129.99</v>
      </c>
      <c r="C57" s="12"/>
      <c r="D57" s="12"/>
      <c r="E57" s="12"/>
      <c r="F57" s="12"/>
      <c r="G57" s="12"/>
      <c r="H57" s="12"/>
      <c r="I57" s="12"/>
      <c r="J57" s="12"/>
      <c r="K57" s="12"/>
      <c r="L57" s="12"/>
      <c r="M57" s="12"/>
      <c r="N57" s="24">
        <f t="shared" si="6"/>
        <v>129.99</v>
      </c>
    </row>
    <row r="58" spans="1:14">
      <c r="A58" s="10" t="s">
        <v>156</v>
      </c>
      <c r="B58" s="12"/>
      <c r="C58" s="12"/>
      <c r="D58" s="12"/>
      <c r="E58" s="12">
        <v>219.99</v>
      </c>
      <c r="F58" s="12"/>
      <c r="G58" s="12"/>
      <c r="H58" s="12"/>
      <c r="I58" s="12"/>
      <c r="J58" s="12"/>
      <c r="K58" s="12"/>
      <c r="L58" s="12"/>
      <c r="M58" s="12"/>
      <c r="N58" s="24">
        <f t="shared" si="6"/>
        <v>219.99</v>
      </c>
    </row>
    <row r="59" spans="1:14">
      <c r="A59" s="10" t="s">
        <v>157</v>
      </c>
      <c r="B59" s="12">
        <v>37.979999999999997</v>
      </c>
      <c r="C59" s="12">
        <v>37.979999999999997</v>
      </c>
      <c r="D59" s="12">
        <v>37.979999999999997</v>
      </c>
      <c r="E59" s="12">
        <v>37.979999999999997</v>
      </c>
      <c r="F59" s="12">
        <v>37.979999999999997</v>
      </c>
      <c r="G59" s="12">
        <v>37.979999999999997</v>
      </c>
      <c r="H59" s="12">
        <v>37.979999999999997</v>
      </c>
      <c r="I59" s="12">
        <v>37.979999999999997</v>
      </c>
      <c r="J59" s="12">
        <v>37.979999999999997</v>
      </c>
      <c r="K59" s="12">
        <v>37.979999999999997</v>
      </c>
      <c r="L59" s="12">
        <v>37.979999999999997</v>
      </c>
      <c r="M59" s="12">
        <v>37.979999999999997</v>
      </c>
      <c r="N59" s="24">
        <f t="shared" si="6"/>
        <v>455.76000000000005</v>
      </c>
    </row>
    <row r="60" spans="1:14">
      <c r="A60" s="10" t="s">
        <v>158</v>
      </c>
      <c r="B60" s="12"/>
      <c r="C60" s="12"/>
      <c r="D60" s="12"/>
      <c r="E60" s="12"/>
      <c r="F60" s="12"/>
      <c r="G60" s="12"/>
      <c r="H60" s="12"/>
      <c r="I60" s="12">
        <v>115.99</v>
      </c>
      <c r="J60" s="12"/>
      <c r="K60" s="12"/>
      <c r="L60" s="12"/>
      <c r="M60" s="12"/>
      <c r="N60" s="24">
        <f t="shared" si="6"/>
        <v>115.99</v>
      </c>
    </row>
    <row r="61" spans="1:14">
      <c r="A61" s="10" t="s">
        <v>159</v>
      </c>
      <c r="B61" s="12"/>
      <c r="C61" s="12"/>
      <c r="D61" s="12"/>
      <c r="E61" s="12"/>
      <c r="F61" s="12"/>
      <c r="G61" s="12"/>
      <c r="H61" s="12"/>
      <c r="I61" s="12"/>
      <c r="J61" s="12"/>
      <c r="K61" s="12"/>
      <c r="L61" s="12">
        <v>214.95</v>
      </c>
      <c r="M61" s="12"/>
      <c r="N61" s="24">
        <f t="shared" si="6"/>
        <v>214.95</v>
      </c>
    </row>
    <row r="62" spans="1:14">
      <c r="A62" s="10" t="s">
        <v>160</v>
      </c>
      <c r="B62" s="12"/>
      <c r="C62" s="12"/>
      <c r="D62" s="12"/>
      <c r="E62" s="12">
        <v>79</v>
      </c>
      <c r="F62" s="12"/>
      <c r="G62" s="12"/>
      <c r="H62" s="12"/>
      <c r="I62" s="12"/>
      <c r="J62" s="12"/>
      <c r="K62" s="12"/>
      <c r="L62" s="12"/>
      <c r="M62" s="12"/>
      <c r="N62" s="24">
        <f t="shared" si="6"/>
        <v>79</v>
      </c>
    </row>
    <row r="63" spans="1:14">
      <c r="A63" s="10" t="s">
        <v>161</v>
      </c>
      <c r="B63" s="12">
        <v>2.99</v>
      </c>
      <c r="C63" s="12">
        <v>2.99</v>
      </c>
      <c r="D63" s="12">
        <v>2.99</v>
      </c>
      <c r="E63" s="12">
        <v>2.99</v>
      </c>
      <c r="F63" s="12">
        <v>2.99</v>
      </c>
      <c r="G63" s="12">
        <v>2.99</v>
      </c>
      <c r="H63" s="12">
        <v>2.99</v>
      </c>
      <c r="I63" s="12">
        <v>2.99</v>
      </c>
      <c r="J63" s="12">
        <v>2.99</v>
      </c>
      <c r="K63" s="12">
        <v>2.99</v>
      </c>
      <c r="L63" s="12">
        <v>2.99</v>
      </c>
      <c r="M63" s="12">
        <v>2.99</v>
      </c>
      <c r="N63" s="24">
        <f t="shared" si="6"/>
        <v>35.88000000000001</v>
      </c>
    </row>
    <row r="64" spans="1:14">
      <c r="A64" s="10" t="s">
        <v>162</v>
      </c>
      <c r="B64" s="12">
        <v>17.489999999999998</v>
      </c>
      <c r="C64" s="12">
        <v>17.489999999999998</v>
      </c>
      <c r="D64" s="12">
        <v>17.489999999999998</v>
      </c>
      <c r="E64" s="12">
        <v>17.489999999999998</v>
      </c>
      <c r="F64" s="12">
        <v>17.489999999999998</v>
      </c>
      <c r="G64" s="12">
        <v>17.489999999999998</v>
      </c>
      <c r="H64" s="12">
        <v>17.489999999999998</v>
      </c>
      <c r="I64" s="12">
        <v>17.489999999999998</v>
      </c>
      <c r="J64" s="12">
        <v>17.489999999999998</v>
      </c>
      <c r="K64" s="12">
        <v>17.489999999999998</v>
      </c>
      <c r="L64" s="12">
        <v>17.489999999999998</v>
      </c>
      <c r="M64" s="12">
        <v>17.489999999999998</v>
      </c>
      <c r="N64" s="24">
        <f t="shared" si="6"/>
        <v>209.88000000000002</v>
      </c>
    </row>
    <row r="65" spans="1:14">
      <c r="A65" s="10" t="s">
        <v>163</v>
      </c>
      <c r="B65" s="12">
        <v>20.49</v>
      </c>
      <c r="C65" s="12">
        <v>20.49</v>
      </c>
      <c r="D65" s="12">
        <v>20.49</v>
      </c>
      <c r="E65" s="12">
        <v>20.49</v>
      </c>
      <c r="F65" s="12">
        <v>20.49</v>
      </c>
      <c r="G65" s="12">
        <v>20.49</v>
      </c>
      <c r="H65" s="12">
        <v>20.49</v>
      </c>
      <c r="I65" s="12">
        <v>20.49</v>
      </c>
      <c r="J65" s="12">
        <v>20.49</v>
      </c>
      <c r="K65" s="12">
        <v>20.49</v>
      </c>
      <c r="L65" s="12">
        <v>20.49</v>
      </c>
      <c r="M65" s="12">
        <v>20.49</v>
      </c>
      <c r="N65" s="24">
        <f t="shared" si="6"/>
        <v>245.88000000000002</v>
      </c>
    </row>
    <row r="66" spans="1:14">
      <c r="A66" s="11" t="s">
        <v>164</v>
      </c>
      <c r="B66" s="13">
        <v>4</v>
      </c>
      <c r="C66" s="13">
        <v>4</v>
      </c>
      <c r="D66" s="13">
        <v>4</v>
      </c>
      <c r="E66" s="13">
        <v>4</v>
      </c>
      <c r="F66" s="13">
        <v>4</v>
      </c>
      <c r="G66" s="13">
        <v>4</v>
      </c>
      <c r="H66" s="13">
        <v>4</v>
      </c>
      <c r="I66" s="13">
        <v>4</v>
      </c>
      <c r="J66" s="13">
        <v>4</v>
      </c>
      <c r="K66" s="13">
        <v>4</v>
      </c>
      <c r="L66" s="13">
        <v>4</v>
      </c>
      <c r="M66" s="13">
        <v>4</v>
      </c>
      <c r="N66" s="24">
        <f t="shared" si="6"/>
        <v>48</v>
      </c>
    </row>
    <row r="67" spans="1:14" s="23" customFormat="1">
      <c r="A67" s="23" t="s">
        <v>165</v>
      </c>
      <c r="B67" s="23">
        <f>SUM(B68:B72)</f>
        <v>58</v>
      </c>
      <c r="C67" s="23">
        <f t="shared" ref="C67:M67" si="12">SUM(C68:C72)</f>
        <v>50</v>
      </c>
      <c r="D67" s="23">
        <f t="shared" si="12"/>
        <v>50</v>
      </c>
      <c r="E67" s="23">
        <f t="shared" si="12"/>
        <v>50</v>
      </c>
      <c r="F67" s="23">
        <f t="shared" si="12"/>
        <v>50</v>
      </c>
      <c r="G67" s="23">
        <f t="shared" si="12"/>
        <v>50</v>
      </c>
      <c r="H67" s="23">
        <f t="shared" si="12"/>
        <v>50</v>
      </c>
      <c r="I67" s="23">
        <f t="shared" si="12"/>
        <v>50</v>
      </c>
      <c r="J67" s="23">
        <f t="shared" si="12"/>
        <v>565</v>
      </c>
      <c r="K67" s="23">
        <f t="shared" si="12"/>
        <v>50</v>
      </c>
      <c r="L67" s="23">
        <f t="shared" si="12"/>
        <v>50</v>
      </c>
      <c r="M67" s="23">
        <f t="shared" si="12"/>
        <v>50</v>
      </c>
      <c r="N67" s="23">
        <f t="shared" si="6"/>
        <v>1123</v>
      </c>
    </row>
    <row r="68" spans="1:14" ht="20.25" customHeight="1">
      <c r="A68" s="21" t="s">
        <v>166</v>
      </c>
      <c r="B68" s="14">
        <v>25</v>
      </c>
      <c r="C68" s="14">
        <v>25</v>
      </c>
      <c r="D68" s="14">
        <v>25</v>
      </c>
      <c r="E68" s="14">
        <v>25</v>
      </c>
      <c r="F68" s="14">
        <v>25</v>
      </c>
      <c r="G68" s="14">
        <v>25</v>
      </c>
      <c r="H68" s="14">
        <v>25</v>
      </c>
      <c r="I68" s="14">
        <v>25</v>
      </c>
      <c r="J68" s="14">
        <v>25</v>
      </c>
      <c r="K68" s="14">
        <v>25</v>
      </c>
      <c r="L68" s="14">
        <v>25</v>
      </c>
      <c r="M68" s="14">
        <v>25</v>
      </c>
      <c r="N68" s="24">
        <f t="shared" si="6"/>
        <v>300</v>
      </c>
    </row>
    <row r="69" spans="1:14">
      <c r="A69" s="10" t="s">
        <v>167</v>
      </c>
      <c r="B69" s="12">
        <v>25</v>
      </c>
      <c r="C69" s="12">
        <v>25</v>
      </c>
      <c r="D69" s="12">
        <v>25</v>
      </c>
      <c r="E69" s="12">
        <v>25</v>
      </c>
      <c r="F69" s="12">
        <v>25</v>
      </c>
      <c r="G69" s="12">
        <v>25</v>
      </c>
      <c r="H69" s="12">
        <v>25</v>
      </c>
      <c r="I69" s="12">
        <v>25</v>
      </c>
      <c r="J69" s="12">
        <v>25</v>
      </c>
      <c r="K69" s="12">
        <v>25</v>
      </c>
      <c r="L69" s="12">
        <v>25</v>
      </c>
      <c r="M69" s="12">
        <v>25</v>
      </c>
      <c r="N69" s="24">
        <f t="shared" si="6"/>
        <v>300</v>
      </c>
    </row>
    <row r="70" spans="1:14">
      <c r="A70" s="10" t="s">
        <v>168</v>
      </c>
      <c r="B70" s="12">
        <v>8</v>
      </c>
      <c r="C70" s="12"/>
      <c r="D70" s="12"/>
      <c r="E70" s="12"/>
      <c r="F70" s="12"/>
      <c r="G70" s="12"/>
      <c r="H70" s="12"/>
      <c r="I70" s="12"/>
      <c r="J70" s="12"/>
      <c r="K70" s="12"/>
      <c r="L70" s="12"/>
      <c r="M70" s="12"/>
      <c r="N70" s="24">
        <f t="shared" si="6"/>
        <v>8</v>
      </c>
    </row>
    <row r="71" spans="1:14" s="27" customFormat="1">
      <c r="A71" s="25" t="s">
        <v>139</v>
      </c>
      <c r="B71" s="26"/>
      <c r="C71" s="26"/>
      <c r="D71" s="26"/>
      <c r="E71" s="26"/>
      <c r="F71" s="26"/>
      <c r="G71" s="26"/>
      <c r="H71" s="26"/>
      <c r="I71" s="26"/>
      <c r="J71" s="26"/>
      <c r="K71" s="26"/>
      <c r="L71" s="26"/>
      <c r="M71" s="26"/>
      <c r="N71" s="24">
        <f t="shared" si="6"/>
        <v>0</v>
      </c>
    </row>
    <row r="72" spans="1:14" ht="20.25" customHeight="1">
      <c r="A72" s="21" t="s">
        <v>169</v>
      </c>
      <c r="B72" s="14"/>
      <c r="C72" s="14"/>
      <c r="D72" s="14"/>
      <c r="E72" s="14"/>
      <c r="F72" s="14"/>
      <c r="G72" s="14"/>
      <c r="H72" s="14"/>
      <c r="I72" s="14"/>
      <c r="J72" s="14">
        <v>515</v>
      </c>
      <c r="K72" s="14"/>
      <c r="L72" s="14"/>
      <c r="M72" s="14"/>
      <c r="N72" s="24">
        <f t="shared" si="6"/>
        <v>515</v>
      </c>
    </row>
    <row r="73" spans="1:14" s="23" customFormat="1">
      <c r="A73" s="23" t="s">
        <v>170</v>
      </c>
      <c r="B73" s="23">
        <f>SUM(B74)</f>
        <v>0</v>
      </c>
      <c r="C73" s="23">
        <f t="shared" ref="C73:M73" si="13">SUM(C74)</f>
        <v>2500</v>
      </c>
      <c r="D73" s="23">
        <f t="shared" si="13"/>
        <v>0</v>
      </c>
      <c r="E73" s="23">
        <f t="shared" si="13"/>
        <v>0</v>
      </c>
      <c r="F73" s="23">
        <f t="shared" si="13"/>
        <v>0</v>
      </c>
      <c r="G73" s="23">
        <f t="shared" si="13"/>
        <v>2000</v>
      </c>
      <c r="H73" s="23">
        <f t="shared" si="13"/>
        <v>0</v>
      </c>
      <c r="I73" s="23">
        <f t="shared" si="13"/>
        <v>0</v>
      </c>
      <c r="J73" s="23">
        <f t="shared" si="13"/>
        <v>0</v>
      </c>
      <c r="K73" s="23">
        <f t="shared" si="13"/>
        <v>0</v>
      </c>
      <c r="L73" s="23">
        <f t="shared" si="13"/>
        <v>0</v>
      </c>
      <c r="M73" s="23">
        <f t="shared" si="13"/>
        <v>0</v>
      </c>
      <c r="N73" s="23">
        <f>SUM(B73:M73)</f>
        <v>4500</v>
      </c>
    </row>
    <row r="74" spans="1:14">
      <c r="A74" s="10" t="s">
        <v>171</v>
      </c>
      <c r="B74" s="12"/>
      <c r="C74" s="12">
        <v>2500</v>
      </c>
      <c r="D74" s="12"/>
      <c r="E74" s="12"/>
      <c r="F74" s="12"/>
      <c r="G74" s="12">
        <v>2000</v>
      </c>
      <c r="H74" s="12"/>
      <c r="I74" s="12"/>
      <c r="J74" s="12"/>
      <c r="K74" s="12"/>
      <c r="L74" s="12"/>
      <c r="M74" s="12"/>
      <c r="N74" s="24">
        <f t="shared" si="6"/>
        <v>4500</v>
      </c>
    </row>
    <row r="75" spans="1:14" s="23" customFormat="1">
      <c r="A75" s="23" t="s">
        <v>172</v>
      </c>
      <c r="B75" s="23">
        <v>350</v>
      </c>
      <c r="C75" s="23">
        <v>350</v>
      </c>
      <c r="D75" s="23">
        <v>350</v>
      </c>
      <c r="E75" s="23">
        <v>350</v>
      </c>
      <c r="F75" s="23">
        <v>350</v>
      </c>
      <c r="G75" s="23">
        <v>350</v>
      </c>
      <c r="H75" s="23">
        <v>350</v>
      </c>
      <c r="I75" s="23">
        <v>350</v>
      </c>
      <c r="J75" s="23">
        <v>350</v>
      </c>
      <c r="K75" s="23">
        <v>350</v>
      </c>
      <c r="L75" s="23">
        <v>350</v>
      </c>
      <c r="M75" s="23">
        <v>350</v>
      </c>
      <c r="N75" s="23">
        <f>SUM(B75:M75)</f>
        <v>4200</v>
      </c>
    </row>
    <row r="76" spans="1:14">
      <c r="A76" s="10" t="s">
        <v>173</v>
      </c>
      <c r="B76" s="12">
        <v>2500</v>
      </c>
      <c r="C76" s="12">
        <v>1000</v>
      </c>
      <c r="D76" s="12">
        <v>1000</v>
      </c>
      <c r="E76" s="12">
        <v>1000</v>
      </c>
      <c r="F76" s="12">
        <v>1000</v>
      </c>
      <c r="G76" s="12">
        <v>1000</v>
      </c>
      <c r="H76" s="12">
        <v>1000</v>
      </c>
      <c r="I76" s="12">
        <v>1000</v>
      </c>
      <c r="J76" s="12">
        <v>1000</v>
      </c>
      <c r="K76" s="12">
        <v>1000</v>
      </c>
      <c r="L76" s="12">
        <v>1000</v>
      </c>
      <c r="M76" s="12">
        <v>2000</v>
      </c>
      <c r="N76" s="24">
        <f t="shared" ref="N76" si="14">SUM(B76:M76)</f>
        <v>14500</v>
      </c>
    </row>
    <row r="77" spans="1:14" ht="20.25" customHeight="1">
      <c r="A77" s="9"/>
      <c r="B77" s="29"/>
      <c r="C77" s="29"/>
      <c r="D77" s="29"/>
      <c r="E77" s="29"/>
      <c r="F77" s="29"/>
      <c r="G77" s="29"/>
      <c r="H77" s="29"/>
      <c r="I77" s="29"/>
      <c r="J77" s="29"/>
      <c r="K77" s="29"/>
      <c r="L77" s="29"/>
      <c r="M77" s="29"/>
      <c r="N77" s="29"/>
    </row>
    <row r="78" spans="1:14" ht="17">
      <c r="A78" s="15" t="s">
        <v>174</v>
      </c>
      <c r="B78" s="33">
        <f t="shared" ref="B78:M78" si="15">B6+B8+B16+B18+B23+B30+B48+B51+B67+B73+B75</f>
        <v>5502.72</v>
      </c>
      <c r="C78" s="33">
        <f t="shared" si="15"/>
        <v>7282.9</v>
      </c>
      <c r="D78" s="33">
        <f t="shared" si="15"/>
        <v>6397.9</v>
      </c>
      <c r="E78" s="33">
        <f t="shared" si="15"/>
        <v>6695.77</v>
      </c>
      <c r="F78" s="33">
        <f t="shared" si="15"/>
        <v>4782.8999999999996</v>
      </c>
      <c r="G78" s="33">
        <f t="shared" si="15"/>
        <v>6515.4</v>
      </c>
      <c r="H78" s="33">
        <f t="shared" si="15"/>
        <v>7852.9</v>
      </c>
      <c r="I78" s="33">
        <f t="shared" si="15"/>
        <v>8888.89</v>
      </c>
      <c r="J78" s="33">
        <f t="shared" si="15"/>
        <v>5967.9</v>
      </c>
      <c r="K78" s="33">
        <f t="shared" si="15"/>
        <v>5924.74</v>
      </c>
      <c r="L78" s="33">
        <f t="shared" si="15"/>
        <v>5707.83</v>
      </c>
      <c r="M78" s="33">
        <f t="shared" si="15"/>
        <v>4957.45</v>
      </c>
      <c r="N78" s="32">
        <f>SUM(B78:M78)</f>
        <v>76477.3</v>
      </c>
    </row>
  </sheetData>
  <mergeCells count="1">
    <mergeCell ref="A1:N1"/>
  </mergeCells>
  <conditionalFormatting sqref="B68:M68 B77:N77">
    <cfRule type="cellIs" dxfId="1" priority="5" operator="lessThan">
      <formula>0</formula>
    </cfRule>
  </conditionalFormatting>
  <conditionalFormatting sqref="B72:M72">
    <cfRule type="cellIs" dxfId="0" priority="3" operator="lessThan">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workbookViewId="0">
      <selection sqref="A1:I1"/>
    </sheetView>
  </sheetViews>
  <sheetFormatPr baseColWidth="10" defaultColWidth="8.83203125" defaultRowHeight="15"/>
  <cols>
    <col min="1" max="1" width="14" customWidth="1"/>
    <col min="2" max="2" width="30" customWidth="1"/>
    <col min="3" max="3" width="16" customWidth="1"/>
    <col min="4" max="4" width="34" customWidth="1"/>
    <col min="5" max="5" width="2" customWidth="1"/>
    <col min="6" max="7" width="22" customWidth="1"/>
    <col min="8" max="9" width="18" customWidth="1"/>
  </cols>
  <sheetData>
    <row r="1" spans="1:9" ht="24">
      <c r="A1" s="202" t="s">
        <v>175</v>
      </c>
      <c r="B1" s="203"/>
      <c r="C1" s="203"/>
      <c r="D1" s="203"/>
      <c r="E1" s="203"/>
      <c r="F1" s="203"/>
      <c r="G1" s="203"/>
      <c r="H1" s="203"/>
      <c r="I1" s="203"/>
    </row>
    <row r="3" spans="1:9">
      <c r="A3" s="20" t="s">
        <v>176</v>
      </c>
    </row>
    <row r="5" spans="1:9" ht="18">
      <c r="A5" s="15" t="s">
        <v>89</v>
      </c>
      <c r="B5" s="15" t="s">
        <v>66</v>
      </c>
      <c r="C5" s="15" t="s">
        <v>64</v>
      </c>
      <c r="D5" s="15" t="s">
        <v>14</v>
      </c>
      <c r="F5" s="6" t="s">
        <v>177</v>
      </c>
    </row>
    <row r="6" spans="1:9">
      <c r="A6" s="4" t="s">
        <v>178</v>
      </c>
      <c r="B6" s="4" t="s">
        <v>179</v>
      </c>
      <c r="C6" s="28">
        <v>265000</v>
      </c>
      <c r="D6" s="4" t="s">
        <v>180</v>
      </c>
      <c r="F6" s="5" t="s">
        <v>181</v>
      </c>
      <c r="G6" s="5">
        <f>SUMIF(A:A,"Assets",C:C)</f>
        <v>303316.06</v>
      </c>
    </row>
    <row r="7" spans="1:9">
      <c r="A7" s="4" t="s">
        <v>178</v>
      </c>
      <c r="B7" s="4" t="s">
        <v>182</v>
      </c>
      <c r="C7" s="28">
        <v>33763.86</v>
      </c>
      <c r="D7" s="4" t="s">
        <v>183</v>
      </c>
      <c r="F7" s="5" t="s">
        <v>184</v>
      </c>
      <c r="G7" s="5">
        <f>SUMIF(A:A,"Liabilities",C:C)</f>
        <v>0</v>
      </c>
    </row>
    <row r="8" spans="1:9">
      <c r="A8" s="4" t="s">
        <v>178</v>
      </c>
      <c r="B8" s="4" t="s">
        <v>182</v>
      </c>
      <c r="C8" s="28">
        <v>4552.2</v>
      </c>
      <c r="D8" s="4" t="s">
        <v>185</v>
      </c>
      <c r="F8" s="5" t="s">
        <v>186</v>
      </c>
      <c r="G8" s="5">
        <f>G6-G7</f>
        <v>303316.06</v>
      </c>
    </row>
    <row r="9" spans="1:9">
      <c r="A9" s="4" t="s">
        <v>178</v>
      </c>
      <c r="B9" s="4" t="s">
        <v>187</v>
      </c>
      <c r="C9" s="28">
        <v>0</v>
      </c>
      <c r="D9" s="4"/>
    </row>
    <row r="10" spans="1:9">
      <c r="A10" s="4" t="s">
        <v>188</v>
      </c>
      <c r="B10" s="4" t="s">
        <v>189</v>
      </c>
      <c r="C10" s="28">
        <v>0</v>
      </c>
      <c r="D10" s="4"/>
    </row>
    <row r="11" spans="1:9">
      <c r="A11" s="4" t="s">
        <v>188</v>
      </c>
      <c r="B11" s="4" t="s">
        <v>190</v>
      </c>
      <c r="C11" s="28">
        <v>0</v>
      </c>
      <c r="D11" s="4"/>
    </row>
  </sheetData>
  <mergeCells count="1">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4"/>
  <sheetViews>
    <sheetView workbookViewId="0">
      <selection sqref="A1:I1"/>
    </sheetView>
  </sheetViews>
  <sheetFormatPr baseColWidth="10" defaultRowHeight="15"/>
  <cols>
    <col min="1" max="1" width="14.83203125" customWidth="1"/>
    <col min="2" max="2" width="15.5" customWidth="1"/>
    <col min="3" max="3" width="17.6640625" customWidth="1"/>
  </cols>
  <sheetData>
    <row r="1" spans="1:9" ht="24">
      <c r="A1" s="202" t="s">
        <v>191</v>
      </c>
      <c r="B1" s="203"/>
      <c r="C1" s="203"/>
      <c r="D1" s="203"/>
      <c r="E1" s="203"/>
      <c r="F1" s="203"/>
      <c r="G1" s="203"/>
      <c r="H1" s="203"/>
      <c r="I1" s="203"/>
    </row>
    <row r="4" spans="1:9" ht="62.75" customHeight="1">
      <c r="A4" s="45" t="s">
        <v>37</v>
      </c>
      <c r="B4" s="45" t="s">
        <v>192</v>
      </c>
      <c r="C4" s="45" t="s">
        <v>193</v>
      </c>
      <c r="D4" s="50"/>
    </row>
    <row r="5" spans="1:9">
      <c r="A5" s="66">
        <v>2026</v>
      </c>
      <c r="B5" s="53">
        <f>(180000/12)*3</f>
        <v>45000</v>
      </c>
      <c r="C5" s="53">
        <v>166000</v>
      </c>
      <c r="D5" s="51"/>
    </row>
    <row r="6" spans="1:9">
      <c r="A6" s="66">
        <f>A5+1</f>
        <v>2027</v>
      </c>
      <c r="B6" s="53">
        <v>180000</v>
      </c>
      <c r="C6" s="53">
        <v>172000</v>
      </c>
      <c r="D6" s="51"/>
    </row>
    <row r="7" spans="1:9">
      <c r="A7" s="66">
        <f t="shared" ref="A7:A23" si="0">A6+1</f>
        <v>2028</v>
      </c>
      <c r="B7" s="53">
        <v>180000</v>
      </c>
      <c r="C7" s="53">
        <v>172000</v>
      </c>
      <c r="D7" s="49"/>
    </row>
    <row r="8" spans="1:9">
      <c r="A8" s="66">
        <f t="shared" si="0"/>
        <v>2029</v>
      </c>
      <c r="B8" s="53">
        <v>180000</v>
      </c>
      <c r="C8" s="53">
        <v>172000</v>
      </c>
      <c r="D8" s="51"/>
    </row>
    <row r="9" spans="1:9">
      <c r="A9" s="66">
        <f t="shared" si="0"/>
        <v>2030</v>
      </c>
      <c r="B9" s="53">
        <v>180000</v>
      </c>
      <c r="C9" s="53">
        <v>172000</v>
      </c>
      <c r="D9" s="51"/>
    </row>
    <row r="10" spans="1:9">
      <c r="A10" s="66">
        <f t="shared" si="0"/>
        <v>2031</v>
      </c>
      <c r="B10" s="53">
        <v>180000</v>
      </c>
      <c r="C10" s="53">
        <v>172000</v>
      </c>
    </row>
    <row r="11" spans="1:9">
      <c r="A11" s="66">
        <f t="shared" si="0"/>
        <v>2032</v>
      </c>
      <c r="B11" s="53">
        <v>180000</v>
      </c>
      <c r="C11" s="53">
        <v>172000</v>
      </c>
    </row>
    <row r="12" spans="1:9">
      <c r="A12" s="66">
        <f t="shared" si="0"/>
        <v>2033</v>
      </c>
      <c r="B12" s="53">
        <v>180000</v>
      </c>
      <c r="C12" s="53">
        <v>172000</v>
      </c>
    </row>
    <row r="13" spans="1:9">
      <c r="A13" s="66">
        <f t="shared" si="0"/>
        <v>2034</v>
      </c>
      <c r="B13" s="53">
        <v>180000</v>
      </c>
      <c r="C13" s="53">
        <v>172000</v>
      </c>
    </row>
    <row r="14" spans="1:9">
      <c r="A14" s="66">
        <f t="shared" si="0"/>
        <v>2035</v>
      </c>
      <c r="B14" s="53">
        <v>180000</v>
      </c>
      <c r="C14" s="53">
        <v>172000</v>
      </c>
    </row>
    <row r="15" spans="1:9">
      <c r="A15" s="66">
        <f t="shared" si="0"/>
        <v>2036</v>
      </c>
      <c r="B15" s="53">
        <v>180000</v>
      </c>
      <c r="C15" s="53">
        <v>172000</v>
      </c>
    </row>
    <row r="16" spans="1:9">
      <c r="A16" s="66">
        <f t="shared" si="0"/>
        <v>2037</v>
      </c>
      <c r="B16" s="53">
        <v>180000</v>
      </c>
      <c r="C16" s="53">
        <v>172000</v>
      </c>
    </row>
    <row r="17" spans="1:3">
      <c r="A17" s="66">
        <f t="shared" si="0"/>
        <v>2038</v>
      </c>
      <c r="B17" s="53">
        <v>180000</v>
      </c>
      <c r="C17" s="53">
        <v>172000</v>
      </c>
    </row>
    <row r="18" spans="1:3">
      <c r="A18" s="66">
        <f t="shared" si="0"/>
        <v>2039</v>
      </c>
      <c r="B18" s="53">
        <v>180000</v>
      </c>
      <c r="C18" s="53">
        <v>172000</v>
      </c>
    </row>
    <row r="19" spans="1:3">
      <c r="A19" s="66">
        <f t="shared" si="0"/>
        <v>2040</v>
      </c>
      <c r="B19" s="53">
        <v>180000</v>
      </c>
      <c r="C19" s="53">
        <v>172000</v>
      </c>
    </row>
    <row r="20" spans="1:3">
      <c r="A20" s="66">
        <f t="shared" si="0"/>
        <v>2041</v>
      </c>
      <c r="B20" s="53">
        <v>180000</v>
      </c>
      <c r="C20" s="53">
        <v>172000</v>
      </c>
    </row>
    <row r="21" spans="1:3">
      <c r="A21" s="66">
        <f t="shared" si="0"/>
        <v>2042</v>
      </c>
      <c r="B21" s="53">
        <v>180000</v>
      </c>
      <c r="C21" s="53">
        <v>172000</v>
      </c>
    </row>
    <row r="22" spans="1:3">
      <c r="A22" s="66">
        <f t="shared" si="0"/>
        <v>2043</v>
      </c>
      <c r="B22" s="53">
        <v>180000</v>
      </c>
      <c r="C22" s="53">
        <v>172000</v>
      </c>
    </row>
    <row r="23" spans="1:3">
      <c r="A23" s="66">
        <f t="shared" si="0"/>
        <v>2044</v>
      </c>
      <c r="B23" s="53">
        <v>180000</v>
      </c>
      <c r="C23" s="53">
        <v>172000</v>
      </c>
    </row>
    <row r="24" spans="1:3">
      <c r="A24" s="66">
        <f t="shared" ref="A24" si="1">A23+1</f>
        <v>2045</v>
      </c>
      <c r="B24" s="53">
        <v>180000</v>
      </c>
      <c r="C24" s="53">
        <v>172000</v>
      </c>
    </row>
  </sheetData>
  <mergeCells count="1">
    <mergeCell ref="A1:I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2"/>
  <sheetViews>
    <sheetView workbookViewId="0">
      <selection sqref="A1:I1"/>
    </sheetView>
  </sheetViews>
  <sheetFormatPr baseColWidth="10" defaultRowHeight="15"/>
  <cols>
    <col min="1" max="1" width="16.6640625" customWidth="1"/>
    <col min="2" max="2" width="14" customWidth="1"/>
    <col min="3" max="3" width="13.83203125" customWidth="1"/>
    <col min="4" max="4" width="1.83203125" customWidth="1"/>
    <col min="5" max="5" width="16.83203125" customWidth="1"/>
    <col min="7" max="7" width="2" customWidth="1"/>
    <col min="8" max="8" width="16.83203125" customWidth="1"/>
  </cols>
  <sheetData>
    <row r="1" spans="1:9" ht="24">
      <c r="A1" s="202" t="s">
        <v>191</v>
      </c>
      <c r="B1" s="203"/>
      <c r="C1" s="203"/>
      <c r="D1" s="203"/>
      <c r="E1" s="203"/>
      <c r="F1" s="203"/>
      <c r="G1" s="203"/>
      <c r="H1" s="203"/>
      <c r="I1" s="203"/>
    </row>
    <row r="4" spans="1:9" ht="24" customHeight="1">
      <c r="A4" s="15" t="s">
        <v>194</v>
      </c>
      <c r="B4" s="15" t="s">
        <v>195</v>
      </c>
      <c r="C4" s="15" t="s">
        <v>196</v>
      </c>
      <c r="D4" s="50"/>
      <c r="E4" s="6" t="s">
        <v>197</v>
      </c>
      <c r="F4" s="6"/>
      <c r="G4" s="6"/>
      <c r="H4" s="6" t="s">
        <v>198</v>
      </c>
      <c r="I4" s="6"/>
    </row>
    <row r="5" spans="1:9">
      <c r="A5" s="53">
        <v>0</v>
      </c>
      <c r="B5" s="53">
        <v>18200</v>
      </c>
      <c r="C5" s="49">
        <v>0</v>
      </c>
      <c r="D5" s="51"/>
    </row>
    <row r="6" spans="1:9">
      <c r="A6" s="53">
        <v>18200</v>
      </c>
      <c r="B6" s="53">
        <v>45000</v>
      </c>
      <c r="C6" s="49">
        <v>0.19</v>
      </c>
      <c r="D6" s="51"/>
      <c r="E6" s="5" t="s">
        <v>192</v>
      </c>
      <c r="F6" s="5">
        <f>Projections!E6</f>
        <v>45000</v>
      </c>
      <c r="H6" s="5" t="s">
        <v>192</v>
      </c>
      <c r="I6" s="5">
        <f>Projections!F6</f>
        <v>166000</v>
      </c>
    </row>
    <row r="7" spans="1:9">
      <c r="A7" s="53">
        <v>45000</v>
      </c>
      <c r="B7" s="53">
        <v>120000</v>
      </c>
      <c r="C7" s="49">
        <v>0.32500000000000001</v>
      </c>
      <c r="D7" s="49"/>
      <c r="E7" s="5" t="s">
        <v>199</v>
      </c>
      <c r="F7" s="5">
        <f>F6</f>
        <v>45000</v>
      </c>
      <c r="H7" s="5" t="s">
        <v>199</v>
      </c>
      <c r="I7" s="5">
        <f>I6</f>
        <v>166000</v>
      </c>
    </row>
    <row r="8" spans="1:9">
      <c r="A8" s="53">
        <v>120000</v>
      </c>
      <c r="B8" s="53">
        <v>180000</v>
      </c>
      <c r="C8" s="49">
        <v>0.37</v>
      </c>
      <c r="D8" s="51"/>
      <c r="E8" s="5" t="s">
        <v>200</v>
      </c>
      <c r="F8" s="5">
        <f>IF(F7&lt;=18200,0,
 IF(F7&lt;=45000,(F7-18200)*0.19,
 IF(F7&lt;=120000,5092+(F7-45000)*0.325,
 IF(F7&lt;=180000,29467+(F7-120000)*0.37,
 51667+(F7-180000)*0.45))))</f>
        <v>5092</v>
      </c>
      <c r="H8" s="5" t="s">
        <v>200</v>
      </c>
      <c r="I8" s="5">
        <f>IF(I7&lt;=18200,0,
 IF(I7&lt;=45000,(I7-18200)*0.19,
 IF(I7&lt;=120000,5092+(I7-45000)*0.325,
 IF(I7&lt;=180000,29467+(I7-120000)*0.37,
 51667+(I7-180000)*0.45))))</f>
        <v>46487</v>
      </c>
    </row>
    <row r="9" spans="1:9">
      <c r="A9" s="53">
        <v>180000</v>
      </c>
      <c r="B9" s="53">
        <v>9999999</v>
      </c>
      <c r="C9" s="49">
        <v>0.45</v>
      </c>
      <c r="D9" s="51"/>
      <c r="E9" s="5" t="s">
        <v>201</v>
      </c>
      <c r="F9" s="5">
        <f>F7*0.02</f>
        <v>900</v>
      </c>
      <c r="H9" s="5" t="s">
        <v>201</v>
      </c>
      <c r="I9" s="5">
        <f>-I7*0.02</f>
        <v>-3320</v>
      </c>
    </row>
    <row r="10" spans="1:9">
      <c r="E10" s="5" t="s">
        <v>202</v>
      </c>
      <c r="F10" s="5">
        <f>F8+F9</f>
        <v>5992</v>
      </c>
      <c r="H10" s="5" t="s">
        <v>202</v>
      </c>
      <c r="I10" s="5">
        <f>I8+I9</f>
        <v>43167</v>
      </c>
    </row>
    <row r="11" spans="1:9">
      <c r="E11" s="5" t="s">
        <v>203</v>
      </c>
      <c r="F11" s="5">
        <f>F7-F10</f>
        <v>39008</v>
      </c>
      <c r="H11" s="5" t="s">
        <v>203</v>
      </c>
      <c r="I11" s="5">
        <f>I7-I10</f>
        <v>122833</v>
      </c>
    </row>
    <row r="12" spans="1:9" ht="18">
      <c r="E12" s="6"/>
      <c r="F12" s="6"/>
    </row>
    <row r="15" spans="1:9" ht="16">
      <c r="D15" s="50"/>
    </row>
    <row r="16" spans="1:9">
      <c r="D16" s="52"/>
    </row>
    <row r="17" spans="3:5" ht="16">
      <c r="C17" s="42"/>
      <c r="D17" s="52"/>
    </row>
    <row r="18" spans="3:5">
      <c r="D18" s="52"/>
    </row>
    <row r="19" spans="3:5">
      <c r="D19" s="52"/>
    </row>
    <row r="20" spans="3:5">
      <c r="D20" s="43"/>
    </row>
    <row r="22" spans="3:5">
      <c r="E22" s="48"/>
    </row>
  </sheetData>
  <mergeCells count="1">
    <mergeCell ref="A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7"/>
  <sheetViews>
    <sheetView workbookViewId="0">
      <selection sqref="A1:O1"/>
    </sheetView>
  </sheetViews>
  <sheetFormatPr baseColWidth="10" defaultColWidth="8.83203125" defaultRowHeight="15"/>
  <cols>
    <col min="1" max="1" width="16" customWidth="1"/>
    <col min="2" max="2" width="18" customWidth="1"/>
    <col min="3" max="3" width="24.6640625" customWidth="1"/>
    <col min="4" max="4" width="14.1640625" customWidth="1"/>
    <col min="5" max="5" width="16.83203125" customWidth="1"/>
    <col min="6" max="6" width="19.5" customWidth="1"/>
    <col min="7" max="8" width="15.33203125" customWidth="1"/>
    <col min="9" max="9" width="10.1640625" customWidth="1"/>
    <col min="10" max="10" width="26.5" customWidth="1"/>
    <col min="11" max="11" width="14.6640625" customWidth="1"/>
    <col min="12" max="12" width="2" customWidth="1"/>
    <col min="13" max="15" width="18" customWidth="1"/>
  </cols>
  <sheetData>
    <row r="1" spans="1:15" ht="24">
      <c r="A1" s="202" t="s">
        <v>204</v>
      </c>
      <c r="B1" s="203"/>
      <c r="C1" s="203"/>
      <c r="D1" s="203"/>
      <c r="E1" s="203"/>
      <c r="F1" s="203"/>
      <c r="G1" s="203"/>
      <c r="H1" s="203"/>
      <c r="I1" s="203"/>
      <c r="J1" s="203"/>
      <c r="K1" s="203"/>
      <c r="L1" s="203"/>
      <c r="M1" s="203"/>
      <c r="N1" s="203"/>
      <c r="O1" s="203"/>
    </row>
    <row r="3" spans="1:15">
      <c r="A3" s="20" t="s">
        <v>205</v>
      </c>
    </row>
    <row r="5" spans="1:15" ht="34">
      <c r="A5" s="15" t="s">
        <v>206</v>
      </c>
      <c r="B5" s="15" t="s">
        <v>207</v>
      </c>
      <c r="C5" s="15" t="s">
        <v>208</v>
      </c>
      <c r="D5" s="15" t="s">
        <v>14</v>
      </c>
      <c r="E5" s="54" t="s">
        <v>209</v>
      </c>
      <c r="F5" s="54" t="s">
        <v>210</v>
      </c>
      <c r="G5" s="54" t="s">
        <v>211</v>
      </c>
      <c r="H5" s="54" t="s">
        <v>212</v>
      </c>
      <c r="I5" s="54" t="s">
        <v>213</v>
      </c>
      <c r="J5" s="54" t="s">
        <v>214</v>
      </c>
      <c r="K5" s="54" t="s">
        <v>215</v>
      </c>
      <c r="M5" s="6" t="s">
        <v>177</v>
      </c>
    </row>
    <row r="6" spans="1:15">
      <c r="A6" s="4" t="s">
        <v>216</v>
      </c>
      <c r="B6" s="28">
        <v>636000</v>
      </c>
      <c r="C6" s="28">
        <v>27500</v>
      </c>
      <c r="D6" s="34">
        <v>46023</v>
      </c>
      <c r="E6" s="56">
        <v>0.12</v>
      </c>
      <c r="F6" s="13">
        <v>0</v>
      </c>
      <c r="G6" s="13">
        <v>27500</v>
      </c>
      <c r="H6" s="55">
        <v>0.15</v>
      </c>
      <c r="I6" s="57" t="s">
        <v>217</v>
      </c>
      <c r="J6" s="13">
        <f>IF($I6="Fixed",
   $C6,
   MIN($G6, ($E6*Projections!$E6) + $F6)
)</f>
        <v>5400</v>
      </c>
      <c r="K6" s="13">
        <f>$J6*$H6</f>
        <v>810</v>
      </c>
      <c r="M6" s="5" t="s">
        <v>48</v>
      </c>
      <c r="N6" s="33">
        <f>SUM(B6:B7)</f>
        <v>1088000</v>
      </c>
    </row>
    <row r="7" spans="1:15">
      <c r="A7" s="4" t="s">
        <v>218</v>
      </c>
      <c r="B7" s="28">
        <v>452000</v>
      </c>
      <c r="C7" s="28">
        <v>27500</v>
      </c>
      <c r="D7" s="34">
        <v>46023</v>
      </c>
      <c r="E7" s="56">
        <v>0.154</v>
      </c>
      <c r="F7" s="13">
        <v>0</v>
      </c>
      <c r="G7" s="13">
        <v>27500</v>
      </c>
      <c r="H7" s="55">
        <v>0.15</v>
      </c>
      <c r="I7" s="57" t="s">
        <v>217</v>
      </c>
      <c r="J7" s="13">
        <f>IF($I7="Fixed",
   $C7,
   MIN($G7, ($E7*Projections!$F6) + $F7)
)</f>
        <v>25564</v>
      </c>
      <c r="K7" s="13">
        <f>$J7*$H7</f>
        <v>3834.6</v>
      </c>
      <c r="M7" s="5" t="s">
        <v>219</v>
      </c>
      <c r="N7" s="33">
        <f>SUM(C6:C7)</f>
        <v>55000</v>
      </c>
    </row>
  </sheetData>
  <mergeCells count="1">
    <mergeCell ref="A1:O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6"/>
  <sheetViews>
    <sheetView workbookViewId="0">
      <selection sqref="A1:M1"/>
    </sheetView>
  </sheetViews>
  <sheetFormatPr baseColWidth="10" defaultColWidth="8.83203125" defaultRowHeight="15"/>
  <cols>
    <col min="1" max="1" width="31.33203125" customWidth="1"/>
    <col min="2" max="2" width="17" customWidth="1"/>
    <col min="3" max="4" width="16" customWidth="1"/>
    <col min="5" max="7" width="12" customWidth="1"/>
    <col min="8" max="8" width="14" customWidth="1"/>
    <col min="9" max="9" width="12" customWidth="1"/>
    <col min="10" max="10" width="15" customWidth="1"/>
    <col min="11" max="11" width="8.83203125" customWidth="1"/>
    <col min="12" max="12" width="20" customWidth="1"/>
    <col min="13" max="13" width="18" customWidth="1"/>
  </cols>
  <sheetData>
    <row r="1" spans="1:13" ht="24">
      <c r="A1" s="202" t="s">
        <v>220</v>
      </c>
      <c r="B1" s="203"/>
      <c r="C1" s="203"/>
      <c r="D1" s="203"/>
      <c r="E1" s="203"/>
      <c r="F1" s="203"/>
      <c r="G1" s="203"/>
      <c r="H1" s="203"/>
      <c r="I1" s="203"/>
      <c r="J1" s="203"/>
      <c r="K1" s="203"/>
      <c r="L1" s="203"/>
      <c r="M1" s="203"/>
    </row>
    <row r="3" spans="1:13">
      <c r="A3" s="19" t="s">
        <v>221</v>
      </c>
    </row>
    <row r="5" spans="1:13" ht="18">
      <c r="A5" s="15" t="s">
        <v>222</v>
      </c>
      <c r="B5" s="15" t="s">
        <v>223</v>
      </c>
      <c r="C5" s="15" t="s">
        <v>64</v>
      </c>
      <c r="D5" s="15" t="s">
        <v>224</v>
      </c>
      <c r="E5" s="15" t="s">
        <v>225</v>
      </c>
      <c r="F5" s="15" t="s">
        <v>226</v>
      </c>
      <c r="G5" s="15"/>
      <c r="H5" s="15" t="s">
        <v>227</v>
      </c>
      <c r="I5" s="15" t="s">
        <v>228</v>
      </c>
      <c r="J5" s="15" t="s">
        <v>14</v>
      </c>
      <c r="L5" s="6" t="s">
        <v>229</v>
      </c>
    </row>
    <row r="6" spans="1:13">
      <c r="A6" s="4" t="s">
        <v>230</v>
      </c>
      <c r="B6" s="4" t="s">
        <v>231</v>
      </c>
      <c r="C6" s="28">
        <v>2040000</v>
      </c>
      <c r="D6" s="28">
        <v>732934.8</v>
      </c>
      <c r="E6" s="4">
        <v>5.4399999999999997E-2</v>
      </c>
      <c r="F6" s="4"/>
      <c r="G6" s="4"/>
      <c r="H6" s="4">
        <v>0</v>
      </c>
      <c r="I6" s="4">
        <v>42</v>
      </c>
      <c r="J6" s="4" t="s">
        <v>231</v>
      </c>
      <c r="L6" s="5" t="s">
        <v>232</v>
      </c>
      <c r="M6" s="5">
        <f>SUM(C6:C9)</f>
        <v>4140000</v>
      </c>
    </row>
    <row r="7" spans="1:13">
      <c r="A7" s="4" t="str">
        <f>'Property Expenses (Detail)'!A7</f>
        <v>IP1 - Albany St Crows Nest</v>
      </c>
      <c r="B7" s="4" t="s">
        <v>233</v>
      </c>
      <c r="C7" s="28">
        <v>850000</v>
      </c>
      <c r="D7" s="28">
        <v>473993.29</v>
      </c>
      <c r="E7" s="4">
        <v>5.79E-2</v>
      </c>
      <c r="F7" s="4">
        <v>52</v>
      </c>
      <c r="G7" s="4"/>
      <c r="H7" s="4">
        <f>820*52</f>
        <v>42640</v>
      </c>
      <c r="I7" s="4">
        <v>38</v>
      </c>
      <c r="J7" s="4" t="s">
        <v>234</v>
      </c>
      <c r="L7" s="5" t="s">
        <v>235</v>
      </c>
      <c r="M7" s="5">
        <f>SUM(D6:D9)</f>
        <v>2456928.09</v>
      </c>
    </row>
    <row r="8" spans="1:13">
      <c r="A8" s="4" t="s">
        <v>236</v>
      </c>
      <c r="B8" s="4" t="s">
        <v>233</v>
      </c>
      <c r="C8" s="39">
        <v>600000</v>
      </c>
      <c r="D8" s="39">
        <v>600000</v>
      </c>
      <c r="E8" s="35">
        <v>5.79E-2</v>
      </c>
      <c r="F8" s="35">
        <v>57</v>
      </c>
      <c r="G8" s="35"/>
      <c r="H8" s="35">
        <f>550*52</f>
        <v>28600</v>
      </c>
      <c r="I8" s="35">
        <v>49</v>
      </c>
      <c r="J8" s="4" t="s">
        <v>237</v>
      </c>
      <c r="L8" s="5" t="s">
        <v>57</v>
      </c>
      <c r="M8" s="5">
        <f>M6-M7</f>
        <v>1683071.9100000001</v>
      </c>
    </row>
    <row r="9" spans="1:13">
      <c r="A9" s="4" t="s">
        <v>238</v>
      </c>
      <c r="B9" s="4" t="s">
        <v>233</v>
      </c>
      <c r="C9" s="39">
        <v>650000</v>
      </c>
      <c r="D9" s="39">
        <v>650000</v>
      </c>
      <c r="E9" s="35">
        <v>5.79E-2</v>
      </c>
      <c r="F9" s="35">
        <v>59</v>
      </c>
      <c r="G9" s="35"/>
      <c r="H9" s="35">
        <f>575*52</f>
        <v>29900</v>
      </c>
      <c r="I9" s="35">
        <v>54</v>
      </c>
      <c r="J9" s="4" t="s">
        <v>237</v>
      </c>
    </row>
    <row r="11" spans="1:13" ht="24">
      <c r="A11" s="202" t="s">
        <v>239</v>
      </c>
      <c r="B11" s="203"/>
      <c r="C11" s="203"/>
      <c r="D11" s="203"/>
      <c r="E11" s="203"/>
      <c r="F11" s="203"/>
      <c r="G11" s="203"/>
      <c r="H11" s="203"/>
      <c r="I11" s="203"/>
      <c r="J11" s="203"/>
      <c r="K11" s="203"/>
      <c r="L11" s="203"/>
      <c r="M11" s="203"/>
    </row>
    <row r="12" spans="1:13">
      <c r="A12" s="19" t="s">
        <v>240</v>
      </c>
    </row>
    <row r="13" spans="1:13">
      <c r="A13" s="19" t="s">
        <v>241</v>
      </c>
    </row>
    <row r="14" spans="1:13">
      <c r="A14" s="19" t="s">
        <v>242</v>
      </c>
    </row>
    <row r="15" spans="1:13">
      <c r="A15" s="19"/>
    </row>
    <row r="16" spans="1:13" ht="19">
      <c r="A16" s="41" t="s">
        <v>243</v>
      </c>
    </row>
    <row r="17" spans="1:17">
      <c r="A17" s="19"/>
    </row>
    <row r="18" spans="1:17">
      <c r="A18" s="19"/>
    </row>
    <row r="20" spans="1:17" s="76" customFormat="1" ht="14">
      <c r="C20" s="76">
        <v>2025</v>
      </c>
      <c r="D20" s="76">
        <v>2026</v>
      </c>
      <c r="E20" s="76">
        <v>2027</v>
      </c>
      <c r="F20" s="76">
        <v>2028</v>
      </c>
      <c r="G20" s="76">
        <v>2029</v>
      </c>
      <c r="H20" s="76">
        <v>2030</v>
      </c>
      <c r="I20" s="76">
        <v>2031</v>
      </c>
      <c r="J20" s="76">
        <v>2032</v>
      </c>
      <c r="K20" s="76">
        <v>2033</v>
      </c>
      <c r="L20" s="76">
        <v>2034</v>
      </c>
      <c r="M20" s="76">
        <v>2035</v>
      </c>
      <c r="N20" s="76">
        <v>2036</v>
      </c>
      <c r="O20" s="76">
        <v>2037</v>
      </c>
      <c r="P20" s="76">
        <v>2038</v>
      </c>
      <c r="Q20" s="76">
        <v>2039</v>
      </c>
    </row>
    <row r="21" spans="1:17" s="22" customFormat="1" ht="17">
      <c r="A21" s="15" t="s">
        <v>244</v>
      </c>
      <c r="B21" s="15" t="s">
        <v>245</v>
      </c>
      <c r="C21" s="15" t="s">
        <v>246</v>
      </c>
      <c r="D21" s="15" t="s">
        <v>247</v>
      </c>
      <c r="E21" s="15" t="s">
        <v>248</v>
      </c>
      <c r="F21" s="15" t="s">
        <v>249</v>
      </c>
      <c r="G21" s="15" t="s">
        <v>250</v>
      </c>
      <c r="H21" s="15" t="s">
        <v>251</v>
      </c>
      <c r="I21" s="15" t="s">
        <v>252</v>
      </c>
      <c r="J21" s="15" t="s">
        <v>253</v>
      </c>
      <c r="K21" s="15" t="s">
        <v>254</v>
      </c>
      <c r="L21" s="15" t="s">
        <v>255</v>
      </c>
      <c r="M21" s="15" t="s">
        <v>256</v>
      </c>
      <c r="N21" s="15" t="s">
        <v>257</v>
      </c>
      <c r="O21" s="15" t="s">
        <v>258</v>
      </c>
      <c r="P21" s="15" t="s">
        <v>259</v>
      </c>
      <c r="Q21" s="15" t="s">
        <v>260</v>
      </c>
    </row>
    <row r="22" spans="1:17" s="37" customFormat="1">
      <c r="A22" s="78" t="s">
        <v>261</v>
      </c>
      <c r="B22" s="84">
        <v>7</v>
      </c>
      <c r="C22" s="37">
        <f>110*$B$22</f>
        <v>770</v>
      </c>
      <c r="D22" s="37">
        <f>180.4*$B$22</f>
        <v>1262.8</v>
      </c>
      <c r="E22" s="37">
        <f>270.6*$B$22</f>
        <v>1894.2000000000003</v>
      </c>
      <c r="F22" s="37">
        <f>281.42*$B$22</f>
        <v>1969.94</v>
      </c>
      <c r="G22" s="37">
        <f>292.68*$B$22</f>
        <v>2048.7600000000002</v>
      </c>
      <c r="H22" s="37">
        <f>304.39*$B$22</f>
        <v>2130.73</v>
      </c>
      <c r="I22" s="37">
        <f>441.36*$B$22</f>
        <v>3089.52</v>
      </c>
      <c r="J22" s="37">
        <f>459.02*$B$22</f>
        <v>3213.14</v>
      </c>
      <c r="K22" s="37">
        <f>477.38*$B$22</f>
        <v>3341.66</v>
      </c>
      <c r="L22" s="37">
        <f>496.47*$B$22</f>
        <v>3475.29</v>
      </c>
      <c r="M22" s="37">
        <f>516.33*$B$22</f>
        <v>3614.3100000000004</v>
      </c>
      <c r="N22" s="37">
        <f>536.99*$B$22</f>
        <v>3758.9300000000003</v>
      </c>
      <c r="O22" s="37">
        <f>558.46*$B$22</f>
        <v>3909.2200000000003</v>
      </c>
      <c r="P22" s="37">
        <f>580.8*$B$22</f>
        <v>4065.5999999999995</v>
      </c>
      <c r="Q22" s="37">
        <f>604.04*$B$22</f>
        <v>4228.28</v>
      </c>
    </row>
    <row r="23" spans="1:17">
      <c r="A23" s="43" t="s">
        <v>262</v>
      </c>
    </row>
    <row r="24" spans="1:17">
      <c r="A24" s="43" t="s">
        <v>263</v>
      </c>
    </row>
    <row r="25" spans="1:17">
      <c r="A25" s="43" t="s">
        <v>264</v>
      </c>
    </row>
    <row r="26" spans="1:17">
      <c r="A26" s="43" t="s">
        <v>265</v>
      </c>
    </row>
  </sheetData>
  <mergeCells count="2">
    <mergeCell ref="A1:M1"/>
    <mergeCell ref="A11:M11"/>
  </mergeCells>
  <pageMargins left="0.7" right="0.7" top="0.75" bottom="0.75" header="0.3" footer="0.3"/>
  <drawing r:id="rId1"/>
  <extLst>
    <x:ext xmlns:x="http://schemas.openxmlformats.org/spreadsheetml/2006/main" uri="{B025F937-C7B1-47D3-B67F-A62EFF666E3E}">
      <xltc:threadedComments xmlns:xltc="http://schemas.microsoft.com/office/spreadsheetml/2018/threadedcomments" r:id="R83dbf45cebd44d22"/>
    </x: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4:N42"/>
  <sheetViews>
    <sheetView workbookViewId="0"/>
  </sheetViews>
  <sheetFormatPr baseColWidth="10" defaultRowHeight="15"/>
  <cols>
    <col min="2" max="2" width="12.33203125" customWidth="1"/>
    <col min="3" max="3" width="14" customWidth="1"/>
    <col min="4" max="4" width="17.6640625" customWidth="1"/>
    <col min="5" max="5" width="14.33203125" customWidth="1"/>
    <col min="6" max="6" width="16.83203125" customWidth="1"/>
    <col min="7" max="7" width="14.33203125" customWidth="1"/>
    <col min="8" max="9" width="16.5" customWidth="1"/>
    <col min="10" max="10" width="3.83203125" customWidth="1"/>
    <col min="11" max="11" width="11.6640625" customWidth="1"/>
  </cols>
  <sheetData>
    <row r="4" spans="2:14">
      <c r="D4" s="151" t="s">
        <v>266</v>
      </c>
    </row>
    <row r="5" spans="2:14">
      <c r="D5" s="151"/>
      <c r="F5" t="s">
        <v>245</v>
      </c>
    </row>
    <row r="6" spans="2:14">
      <c r="D6" s="151" t="s">
        <v>267</v>
      </c>
      <c r="F6" s="152">
        <v>7</v>
      </c>
    </row>
    <row r="7" spans="2:14" ht="16">
      <c r="B7" s="117"/>
      <c r="C7" s="117"/>
      <c r="D7" s="117"/>
    </row>
    <row r="8" spans="2:14" s="159" customFormat="1" ht="14">
      <c r="B8" s="158" t="s">
        <v>268</v>
      </c>
      <c r="C8" s="158" t="s">
        <v>269</v>
      </c>
      <c r="D8" s="204" t="s">
        <v>270</v>
      </c>
      <c r="E8" s="204"/>
      <c r="F8" s="205" t="s">
        <v>271</v>
      </c>
      <c r="G8" s="205"/>
      <c r="H8" s="205" t="s">
        <v>272</v>
      </c>
      <c r="I8" s="205"/>
      <c r="K8" s="159" t="s">
        <v>273</v>
      </c>
    </row>
    <row r="9" spans="2:14" ht="16">
      <c r="B9" s="117" t="s">
        <v>274</v>
      </c>
      <c r="C9" s="117" t="s">
        <v>274</v>
      </c>
      <c r="D9" s="117" t="s">
        <v>275</v>
      </c>
      <c r="E9" s="117" t="s">
        <v>276</v>
      </c>
      <c r="F9" s="117" t="s">
        <v>275</v>
      </c>
      <c r="G9" s="117" t="s">
        <v>276</v>
      </c>
      <c r="H9" s="117" t="s">
        <v>275</v>
      </c>
      <c r="I9" s="117" t="s">
        <v>277</v>
      </c>
    </row>
    <row r="10" spans="2:14" ht="16">
      <c r="B10" s="117" t="s">
        <v>278</v>
      </c>
      <c r="C10" s="117" t="s">
        <v>279</v>
      </c>
      <c r="D10" s="156">
        <v>11000</v>
      </c>
      <c r="E10" s="153">
        <f>D10/11</f>
        <v>1000</v>
      </c>
      <c r="F10" s="153">
        <f>D10/100</f>
        <v>110</v>
      </c>
      <c r="G10" s="153">
        <f>F10/11</f>
        <v>10</v>
      </c>
      <c r="H10" s="153">
        <f>F10/4</f>
        <v>27.5</v>
      </c>
      <c r="I10" s="153">
        <f>H10/11</f>
        <v>2.5</v>
      </c>
      <c r="K10" s="157">
        <f>($F$6/100)*D10</f>
        <v>770.00000000000011</v>
      </c>
      <c r="N10" s="155"/>
    </row>
    <row r="11" spans="2:14" ht="16">
      <c r="B11" s="117" t="s">
        <v>280</v>
      </c>
      <c r="C11" s="117" t="s">
        <v>281</v>
      </c>
      <c r="D11" s="156">
        <v>18040</v>
      </c>
      <c r="E11" s="153">
        <f t="shared" ref="E11:E24" si="0">D11/11</f>
        <v>1640</v>
      </c>
      <c r="F11" s="153">
        <f t="shared" ref="F11:F24" si="1">D11/100</f>
        <v>180.4</v>
      </c>
      <c r="G11" s="153">
        <f t="shared" ref="G11:G24" si="2">F11/11</f>
        <v>16.400000000000002</v>
      </c>
      <c r="H11" s="153">
        <f t="shared" ref="H11:H24" si="3">F11/4</f>
        <v>45.1</v>
      </c>
      <c r="I11" s="153">
        <f t="shared" ref="I11:I24" si="4">H11/11</f>
        <v>4.1000000000000005</v>
      </c>
      <c r="K11" s="157">
        <f t="shared" ref="K11:K24" si="5">($F$6/100)*D11</f>
        <v>1262.8000000000002</v>
      </c>
      <c r="N11" s="154"/>
    </row>
    <row r="12" spans="2:14" ht="16">
      <c r="B12" s="117" t="s">
        <v>282</v>
      </c>
      <c r="C12" s="117" t="s">
        <v>283</v>
      </c>
      <c r="D12" s="156">
        <v>27060</v>
      </c>
      <c r="E12" s="153">
        <f t="shared" si="0"/>
        <v>2460</v>
      </c>
      <c r="F12" s="153">
        <f t="shared" si="1"/>
        <v>270.60000000000002</v>
      </c>
      <c r="G12" s="153">
        <f t="shared" si="2"/>
        <v>24.6</v>
      </c>
      <c r="H12" s="153">
        <f t="shared" si="3"/>
        <v>67.650000000000006</v>
      </c>
      <c r="I12" s="153">
        <f t="shared" si="4"/>
        <v>6.15</v>
      </c>
      <c r="K12" s="157">
        <f t="shared" si="5"/>
        <v>1894.2000000000003</v>
      </c>
      <c r="N12" s="154"/>
    </row>
    <row r="13" spans="2:14" ht="16">
      <c r="B13" s="117" t="s">
        <v>284</v>
      </c>
      <c r="C13" s="117" t="s">
        <v>285</v>
      </c>
      <c r="D13" s="156">
        <v>28142.400000000001</v>
      </c>
      <c r="E13" s="153">
        <f t="shared" si="0"/>
        <v>2558.4</v>
      </c>
      <c r="F13" s="153">
        <f t="shared" si="1"/>
        <v>281.42400000000004</v>
      </c>
      <c r="G13" s="153">
        <f t="shared" si="2"/>
        <v>25.584000000000003</v>
      </c>
      <c r="H13" s="153">
        <f t="shared" si="3"/>
        <v>70.356000000000009</v>
      </c>
      <c r="I13" s="153">
        <f t="shared" si="4"/>
        <v>6.3960000000000008</v>
      </c>
      <c r="K13" s="157">
        <f t="shared" si="5"/>
        <v>1969.9680000000003</v>
      </c>
      <c r="N13" s="154"/>
    </row>
    <row r="14" spans="2:14" ht="16">
      <c r="B14" s="117" t="s">
        <v>286</v>
      </c>
      <c r="C14" s="117" t="s">
        <v>287</v>
      </c>
      <c r="D14" s="156">
        <v>29268.1</v>
      </c>
      <c r="E14" s="153">
        <f t="shared" si="0"/>
        <v>2660.7363636363634</v>
      </c>
      <c r="F14" s="153">
        <f t="shared" si="1"/>
        <v>292.68099999999998</v>
      </c>
      <c r="G14" s="153">
        <f t="shared" si="2"/>
        <v>26.607363636363633</v>
      </c>
      <c r="H14" s="153">
        <f t="shared" si="3"/>
        <v>73.170249999999996</v>
      </c>
      <c r="I14" s="153">
        <f t="shared" si="4"/>
        <v>6.6518409090909083</v>
      </c>
      <c r="K14" s="157">
        <f t="shared" si="5"/>
        <v>2048.7670000000003</v>
      </c>
      <c r="N14" s="154"/>
    </row>
    <row r="15" spans="2:14" ht="16">
      <c r="B15" s="117" t="s">
        <v>288</v>
      </c>
      <c r="C15" s="117" t="s">
        <v>289</v>
      </c>
      <c r="D15" s="156">
        <v>30438.82</v>
      </c>
      <c r="E15" s="153">
        <f t="shared" si="0"/>
        <v>2767.1654545454544</v>
      </c>
      <c r="F15" s="153">
        <f t="shared" si="1"/>
        <v>304.38819999999998</v>
      </c>
      <c r="G15" s="153">
        <f t="shared" si="2"/>
        <v>27.671654545454544</v>
      </c>
      <c r="H15" s="153">
        <f t="shared" si="3"/>
        <v>76.097049999999996</v>
      </c>
      <c r="I15" s="153">
        <f t="shared" si="4"/>
        <v>6.917913636363636</v>
      </c>
      <c r="K15" s="157">
        <f t="shared" si="5"/>
        <v>2130.7174</v>
      </c>
      <c r="N15" s="154"/>
    </row>
    <row r="16" spans="2:14" ht="16">
      <c r="B16" s="117" t="s">
        <v>290</v>
      </c>
      <c r="C16" s="117" t="s">
        <v>291</v>
      </c>
      <c r="D16" s="156">
        <v>44136.28</v>
      </c>
      <c r="E16" s="153">
        <f t="shared" si="0"/>
        <v>4012.389090909091</v>
      </c>
      <c r="F16" s="153">
        <f t="shared" si="1"/>
        <v>441.36279999999999</v>
      </c>
      <c r="G16" s="153">
        <f t="shared" si="2"/>
        <v>40.12389090909091</v>
      </c>
      <c r="H16" s="153">
        <f t="shared" si="3"/>
        <v>110.3407</v>
      </c>
      <c r="I16" s="153">
        <f t="shared" si="4"/>
        <v>10.030972727272728</v>
      </c>
      <c r="K16" s="157">
        <f t="shared" si="5"/>
        <v>3089.5396000000001</v>
      </c>
      <c r="N16" s="154"/>
    </row>
    <row r="17" spans="2:14" ht="16">
      <c r="B17" s="117" t="s">
        <v>292</v>
      </c>
      <c r="C17" s="117" t="s">
        <v>293</v>
      </c>
      <c r="D17" s="156">
        <v>45901.74</v>
      </c>
      <c r="E17" s="153">
        <f t="shared" si="0"/>
        <v>4172.8854545454542</v>
      </c>
      <c r="F17" s="153">
        <f t="shared" si="1"/>
        <v>459.01739999999995</v>
      </c>
      <c r="G17" s="153">
        <f t="shared" si="2"/>
        <v>41.728854545454539</v>
      </c>
      <c r="H17" s="153">
        <f t="shared" si="3"/>
        <v>114.75434999999999</v>
      </c>
      <c r="I17" s="153">
        <f t="shared" si="4"/>
        <v>10.432213636363635</v>
      </c>
      <c r="K17" s="157">
        <f t="shared" si="5"/>
        <v>3213.1218000000003</v>
      </c>
      <c r="N17" s="154"/>
    </row>
    <row r="18" spans="2:14" ht="16">
      <c r="B18" s="117" t="s">
        <v>294</v>
      </c>
      <c r="C18" s="117" t="s">
        <v>295</v>
      </c>
      <c r="D18" s="156">
        <v>47737.8</v>
      </c>
      <c r="E18" s="153">
        <f t="shared" si="0"/>
        <v>4339.8</v>
      </c>
      <c r="F18" s="153">
        <f t="shared" si="1"/>
        <v>477.37800000000004</v>
      </c>
      <c r="G18" s="153">
        <f t="shared" si="2"/>
        <v>43.398000000000003</v>
      </c>
      <c r="H18" s="153">
        <f t="shared" si="3"/>
        <v>119.34450000000001</v>
      </c>
      <c r="I18" s="153">
        <f t="shared" si="4"/>
        <v>10.849500000000001</v>
      </c>
      <c r="K18" s="157">
        <f t="shared" si="5"/>
        <v>3341.6460000000006</v>
      </c>
      <c r="N18" s="154"/>
    </row>
    <row r="19" spans="2:14" ht="16">
      <c r="B19" s="117" t="s">
        <v>296</v>
      </c>
      <c r="C19" s="117" t="s">
        <v>297</v>
      </c>
      <c r="D19" s="156">
        <v>49647.31</v>
      </c>
      <c r="E19" s="153">
        <f t="shared" si="0"/>
        <v>4513.3918181818181</v>
      </c>
      <c r="F19" s="153">
        <f t="shared" si="1"/>
        <v>496.47309999999999</v>
      </c>
      <c r="G19" s="153">
        <f t="shared" si="2"/>
        <v>45.133918181818181</v>
      </c>
      <c r="H19" s="153">
        <f t="shared" si="3"/>
        <v>124.118275</v>
      </c>
      <c r="I19" s="153">
        <f t="shared" si="4"/>
        <v>11.283479545454545</v>
      </c>
      <c r="K19" s="157">
        <f t="shared" si="5"/>
        <v>3475.3117000000002</v>
      </c>
      <c r="N19" s="154"/>
    </row>
    <row r="20" spans="2:14" ht="16">
      <c r="B20" s="117" t="s">
        <v>298</v>
      </c>
      <c r="C20" s="117" t="s">
        <v>299</v>
      </c>
      <c r="D20" s="156">
        <v>51633.21</v>
      </c>
      <c r="E20" s="153">
        <f t="shared" si="0"/>
        <v>4693.9281818181817</v>
      </c>
      <c r="F20" s="153">
        <f t="shared" si="1"/>
        <v>516.33209999999997</v>
      </c>
      <c r="G20" s="153">
        <f t="shared" si="2"/>
        <v>46.939281818181819</v>
      </c>
      <c r="H20" s="153">
        <f t="shared" si="3"/>
        <v>129.08302499999999</v>
      </c>
      <c r="I20" s="153">
        <f t="shared" si="4"/>
        <v>11.734820454545455</v>
      </c>
      <c r="K20" s="157">
        <f t="shared" si="5"/>
        <v>3614.3247000000001</v>
      </c>
      <c r="N20" s="154"/>
    </row>
    <row r="21" spans="2:14" ht="16">
      <c r="B21" s="117" t="s">
        <v>300</v>
      </c>
      <c r="C21" s="117" t="s">
        <v>301</v>
      </c>
      <c r="D21" s="156">
        <v>53698.54</v>
      </c>
      <c r="E21" s="153">
        <f t="shared" si="0"/>
        <v>4881.6854545454544</v>
      </c>
      <c r="F21" s="153">
        <f t="shared" si="1"/>
        <v>536.98540000000003</v>
      </c>
      <c r="G21" s="153">
        <f t="shared" si="2"/>
        <v>48.816854545454547</v>
      </c>
      <c r="H21" s="153">
        <f t="shared" si="3"/>
        <v>134.24635000000001</v>
      </c>
      <c r="I21" s="153">
        <f t="shared" si="4"/>
        <v>12.204213636363637</v>
      </c>
      <c r="K21" s="157">
        <f t="shared" si="5"/>
        <v>3758.8978000000006</v>
      </c>
      <c r="N21" s="154"/>
    </row>
    <row r="22" spans="2:14" ht="16">
      <c r="B22" s="117" t="s">
        <v>302</v>
      </c>
      <c r="C22" s="117" t="s">
        <v>303</v>
      </c>
      <c r="D22" s="156">
        <v>55846.47</v>
      </c>
      <c r="E22" s="153">
        <f t="shared" si="0"/>
        <v>5076.9518181818185</v>
      </c>
      <c r="F22" s="153">
        <f t="shared" si="1"/>
        <v>558.46469999999999</v>
      </c>
      <c r="G22" s="153">
        <f t="shared" si="2"/>
        <v>50.769518181818178</v>
      </c>
      <c r="H22" s="153">
        <f t="shared" si="3"/>
        <v>139.616175</v>
      </c>
      <c r="I22" s="153">
        <f t="shared" si="4"/>
        <v>12.692379545454544</v>
      </c>
      <c r="K22" s="157">
        <f t="shared" si="5"/>
        <v>3909.2529000000004</v>
      </c>
      <c r="N22" s="154"/>
    </row>
    <row r="23" spans="2:14" ht="16">
      <c r="B23" s="117" t="s">
        <v>304</v>
      </c>
      <c r="C23" s="117" t="s">
        <v>305</v>
      </c>
      <c r="D23" s="156">
        <v>58080.33</v>
      </c>
      <c r="E23" s="153">
        <f t="shared" si="0"/>
        <v>5280.03</v>
      </c>
      <c r="F23" s="153">
        <f t="shared" si="1"/>
        <v>580.80330000000004</v>
      </c>
      <c r="G23" s="153">
        <f t="shared" si="2"/>
        <v>52.8003</v>
      </c>
      <c r="H23" s="153">
        <f t="shared" si="3"/>
        <v>145.20082500000001</v>
      </c>
      <c r="I23" s="153">
        <f t="shared" si="4"/>
        <v>13.200075</v>
      </c>
      <c r="K23" s="157">
        <f t="shared" si="5"/>
        <v>4065.6231000000007</v>
      </c>
      <c r="N23" s="154"/>
    </row>
    <row r="24" spans="2:14" ht="16">
      <c r="B24" s="117" t="s">
        <v>306</v>
      </c>
      <c r="C24" s="117" t="s">
        <v>307</v>
      </c>
      <c r="D24" s="156">
        <v>60403.54</v>
      </c>
      <c r="E24" s="153">
        <f t="shared" si="0"/>
        <v>5491.2309090909093</v>
      </c>
      <c r="F24" s="153">
        <f t="shared" si="1"/>
        <v>604.03539999999998</v>
      </c>
      <c r="G24" s="153">
        <f t="shared" si="2"/>
        <v>54.912309090909091</v>
      </c>
      <c r="H24" s="153">
        <f t="shared" si="3"/>
        <v>151.00885</v>
      </c>
      <c r="I24" s="153">
        <f t="shared" si="4"/>
        <v>13.728077272727273</v>
      </c>
      <c r="K24" s="157">
        <f t="shared" si="5"/>
        <v>4228.2478000000001</v>
      </c>
      <c r="N24" s="154"/>
    </row>
    <row r="32" spans="2:14">
      <c r="E32" s="154"/>
    </row>
    <row r="33" spans="5:5">
      <c r="E33" s="154"/>
    </row>
    <row r="34" spans="5:5">
      <c r="E34" s="154"/>
    </row>
    <row r="35" spans="5:5">
      <c r="E35" s="154"/>
    </row>
    <row r="36" spans="5:5">
      <c r="E36" s="154"/>
    </row>
    <row r="37" spans="5:5">
      <c r="E37" s="154"/>
    </row>
    <row r="38" spans="5:5">
      <c r="E38" s="154"/>
    </row>
    <row r="39" spans="5:5">
      <c r="E39" s="154"/>
    </row>
    <row r="40" spans="5:5">
      <c r="E40" s="154"/>
    </row>
    <row r="41" spans="5:5">
      <c r="E41" s="154"/>
    </row>
    <row r="42" spans="5:5">
      <c r="E42" s="154"/>
    </row>
  </sheetData>
  <mergeCells count="3">
    <mergeCell ref="D8:E8"/>
    <mergeCell ref="F8:G8"/>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191"/>
  <sheetViews>
    <sheetView workbookViewId="0"/>
  </sheetViews>
  <sheetFormatPr baseColWidth="10" defaultRowHeight="15"/>
  <cols>
    <col min="1" max="1" width="41.5" style="22" customWidth="1"/>
    <col min="2" max="2" width="8.5" style="22" customWidth="1"/>
    <col min="3" max="3" width="10" style="22" customWidth="1"/>
    <col min="4" max="4" width="13.1640625" style="22" customWidth="1"/>
    <col min="5" max="10" width="12.1640625" style="22" customWidth="1"/>
    <col min="11" max="11" width="13.1640625" style="22" customWidth="1"/>
    <col min="12" max="22" width="12.1640625" style="22" customWidth="1"/>
    <col min="23" max="52" width="13.1640625" style="22" customWidth="1"/>
    <col min="53" max="16384" width="10.83203125" style="22"/>
  </cols>
  <sheetData>
    <row r="1" spans="1:52" ht="24">
      <c r="A1" s="7" t="s">
        <v>220</v>
      </c>
    </row>
    <row r="3" spans="1:52">
      <c r="A3" s="19" t="s">
        <v>308</v>
      </c>
    </row>
    <row r="4" spans="1:52" s="76" customFormat="1" ht="14">
      <c r="B4" s="76" t="s">
        <v>309</v>
      </c>
      <c r="C4" s="76">
        <v>2026</v>
      </c>
      <c r="D4" s="76">
        <v>2027</v>
      </c>
      <c r="E4" s="76">
        <v>2028</v>
      </c>
      <c r="F4" s="76">
        <v>2029</v>
      </c>
      <c r="G4" s="76">
        <v>2030</v>
      </c>
      <c r="H4" s="76">
        <v>2031</v>
      </c>
      <c r="I4" s="76">
        <v>2032</v>
      </c>
      <c r="J4" s="76">
        <v>2033</v>
      </c>
      <c r="K4" s="76">
        <v>2034</v>
      </c>
      <c r="L4" s="76">
        <v>2035</v>
      </c>
      <c r="M4" s="76">
        <v>2036</v>
      </c>
      <c r="N4" s="76">
        <v>2037</v>
      </c>
      <c r="O4" s="76">
        <v>2038</v>
      </c>
      <c r="P4" s="76">
        <v>2039</v>
      </c>
      <c r="Q4" s="76">
        <v>2040</v>
      </c>
      <c r="R4" s="76">
        <v>2041</v>
      </c>
      <c r="S4" s="76">
        <v>2042</v>
      </c>
      <c r="T4" s="76">
        <v>2043</v>
      </c>
    </row>
    <row r="5" spans="1:52" ht="17">
      <c r="A5" s="15" t="s">
        <v>310</v>
      </c>
      <c r="B5" s="15"/>
      <c r="C5" s="15">
        <v>1</v>
      </c>
      <c r="D5" s="15">
        <v>2</v>
      </c>
      <c r="E5" s="15">
        <v>3</v>
      </c>
      <c r="F5" s="15">
        <v>4</v>
      </c>
      <c r="G5" s="15">
        <v>5</v>
      </c>
      <c r="H5" s="15">
        <v>6</v>
      </c>
      <c r="I5" s="15">
        <v>7</v>
      </c>
      <c r="J5" s="15">
        <v>8</v>
      </c>
      <c r="K5" s="15">
        <v>9</v>
      </c>
      <c r="L5" s="15">
        <v>10</v>
      </c>
      <c r="M5" s="15">
        <v>11</v>
      </c>
      <c r="N5" s="15">
        <v>12</v>
      </c>
      <c r="O5" s="15">
        <v>13</v>
      </c>
      <c r="P5" s="15">
        <v>14</v>
      </c>
      <c r="Q5" s="15">
        <v>15</v>
      </c>
      <c r="R5" s="15">
        <v>16</v>
      </c>
      <c r="S5" s="15">
        <v>17</v>
      </c>
      <c r="T5" s="15">
        <v>18</v>
      </c>
      <c r="U5" s="15">
        <v>19</v>
      </c>
      <c r="V5" s="15">
        <v>20</v>
      </c>
      <c r="W5" s="15">
        <v>21</v>
      </c>
      <c r="X5" s="15">
        <v>22</v>
      </c>
      <c r="Y5" s="15">
        <v>23</v>
      </c>
      <c r="Z5" s="15">
        <v>24</v>
      </c>
      <c r="AA5" s="15">
        <v>25</v>
      </c>
      <c r="AB5" s="15">
        <v>26</v>
      </c>
      <c r="AC5" s="15">
        <v>27</v>
      </c>
      <c r="AD5" s="15">
        <v>28</v>
      </c>
      <c r="AE5" s="15">
        <v>29</v>
      </c>
      <c r="AF5" s="15">
        <v>30</v>
      </c>
      <c r="AG5" s="15">
        <v>31</v>
      </c>
      <c r="AH5" s="15">
        <v>32</v>
      </c>
      <c r="AI5" s="15">
        <v>33</v>
      </c>
      <c r="AJ5" s="15">
        <v>34</v>
      </c>
      <c r="AK5" s="15">
        <v>35</v>
      </c>
      <c r="AL5" s="15">
        <v>36</v>
      </c>
      <c r="AM5" s="15">
        <v>37</v>
      </c>
      <c r="AN5" s="15">
        <v>38</v>
      </c>
      <c r="AO5" s="15">
        <v>39</v>
      </c>
      <c r="AP5" s="15">
        <v>40</v>
      </c>
      <c r="AQ5" s="15">
        <v>41</v>
      </c>
      <c r="AR5" s="15">
        <v>42</v>
      </c>
      <c r="AS5" s="15">
        <v>43</v>
      </c>
      <c r="AT5" s="15">
        <v>44</v>
      </c>
      <c r="AU5" s="15">
        <v>45</v>
      </c>
      <c r="AV5" s="15">
        <v>46</v>
      </c>
      <c r="AW5" s="15">
        <v>47</v>
      </c>
      <c r="AX5" s="15">
        <v>48</v>
      </c>
      <c r="AY5" s="15">
        <v>49</v>
      </c>
      <c r="AZ5" s="15">
        <v>50</v>
      </c>
    </row>
    <row r="6" spans="1:52">
      <c r="A6" s="77" t="str">
        <f>Properties!A6</f>
        <v>PPOR - Arnold St Parkside</v>
      </c>
    </row>
    <row r="7" spans="1:52">
      <c r="A7" s="77"/>
    </row>
    <row r="8" spans="1:52">
      <c r="A8" s="77" t="s">
        <v>311</v>
      </c>
    </row>
    <row r="9" spans="1:52" s="37" customFormat="1">
      <c r="A9" s="85" t="s">
        <v>312</v>
      </c>
      <c r="B9" s="88">
        <v>0</v>
      </c>
      <c r="C9" s="88">
        <v>0</v>
      </c>
      <c r="D9" s="37">
        <f>C9 * (1 + Scenarios!$K$13)</f>
        <v>0</v>
      </c>
      <c r="E9" s="37">
        <f>D9 * (1 + Scenarios!$K$13)</f>
        <v>0</v>
      </c>
      <c r="F9" s="37">
        <f>E9 * (1 + Scenarios!$K$13)</f>
        <v>0</v>
      </c>
      <c r="G9" s="37">
        <f>F9 * (1 + Scenarios!$K$13)</f>
        <v>0</v>
      </c>
      <c r="H9" s="37">
        <f>G9 * (1 + Scenarios!$K$13)</f>
        <v>0</v>
      </c>
      <c r="I9" s="37">
        <f>H9 * (1 + Scenarios!$K$13)</f>
        <v>0</v>
      </c>
      <c r="J9" s="37">
        <f>I9 * (1 + Scenarios!$K$13)</f>
        <v>0</v>
      </c>
      <c r="K9" s="37">
        <f>J9 * (1 + Scenarios!$K$13)</f>
        <v>0</v>
      </c>
      <c r="L9" s="37">
        <f>K9 * (1 + Scenarios!$K$13)</f>
        <v>0</v>
      </c>
      <c r="M9" s="37">
        <f>L9 * (1 + Scenarios!$K$13)</f>
        <v>0</v>
      </c>
      <c r="N9" s="37">
        <f>M9 * (1 + Scenarios!$K$13)</f>
        <v>0</v>
      </c>
      <c r="O9" s="37">
        <f>N9 * (1 + Scenarios!$K$13)</f>
        <v>0</v>
      </c>
      <c r="P9" s="37">
        <f>O9 * (1 + Scenarios!$K$13)</f>
        <v>0</v>
      </c>
      <c r="Q9" s="37">
        <f>P9 * (1 + Scenarios!$K$13)</f>
        <v>0</v>
      </c>
      <c r="R9" s="37">
        <f>Q9 * (1 + Scenarios!$K$13)</f>
        <v>0</v>
      </c>
      <c r="S9" s="37">
        <f>R9 * (1 + Scenarios!$K$13)</f>
        <v>0</v>
      </c>
      <c r="T9" s="37">
        <f>S9 * (1 + Scenarios!$K$13)</f>
        <v>0</v>
      </c>
      <c r="U9" s="37">
        <f>T9 * (1 + Scenarios!$K$13)</f>
        <v>0</v>
      </c>
      <c r="V9" s="37">
        <f>U9 * (1 + Scenarios!$K$13)</f>
        <v>0</v>
      </c>
      <c r="W9" s="37">
        <f>V9 * (1 + Scenarios!$K$13)</f>
        <v>0</v>
      </c>
      <c r="X9" s="37">
        <f>W9 * (1 + Scenarios!$K$13)</f>
        <v>0</v>
      </c>
      <c r="Y9" s="37">
        <f>X9 * (1 + Scenarios!$K$13)</f>
        <v>0</v>
      </c>
      <c r="Z9" s="37">
        <f>Y9 * (1 + Scenarios!$K$13)</f>
        <v>0</v>
      </c>
      <c r="AA9" s="37">
        <f>Z9 * (1 + Scenarios!$K$13)</f>
        <v>0</v>
      </c>
      <c r="AB9" s="37">
        <f>AA9 * (1 + Scenarios!$K$13)</f>
        <v>0</v>
      </c>
      <c r="AC9" s="37">
        <f>AB9 * (1 + Scenarios!$K$13)</f>
        <v>0</v>
      </c>
      <c r="AD9" s="37">
        <f>AC9 * (1 + Scenarios!$K$13)</f>
        <v>0</v>
      </c>
      <c r="AE9" s="37">
        <f>AD9 * (1 + Scenarios!$K$13)</f>
        <v>0</v>
      </c>
      <c r="AF9" s="37">
        <f>AE9 * (1 + Scenarios!$K$13)</f>
        <v>0</v>
      </c>
      <c r="AG9" s="37">
        <f>AF9 * (1 + Scenarios!$K$13)</f>
        <v>0</v>
      </c>
      <c r="AH9" s="37">
        <f>AG9 * (1 + Scenarios!$K$13)</f>
        <v>0</v>
      </c>
      <c r="AI9" s="37">
        <f>AH9 * (1 + Scenarios!$K$13)</f>
        <v>0</v>
      </c>
      <c r="AJ9" s="37">
        <f>AI9 * (1 + Scenarios!$K$13)</f>
        <v>0</v>
      </c>
      <c r="AK9" s="37">
        <f>AJ9 * (1 + Scenarios!$K$13)</f>
        <v>0</v>
      </c>
      <c r="AL9" s="37">
        <f>AK9 * (1 + Scenarios!$K$13)</f>
        <v>0</v>
      </c>
      <c r="AM9" s="37">
        <f>AL9 * (1 + Scenarios!$K$13)</f>
        <v>0</v>
      </c>
      <c r="AN9" s="37">
        <f>AM9 * (1 + Scenarios!$K$13)</f>
        <v>0</v>
      </c>
      <c r="AO9" s="37">
        <f>AN9 * (1 + Scenarios!$K$13)</f>
        <v>0</v>
      </c>
      <c r="AP9" s="37">
        <f>AO9 * (1 + Scenarios!$K$13)</f>
        <v>0</v>
      </c>
      <c r="AQ9" s="37">
        <f>AP9 * (1 + Scenarios!$K$13)</f>
        <v>0</v>
      </c>
      <c r="AR9" s="37">
        <f>AQ9 * (1 + Scenarios!$K$13)</f>
        <v>0</v>
      </c>
      <c r="AS9" s="37">
        <f>AR9 * (1 + Scenarios!$K$13)</f>
        <v>0</v>
      </c>
      <c r="AT9" s="37">
        <f>AS9 * (1 + Scenarios!$K$13)</f>
        <v>0</v>
      </c>
      <c r="AU9" s="37">
        <f>AT9 * (1 + Scenarios!$K$13)</f>
        <v>0</v>
      </c>
      <c r="AV9" s="37">
        <f>AU9 * (1 + Scenarios!$K$13)</f>
        <v>0</v>
      </c>
      <c r="AW9" s="37">
        <f>AV9 * (1 + Scenarios!$K$13)</f>
        <v>0</v>
      </c>
      <c r="AX9" s="37">
        <f>AW9 * (1 + Scenarios!$K$13)</f>
        <v>0</v>
      </c>
      <c r="AY9" s="37">
        <f>AX9 * (1 + Scenarios!$K$13)</f>
        <v>0</v>
      </c>
      <c r="AZ9" s="37">
        <f>AY9 * (1 + Scenarios!$K$13)</f>
        <v>0</v>
      </c>
    </row>
    <row r="10" spans="1:52" s="37" customFormat="1">
      <c r="A10" s="77" t="s">
        <v>313</v>
      </c>
    </row>
    <row r="11" spans="1:52" s="37" customFormat="1">
      <c r="A11" s="78" t="s">
        <v>314</v>
      </c>
      <c r="B11" s="88">
        <f>2700.5*1+Scenarios!$K$10</f>
        <v>2700.5250000000001</v>
      </c>
      <c r="C11" s="88">
        <f>2700.5*1+Scenarios!$K$10</f>
        <v>2700.5250000000001</v>
      </c>
      <c r="D11" s="37">
        <f>C11 * (1 + Scenarios!$K$10)</f>
        <v>2768.038125</v>
      </c>
      <c r="E11" s="37">
        <f>D11 * (1 + Scenarios!$K$10)</f>
        <v>2837.2390781249997</v>
      </c>
      <c r="F11" s="37">
        <f>E11 * (1 + Scenarios!$K$10)</f>
        <v>2908.1700550781243</v>
      </c>
      <c r="G11" s="37">
        <f>F11 * (1 + Scenarios!$K$10)</f>
        <v>2980.8743064550772</v>
      </c>
      <c r="H11" s="37">
        <f>G11 * (1 + Scenarios!$K$10)</f>
        <v>3055.3961641164537</v>
      </c>
      <c r="I11" s="37">
        <f>H11 * (1 + Scenarios!$K$10)</f>
        <v>3131.7810682193649</v>
      </c>
      <c r="J11" s="37">
        <f>I11 * (1 + Scenarios!$K$10)</f>
        <v>3210.0755949248487</v>
      </c>
      <c r="K11" s="37">
        <f>J11 * (1 + Scenarios!$K$10)</f>
        <v>3290.3274847979696</v>
      </c>
      <c r="L11" s="37">
        <f>K11 * (1 + Scenarios!$K$10)</f>
        <v>3372.5856719179187</v>
      </c>
      <c r="M11" s="37">
        <f>L11 * (1 + Scenarios!$K$10)</f>
        <v>3456.9003137158666</v>
      </c>
      <c r="N11" s="37">
        <f>M11 * (1 + Scenarios!$K$10)</f>
        <v>3543.3228215587628</v>
      </c>
      <c r="O11" s="37">
        <f>N11 * (1 + Scenarios!$K$10)</f>
        <v>3631.9058920977318</v>
      </c>
      <c r="P11" s="37">
        <f>O11 * (1 + Scenarios!$K$10)</f>
        <v>3722.7035394001746</v>
      </c>
      <c r="Q11" s="37">
        <f>P11 * (1 + Scenarios!$K$10)</f>
        <v>3815.7711278851784</v>
      </c>
      <c r="R11" s="37">
        <f>Q11 * (1 + Scenarios!$K$10)</f>
        <v>3911.1654060823075</v>
      </c>
      <c r="S11" s="37">
        <f>R11 * (1 + Scenarios!$K$10)</f>
        <v>4008.9445412343648</v>
      </c>
      <c r="T11" s="37">
        <f>S11 * (1 + Scenarios!$K$10)</f>
        <v>4109.1681547652233</v>
      </c>
      <c r="U11" s="37">
        <f>T11 * (1 + Scenarios!$K$10)</f>
        <v>4211.8973586343536</v>
      </c>
      <c r="V11" s="37">
        <f>U11 * (1 + Scenarios!$K$10)</f>
        <v>4317.1947926002122</v>
      </c>
      <c r="W11" s="37">
        <f>V11 * (1 + Scenarios!$K$10)</f>
        <v>4425.1246624152172</v>
      </c>
      <c r="X11" s="37">
        <f>W11 * (1 + Scenarios!$K$10)</f>
        <v>4535.7527789755977</v>
      </c>
      <c r="Y11" s="37">
        <f>X11 * (1 + Scenarios!$K$10)</f>
        <v>4649.1465984499873</v>
      </c>
      <c r="Z11" s="37">
        <f>Y11 * (1 + Scenarios!$K$10)</f>
        <v>4765.375263411237</v>
      </c>
      <c r="AA11" s="37">
        <f>Z11 * (1 + Scenarios!$K$10)</f>
        <v>4884.5096449965176</v>
      </c>
      <c r="AB11" s="37">
        <f>AA11 * (1 + Scenarios!$K$10)</f>
        <v>5006.6223861214303</v>
      </c>
      <c r="AC11" s="37">
        <f>AB11 * (1 + Scenarios!$K$10)</f>
        <v>5131.7879457744657</v>
      </c>
      <c r="AD11" s="37">
        <f>AC11 * (1 + Scenarios!$K$10)</f>
        <v>5260.0826444188269</v>
      </c>
      <c r="AE11" s="37">
        <f>AD11 * (1 + Scenarios!$K$10)</f>
        <v>5391.5847105292969</v>
      </c>
      <c r="AF11" s="37">
        <f>AE11 * (1 + Scenarios!$K$10)</f>
        <v>5526.3743282925288</v>
      </c>
      <c r="AG11" s="37">
        <f>AF11 * (1 + Scenarios!$K$10)</f>
        <v>5664.5336864998417</v>
      </c>
      <c r="AH11" s="37">
        <f>AG11 * (1 + Scenarios!$K$10)</f>
        <v>5806.1470286623371</v>
      </c>
      <c r="AI11" s="37">
        <f>AH11 * (1 + Scenarios!$K$10)</f>
        <v>5951.3007043788948</v>
      </c>
      <c r="AJ11" s="37">
        <f>AI11 * (1 + Scenarios!$K$10)</f>
        <v>6100.0832219883669</v>
      </c>
      <c r="AK11" s="37">
        <f>AJ11 * (1 + Scenarios!$K$10)</f>
        <v>6252.5853025380757</v>
      </c>
      <c r="AL11" s="37">
        <f>AK11 * (1 + Scenarios!$K$10)</f>
        <v>6408.8999351015273</v>
      </c>
      <c r="AM11" s="37">
        <f>AL11 * (1 + Scenarios!$K$10)</f>
        <v>6569.122433479065</v>
      </c>
      <c r="AN11" s="37">
        <f>AM11 * (1 + Scenarios!$K$10)</f>
        <v>6733.3504943160406</v>
      </c>
      <c r="AO11" s="37">
        <f>AN11 * (1 + Scenarios!$K$10)</f>
        <v>6901.6842566739406</v>
      </c>
      <c r="AP11" s="37">
        <f>AO11 * (1 + Scenarios!$K$10)</f>
        <v>7074.2263630907883</v>
      </c>
      <c r="AQ11" s="37">
        <f>AP11 * (1 + Scenarios!$K$10)</f>
        <v>7251.0820221680569</v>
      </c>
      <c r="AR11" s="37">
        <f>AQ11 * (1 + Scenarios!$K$10)</f>
        <v>7432.3590727222581</v>
      </c>
      <c r="AS11" s="37">
        <f>AR11 * (1 + Scenarios!$K$10)</f>
        <v>7618.1680495403143</v>
      </c>
      <c r="AT11" s="37">
        <f>AS11 * (1 + Scenarios!$K$10)</f>
        <v>7808.6222507788216</v>
      </c>
      <c r="AU11" s="37">
        <f>AT11 * (1 + Scenarios!$K$10)</f>
        <v>8003.8378070482913</v>
      </c>
      <c r="AV11" s="37">
        <f>AU11 * (1 + Scenarios!$K$10)</f>
        <v>8203.9337522244987</v>
      </c>
      <c r="AW11" s="37">
        <f>AV11 * (1 + Scenarios!$K$10)</f>
        <v>8409.0320960301106</v>
      </c>
      <c r="AX11" s="37">
        <f>AW11 * (1 + Scenarios!$K$10)</f>
        <v>8619.257898430862</v>
      </c>
      <c r="AY11" s="37">
        <f>AX11 * (1 + Scenarios!$K$10)</f>
        <v>8834.7393458916322</v>
      </c>
      <c r="AZ11" s="37">
        <f>AY11 * (1 + Scenarios!$K$10)</f>
        <v>9055.6078295389216</v>
      </c>
    </row>
    <row r="12" spans="1:52" s="37" customFormat="1">
      <c r="A12" s="78" t="s">
        <v>315</v>
      </c>
      <c r="B12" s="88"/>
      <c r="C12" s="88"/>
      <c r="D12" s="37">
        <f>C12* (1 + Scenarios!$K$10)</f>
        <v>0</v>
      </c>
      <c r="E12" s="37">
        <f>D12* (1 + Scenarios!$K$10)</f>
        <v>0</v>
      </c>
      <c r="F12" s="37">
        <f>E12* (1 + Scenarios!$K$10)</f>
        <v>0</v>
      </c>
      <c r="G12" s="37">
        <f>F12* (1 + Scenarios!$K$10)</f>
        <v>0</v>
      </c>
      <c r="H12" s="37">
        <f>G12* (1 + Scenarios!$K$10)</f>
        <v>0</v>
      </c>
      <c r="I12" s="37">
        <f>H12* (1 + Scenarios!$K$10)</f>
        <v>0</v>
      </c>
      <c r="J12" s="37">
        <f>I12* (1 + Scenarios!$K$10)</f>
        <v>0</v>
      </c>
      <c r="K12" s="37">
        <f>J12* (1 + Scenarios!$K$10)</f>
        <v>0</v>
      </c>
      <c r="L12" s="37">
        <f>K12* (1 + Scenarios!$K$10)</f>
        <v>0</v>
      </c>
      <c r="M12" s="37">
        <f>L12* (1 + Scenarios!$K$10)</f>
        <v>0</v>
      </c>
      <c r="N12" s="37">
        <f>M12* (1 + Scenarios!$K$10)</f>
        <v>0</v>
      </c>
      <c r="O12" s="37">
        <f>N12* (1 + Scenarios!$K$10)</f>
        <v>0</v>
      </c>
      <c r="P12" s="37">
        <f>O12* (1 + Scenarios!$K$10)</f>
        <v>0</v>
      </c>
      <c r="Q12" s="37">
        <f>P12* (1 + Scenarios!$K$10)</f>
        <v>0</v>
      </c>
      <c r="R12" s="37">
        <f>Q12* (1 + Scenarios!$K$10)</f>
        <v>0</v>
      </c>
      <c r="S12" s="37">
        <f>R12* (1 + Scenarios!$K$10)</f>
        <v>0</v>
      </c>
      <c r="T12" s="37">
        <f>S12* (1 + Scenarios!$K$10)</f>
        <v>0</v>
      </c>
      <c r="U12" s="37">
        <f>T12* (1 + Scenarios!$K$10)</f>
        <v>0</v>
      </c>
      <c r="V12" s="37">
        <f>U12* (1 + Scenarios!$K$10)</f>
        <v>0</v>
      </c>
      <c r="W12" s="37">
        <f>V12* (1 + Scenarios!$K$10)</f>
        <v>0</v>
      </c>
      <c r="X12" s="37">
        <f>W12* (1 + Scenarios!$K$10)</f>
        <v>0</v>
      </c>
      <c r="Y12" s="37">
        <f>X12* (1 + Scenarios!$K$10)</f>
        <v>0</v>
      </c>
      <c r="Z12" s="37">
        <f>Y12* (1 + Scenarios!$K$10)</f>
        <v>0</v>
      </c>
      <c r="AA12" s="37">
        <f>Z12* (1 + Scenarios!$K$10)</f>
        <v>0</v>
      </c>
      <c r="AB12" s="37">
        <f>AA12* (1 + Scenarios!$K$10)</f>
        <v>0</v>
      </c>
      <c r="AC12" s="37">
        <f>AB12* (1 + Scenarios!$K$10)</f>
        <v>0</v>
      </c>
      <c r="AD12" s="37">
        <f>AC12* (1 + Scenarios!$K$10)</f>
        <v>0</v>
      </c>
      <c r="AE12" s="37">
        <f>AD12* (1 + Scenarios!$K$10)</f>
        <v>0</v>
      </c>
      <c r="AF12" s="37">
        <f>AE12* (1 + Scenarios!$K$10)</f>
        <v>0</v>
      </c>
      <c r="AG12" s="37">
        <f>AF12* (1 + Scenarios!$K$10)</f>
        <v>0</v>
      </c>
      <c r="AH12" s="37">
        <f>AG12* (1 + Scenarios!$K$10)</f>
        <v>0</v>
      </c>
      <c r="AI12" s="37">
        <f>AH12* (1 + Scenarios!$K$10)</f>
        <v>0</v>
      </c>
      <c r="AJ12" s="37">
        <f>AI12* (1 + Scenarios!$K$10)</f>
        <v>0</v>
      </c>
      <c r="AK12" s="37">
        <f>AJ12* (1 + Scenarios!$K$10)</f>
        <v>0</v>
      </c>
      <c r="AL12" s="37">
        <f>AK12* (1 + Scenarios!$K$10)</f>
        <v>0</v>
      </c>
      <c r="AM12" s="37">
        <f>AL12* (1 + Scenarios!$K$10)</f>
        <v>0</v>
      </c>
      <c r="AN12" s="37">
        <f>AM12* (1 + Scenarios!$K$10)</f>
        <v>0</v>
      </c>
      <c r="AO12" s="37">
        <f>AN12* (1 + Scenarios!$K$10)</f>
        <v>0</v>
      </c>
      <c r="AP12" s="37">
        <f>AO12* (1 + Scenarios!$K$10)</f>
        <v>0</v>
      </c>
      <c r="AQ12" s="37">
        <f>AP12* (1 + Scenarios!$K$10)</f>
        <v>0</v>
      </c>
      <c r="AR12" s="37">
        <f>AQ12* (1 + Scenarios!$K$10)</f>
        <v>0</v>
      </c>
      <c r="AS12" s="37">
        <f>AR12* (1 + Scenarios!$K$10)</f>
        <v>0</v>
      </c>
      <c r="AT12" s="37">
        <f>AS12* (1 + Scenarios!$K$10)</f>
        <v>0</v>
      </c>
      <c r="AU12" s="37">
        <f>AT12* (1 + Scenarios!$K$10)</f>
        <v>0</v>
      </c>
      <c r="AV12" s="37">
        <f>AU12* (1 + Scenarios!$K$10)</f>
        <v>0</v>
      </c>
      <c r="AW12" s="37">
        <f>AV12* (1 + Scenarios!$K$10)</f>
        <v>0</v>
      </c>
      <c r="AX12" s="37">
        <f>AW12* (1 + Scenarios!$K$10)</f>
        <v>0</v>
      </c>
      <c r="AY12" s="37">
        <f>AX12* (1 + Scenarios!$K$10)</f>
        <v>0</v>
      </c>
      <c r="AZ12" s="37">
        <f>AY12* (1 + Scenarios!$K$10)</f>
        <v>0</v>
      </c>
    </row>
    <row r="13" spans="1:52" s="37" customFormat="1">
      <c r="A13" s="78" t="s">
        <v>316</v>
      </c>
      <c r="B13" s="88">
        <v>0</v>
      </c>
      <c r="C13" s="88">
        <v>0</v>
      </c>
      <c r="D13" s="37">
        <f>C13* (1 + Scenarios!$K$10)</f>
        <v>0</v>
      </c>
      <c r="E13" s="37">
        <f>D13* (1 + Scenarios!$K$10)</f>
        <v>0</v>
      </c>
      <c r="F13" s="37">
        <f>E13* (1 + Scenarios!$K$10)</f>
        <v>0</v>
      </c>
      <c r="G13" s="37">
        <f>F13* (1 + Scenarios!$K$10)</f>
        <v>0</v>
      </c>
      <c r="H13" s="37">
        <f>G13* (1 + Scenarios!$K$10)</f>
        <v>0</v>
      </c>
      <c r="I13" s="37">
        <f>H13* (1 + Scenarios!$K$10)</f>
        <v>0</v>
      </c>
      <c r="J13" s="37">
        <f>I13* (1 + Scenarios!$K$10)</f>
        <v>0</v>
      </c>
      <c r="K13" s="37">
        <f>J13* (1 + Scenarios!$K$10)</f>
        <v>0</v>
      </c>
      <c r="L13" s="37">
        <f>K13* (1 + Scenarios!$K$10)</f>
        <v>0</v>
      </c>
      <c r="M13" s="37">
        <f>L13* (1 + Scenarios!$K$10)</f>
        <v>0</v>
      </c>
      <c r="N13" s="37">
        <f>M13* (1 + Scenarios!$K$10)</f>
        <v>0</v>
      </c>
      <c r="O13" s="37">
        <f>N13* (1 + Scenarios!$K$10)</f>
        <v>0</v>
      </c>
      <c r="P13" s="37">
        <f>O13* (1 + Scenarios!$K$10)</f>
        <v>0</v>
      </c>
      <c r="Q13" s="37">
        <f>P13* (1 + Scenarios!$K$10)</f>
        <v>0</v>
      </c>
      <c r="R13" s="37">
        <f>Q13* (1 + Scenarios!$K$10)</f>
        <v>0</v>
      </c>
      <c r="S13" s="37">
        <f>R13* (1 + Scenarios!$K$10)</f>
        <v>0</v>
      </c>
      <c r="T13" s="37">
        <f>S13* (1 + Scenarios!$K$10)</f>
        <v>0</v>
      </c>
      <c r="U13" s="37">
        <f>T13* (1 + Scenarios!$K$10)</f>
        <v>0</v>
      </c>
      <c r="V13" s="37">
        <f>U13* (1 + Scenarios!$K$10)</f>
        <v>0</v>
      </c>
      <c r="W13" s="37">
        <f>V13* (1 + Scenarios!$K$10)</f>
        <v>0</v>
      </c>
      <c r="X13" s="37">
        <f>W13* (1 + Scenarios!$K$10)</f>
        <v>0</v>
      </c>
      <c r="Y13" s="37">
        <f>X13* (1 + Scenarios!$K$10)</f>
        <v>0</v>
      </c>
      <c r="Z13" s="37">
        <f>Y13* (1 + Scenarios!$K$10)</f>
        <v>0</v>
      </c>
      <c r="AA13" s="37">
        <f>Z13* (1 + Scenarios!$K$10)</f>
        <v>0</v>
      </c>
      <c r="AB13" s="37">
        <f>AA13* (1 + Scenarios!$K$10)</f>
        <v>0</v>
      </c>
      <c r="AC13" s="37">
        <f>AB13* (1 + Scenarios!$K$10)</f>
        <v>0</v>
      </c>
      <c r="AD13" s="37">
        <f>AC13* (1 + Scenarios!$K$10)</f>
        <v>0</v>
      </c>
      <c r="AE13" s="37">
        <f>AD13* (1 + Scenarios!$K$10)</f>
        <v>0</v>
      </c>
      <c r="AF13" s="37">
        <f>AE13* (1 + Scenarios!$K$10)</f>
        <v>0</v>
      </c>
      <c r="AG13" s="37">
        <f>AF13* (1 + Scenarios!$K$10)</f>
        <v>0</v>
      </c>
      <c r="AH13" s="37">
        <f>AG13* (1 + Scenarios!$K$10)</f>
        <v>0</v>
      </c>
      <c r="AI13" s="37">
        <f>AH13* (1 + Scenarios!$K$10)</f>
        <v>0</v>
      </c>
      <c r="AJ13" s="37">
        <f>AI13* (1 + Scenarios!$K$10)</f>
        <v>0</v>
      </c>
      <c r="AK13" s="37">
        <f>AJ13* (1 + Scenarios!$K$10)</f>
        <v>0</v>
      </c>
      <c r="AL13" s="37">
        <f>AK13* (1 + Scenarios!$K$10)</f>
        <v>0</v>
      </c>
      <c r="AM13" s="37">
        <f>AL13* (1 + Scenarios!$K$10)</f>
        <v>0</v>
      </c>
      <c r="AN13" s="37">
        <f>AM13* (1 + Scenarios!$K$10)</f>
        <v>0</v>
      </c>
      <c r="AO13" s="37">
        <f>AN13* (1 + Scenarios!$K$10)</f>
        <v>0</v>
      </c>
      <c r="AP13" s="37">
        <f>AO13* (1 + Scenarios!$K$10)</f>
        <v>0</v>
      </c>
      <c r="AQ13" s="37">
        <f>AP13* (1 + Scenarios!$K$10)</f>
        <v>0</v>
      </c>
      <c r="AR13" s="37">
        <f>AQ13* (1 + Scenarios!$K$10)</f>
        <v>0</v>
      </c>
      <c r="AS13" s="37">
        <f>AR13* (1 + Scenarios!$K$10)</f>
        <v>0</v>
      </c>
      <c r="AT13" s="37">
        <f>AS13* (1 + Scenarios!$K$10)</f>
        <v>0</v>
      </c>
      <c r="AU13" s="37">
        <f>AT13* (1 + Scenarios!$K$10)</f>
        <v>0</v>
      </c>
      <c r="AV13" s="37">
        <f>AU13* (1 + Scenarios!$K$10)</f>
        <v>0</v>
      </c>
      <c r="AW13" s="37">
        <f>AV13* (1 + Scenarios!$K$10)</f>
        <v>0</v>
      </c>
      <c r="AX13" s="37">
        <f>AW13* (1 + Scenarios!$K$10)</f>
        <v>0</v>
      </c>
      <c r="AY13" s="37">
        <f>AX13* (1 + Scenarios!$K$10)</f>
        <v>0</v>
      </c>
      <c r="AZ13" s="37">
        <f>AY13* (1 + Scenarios!$K$10)</f>
        <v>0</v>
      </c>
    </row>
    <row r="14" spans="1:52" s="37" customFormat="1">
      <c r="A14" s="78" t="s">
        <v>317</v>
      </c>
      <c r="B14" s="88">
        <v>0</v>
      </c>
      <c r="C14" s="88">
        <v>0</v>
      </c>
      <c r="D14" s="37">
        <v>0</v>
      </c>
      <c r="E14" s="37">
        <v>0</v>
      </c>
      <c r="F14" s="37">
        <v>0</v>
      </c>
      <c r="G14" s="37">
        <v>0</v>
      </c>
      <c r="H14" s="37">
        <v>0</v>
      </c>
      <c r="I14" s="37">
        <v>0</v>
      </c>
      <c r="J14" s="37">
        <v>0</v>
      </c>
      <c r="K14" s="37">
        <v>0</v>
      </c>
      <c r="L14" s="37">
        <v>0</v>
      </c>
      <c r="M14" s="37">
        <v>0</v>
      </c>
      <c r="N14" s="37">
        <v>0</v>
      </c>
      <c r="O14" s="37">
        <v>0</v>
      </c>
      <c r="P14" s="37">
        <v>0</v>
      </c>
      <c r="Q14" s="37">
        <v>0</v>
      </c>
      <c r="R14" s="37">
        <v>0</v>
      </c>
      <c r="S14" s="37">
        <v>0</v>
      </c>
      <c r="T14" s="37">
        <v>0</v>
      </c>
      <c r="U14" s="37">
        <v>0</v>
      </c>
      <c r="V14" s="37">
        <v>0</v>
      </c>
      <c r="W14" s="37">
        <v>0</v>
      </c>
      <c r="X14" s="37">
        <v>0</v>
      </c>
      <c r="Y14" s="37">
        <v>0</v>
      </c>
      <c r="Z14" s="37">
        <v>0</v>
      </c>
      <c r="AA14" s="37">
        <v>0</v>
      </c>
      <c r="AB14" s="37">
        <v>0</v>
      </c>
      <c r="AC14" s="37">
        <v>0</v>
      </c>
      <c r="AD14" s="37">
        <v>0</v>
      </c>
      <c r="AE14" s="37">
        <v>0</v>
      </c>
      <c r="AF14" s="37">
        <v>0</v>
      </c>
      <c r="AG14" s="37">
        <v>0</v>
      </c>
      <c r="AH14" s="37">
        <v>0</v>
      </c>
      <c r="AI14" s="37">
        <v>0</v>
      </c>
      <c r="AJ14" s="37">
        <v>0</v>
      </c>
      <c r="AK14" s="37">
        <v>0</v>
      </c>
      <c r="AL14" s="37">
        <v>0</v>
      </c>
      <c r="AM14" s="37">
        <v>0</v>
      </c>
      <c r="AN14" s="37">
        <v>0</v>
      </c>
      <c r="AO14" s="37">
        <v>0</v>
      </c>
      <c r="AP14" s="37">
        <v>0</v>
      </c>
      <c r="AQ14" s="37">
        <v>0</v>
      </c>
      <c r="AR14" s="37">
        <v>0</v>
      </c>
      <c r="AS14" s="37">
        <v>0</v>
      </c>
      <c r="AT14" s="37">
        <v>0</v>
      </c>
      <c r="AU14" s="37">
        <v>0</v>
      </c>
      <c r="AV14" s="37">
        <v>0</v>
      </c>
      <c r="AW14" s="37">
        <v>0</v>
      </c>
      <c r="AX14" s="37">
        <v>0</v>
      </c>
      <c r="AY14" s="37">
        <v>0</v>
      </c>
      <c r="AZ14" s="37">
        <v>0</v>
      </c>
    </row>
    <row r="15" spans="1:52" s="79" customFormat="1">
      <c r="A15" s="79" t="s">
        <v>318</v>
      </c>
      <c r="B15" s="90">
        <v>0</v>
      </c>
      <c r="C15" s="90">
        <v>0</v>
      </c>
      <c r="D15" s="37">
        <f>C15* (1 + Scenarios!$K$10)</f>
        <v>0</v>
      </c>
      <c r="E15" s="37">
        <f>D15* (1 + Scenarios!$K$10)</f>
        <v>0</v>
      </c>
      <c r="F15" s="37">
        <f>E15* (1 + Scenarios!$K$10)</f>
        <v>0</v>
      </c>
      <c r="G15" s="37">
        <f>F15* (1 + Scenarios!$K$10)</f>
        <v>0</v>
      </c>
      <c r="H15" s="37">
        <f>G15* (1 + Scenarios!$K$10)</f>
        <v>0</v>
      </c>
      <c r="I15" s="37">
        <f>H15* (1 + Scenarios!$K$10)</f>
        <v>0</v>
      </c>
      <c r="J15" s="37">
        <f>I15* (1 + Scenarios!$K$10)</f>
        <v>0</v>
      </c>
      <c r="K15" s="37">
        <f>J15* (1 + Scenarios!$K$10)</f>
        <v>0</v>
      </c>
      <c r="L15" s="37">
        <f>K15* (1 + Scenarios!$K$10)</f>
        <v>0</v>
      </c>
      <c r="M15" s="37">
        <f>L15* (1 + Scenarios!$K$10)</f>
        <v>0</v>
      </c>
      <c r="N15" s="37">
        <f>M15* (1 + Scenarios!$K$10)</f>
        <v>0</v>
      </c>
      <c r="O15" s="37">
        <f>N15* (1 + Scenarios!$K$10)</f>
        <v>0</v>
      </c>
      <c r="P15" s="37">
        <f>O15* (1 + Scenarios!$K$10)</f>
        <v>0</v>
      </c>
      <c r="Q15" s="37">
        <f>P15* (1 + Scenarios!$K$10)</f>
        <v>0</v>
      </c>
      <c r="R15" s="37">
        <f>Q15* (1 + Scenarios!$K$10)</f>
        <v>0</v>
      </c>
      <c r="S15" s="37">
        <f>R15* (1 + Scenarios!$K$10)</f>
        <v>0</v>
      </c>
      <c r="T15" s="37">
        <f>S15* (1 + Scenarios!$K$10)</f>
        <v>0</v>
      </c>
      <c r="U15" s="37">
        <f>T15* (1 + Scenarios!$K$10)</f>
        <v>0</v>
      </c>
      <c r="V15" s="37">
        <f>U15* (1 + Scenarios!$K$10)</f>
        <v>0</v>
      </c>
      <c r="W15" s="37">
        <f>V15* (1 + Scenarios!$K$10)</f>
        <v>0</v>
      </c>
      <c r="X15" s="37">
        <f>W15* (1 + Scenarios!$K$10)</f>
        <v>0</v>
      </c>
      <c r="Y15" s="37">
        <f>X15* (1 + Scenarios!$K$10)</f>
        <v>0</v>
      </c>
      <c r="Z15" s="37">
        <f>Y15* (1 + Scenarios!$K$10)</f>
        <v>0</v>
      </c>
      <c r="AA15" s="37">
        <f>Z15* (1 + Scenarios!$K$10)</f>
        <v>0</v>
      </c>
      <c r="AB15" s="37">
        <f>AA15* (1 + Scenarios!$K$10)</f>
        <v>0</v>
      </c>
      <c r="AC15" s="37">
        <f>AB15* (1 + Scenarios!$K$10)</f>
        <v>0</v>
      </c>
      <c r="AD15" s="37">
        <f>AC15* (1 + Scenarios!$K$10)</f>
        <v>0</v>
      </c>
      <c r="AE15" s="37">
        <f>AD15* (1 + Scenarios!$K$10)</f>
        <v>0</v>
      </c>
      <c r="AF15" s="37">
        <f>AE15* (1 + Scenarios!$K$10)</f>
        <v>0</v>
      </c>
      <c r="AG15" s="37">
        <f>AF15* (1 + Scenarios!$K$10)</f>
        <v>0</v>
      </c>
      <c r="AH15" s="37">
        <f>AG15* (1 + Scenarios!$K$10)</f>
        <v>0</v>
      </c>
      <c r="AI15" s="37">
        <f>AH15* (1 + Scenarios!$K$10)</f>
        <v>0</v>
      </c>
      <c r="AJ15" s="37">
        <f>AI15* (1 + Scenarios!$K$10)</f>
        <v>0</v>
      </c>
      <c r="AK15" s="37">
        <f>AJ15* (1 + Scenarios!$K$10)</f>
        <v>0</v>
      </c>
      <c r="AL15" s="37">
        <f>AK15* (1 + Scenarios!$K$10)</f>
        <v>0</v>
      </c>
      <c r="AM15" s="37">
        <f>AL15* (1 + Scenarios!$K$10)</f>
        <v>0</v>
      </c>
      <c r="AN15" s="37">
        <f>AM15* (1 + Scenarios!$K$10)</f>
        <v>0</v>
      </c>
      <c r="AO15" s="37">
        <f>AN15* (1 + Scenarios!$K$10)</f>
        <v>0</v>
      </c>
      <c r="AP15" s="37">
        <f>AO15* (1 + Scenarios!$K$10)</f>
        <v>0</v>
      </c>
      <c r="AQ15" s="37">
        <f>AP15* (1 + Scenarios!$K$10)</f>
        <v>0</v>
      </c>
      <c r="AR15" s="37">
        <f>AQ15* (1 + Scenarios!$K$10)</f>
        <v>0</v>
      </c>
      <c r="AS15" s="37">
        <f>AR15* (1 + Scenarios!$K$10)</f>
        <v>0</v>
      </c>
      <c r="AT15" s="37">
        <f>AS15* (1 + Scenarios!$K$10)</f>
        <v>0</v>
      </c>
      <c r="AU15" s="37">
        <f>AT15* (1 + Scenarios!$K$10)</f>
        <v>0</v>
      </c>
      <c r="AV15" s="37">
        <f>AU15* (1 + Scenarios!$K$10)</f>
        <v>0</v>
      </c>
      <c r="AW15" s="37">
        <f>AV15* (1 + Scenarios!$K$10)</f>
        <v>0</v>
      </c>
      <c r="AX15" s="37">
        <f>AW15* (1 + Scenarios!$K$10)</f>
        <v>0</v>
      </c>
      <c r="AY15" s="37">
        <f>AX15* (1 + Scenarios!$K$10)</f>
        <v>0</v>
      </c>
      <c r="AZ15" s="37">
        <f>AY15* (1 + Scenarios!$K$10)</f>
        <v>0</v>
      </c>
    </row>
    <row r="16" spans="1:52" s="79" customFormat="1">
      <c r="A16" s="78" t="s">
        <v>319</v>
      </c>
      <c r="B16" s="90">
        <v>0</v>
      </c>
      <c r="C16" s="90">
        <v>0</v>
      </c>
      <c r="D16" s="37">
        <f>C16* (1 + Scenarios!$K$10)</f>
        <v>0</v>
      </c>
      <c r="E16" s="37">
        <f>D16* (1 + Scenarios!$K$10)</f>
        <v>0</v>
      </c>
      <c r="F16" s="37">
        <f>E16* (1 + Scenarios!$K$10)</f>
        <v>0</v>
      </c>
      <c r="G16" s="37">
        <f>F16* (1 + Scenarios!$K$10)</f>
        <v>0</v>
      </c>
      <c r="H16" s="37">
        <f>G16* (1 + Scenarios!$K$10)</f>
        <v>0</v>
      </c>
      <c r="I16" s="37">
        <f>H16* (1 + Scenarios!$K$10)</f>
        <v>0</v>
      </c>
      <c r="J16" s="37">
        <f>I16* (1 + Scenarios!$K$10)</f>
        <v>0</v>
      </c>
      <c r="K16" s="37">
        <f>J16* (1 + Scenarios!$K$10)</f>
        <v>0</v>
      </c>
      <c r="L16" s="37">
        <f>K16* (1 + Scenarios!$K$10)</f>
        <v>0</v>
      </c>
      <c r="M16" s="37">
        <f>L16* (1 + Scenarios!$K$10)</f>
        <v>0</v>
      </c>
      <c r="N16" s="37">
        <f>M16* (1 + Scenarios!$K$10)</f>
        <v>0</v>
      </c>
      <c r="O16" s="37">
        <f>N16* (1 + Scenarios!$K$10)</f>
        <v>0</v>
      </c>
      <c r="P16" s="37">
        <f>O16* (1 + Scenarios!$K$10)</f>
        <v>0</v>
      </c>
      <c r="Q16" s="37">
        <f>P16* (1 + Scenarios!$K$10)</f>
        <v>0</v>
      </c>
      <c r="R16" s="37">
        <f>Q16* (1 + Scenarios!$K$10)</f>
        <v>0</v>
      </c>
      <c r="S16" s="37">
        <f>R16* (1 + Scenarios!$K$10)</f>
        <v>0</v>
      </c>
      <c r="T16" s="37">
        <f>S16* (1 + Scenarios!$K$10)</f>
        <v>0</v>
      </c>
      <c r="U16" s="37">
        <f>T16* (1 + Scenarios!$K$10)</f>
        <v>0</v>
      </c>
      <c r="V16" s="37">
        <f>U16* (1 + Scenarios!$K$10)</f>
        <v>0</v>
      </c>
      <c r="W16" s="37">
        <f>V16* (1 + Scenarios!$K$10)</f>
        <v>0</v>
      </c>
      <c r="X16" s="37">
        <f>W16* (1 + Scenarios!$K$10)</f>
        <v>0</v>
      </c>
      <c r="Y16" s="37">
        <f>X16* (1 + Scenarios!$K$10)</f>
        <v>0</v>
      </c>
      <c r="Z16" s="37">
        <f>Y16* (1 + Scenarios!$K$10)</f>
        <v>0</v>
      </c>
      <c r="AA16" s="37">
        <f>Z16* (1 + Scenarios!$K$10)</f>
        <v>0</v>
      </c>
      <c r="AB16" s="37">
        <f>AA16* (1 + Scenarios!$K$10)</f>
        <v>0</v>
      </c>
      <c r="AC16" s="37">
        <f>AB16* (1 + Scenarios!$K$10)</f>
        <v>0</v>
      </c>
      <c r="AD16" s="37">
        <f>AC16* (1 + Scenarios!$K$10)</f>
        <v>0</v>
      </c>
      <c r="AE16" s="37">
        <f>AD16* (1 + Scenarios!$K$10)</f>
        <v>0</v>
      </c>
      <c r="AF16" s="37">
        <f>AE16* (1 + Scenarios!$K$10)</f>
        <v>0</v>
      </c>
      <c r="AG16" s="37">
        <f>AF16* (1 + Scenarios!$K$10)</f>
        <v>0</v>
      </c>
      <c r="AH16" s="37">
        <f>AG16* (1 + Scenarios!$K$10)</f>
        <v>0</v>
      </c>
      <c r="AI16" s="37">
        <f>AH16* (1 + Scenarios!$K$10)</f>
        <v>0</v>
      </c>
      <c r="AJ16" s="37">
        <f>AI16* (1 + Scenarios!$K$10)</f>
        <v>0</v>
      </c>
      <c r="AK16" s="37">
        <f>AJ16* (1 + Scenarios!$K$10)</f>
        <v>0</v>
      </c>
      <c r="AL16" s="37">
        <f>AK16* (1 + Scenarios!$K$10)</f>
        <v>0</v>
      </c>
      <c r="AM16" s="37">
        <f>AL16* (1 + Scenarios!$K$10)</f>
        <v>0</v>
      </c>
      <c r="AN16" s="37">
        <f>AM16* (1 + Scenarios!$K$10)</f>
        <v>0</v>
      </c>
      <c r="AO16" s="37">
        <f>AN16* (1 + Scenarios!$K$10)</f>
        <v>0</v>
      </c>
      <c r="AP16" s="37">
        <f>AO16* (1 + Scenarios!$K$10)</f>
        <v>0</v>
      </c>
      <c r="AQ16" s="37">
        <f>AP16* (1 + Scenarios!$K$10)</f>
        <v>0</v>
      </c>
      <c r="AR16" s="37">
        <f>AQ16* (1 + Scenarios!$K$10)</f>
        <v>0</v>
      </c>
      <c r="AS16" s="37">
        <f>AR16* (1 + Scenarios!$K$10)</f>
        <v>0</v>
      </c>
      <c r="AT16" s="37">
        <f>AS16* (1 + Scenarios!$K$10)</f>
        <v>0</v>
      </c>
      <c r="AU16" s="37">
        <f>AT16* (1 + Scenarios!$K$10)</f>
        <v>0</v>
      </c>
      <c r="AV16" s="37">
        <f>AU16* (1 + Scenarios!$K$10)</f>
        <v>0</v>
      </c>
      <c r="AW16" s="37">
        <f>AV16* (1 + Scenarios!$K$10)</f>
        <v>0</v>
      </c>
      <c r="AX16" s="37">
        <f>AW16* (1 + Scenarios!$K$10)</f>
        <v>0</v>
      </c>
      <c r="AY16" s="37">
        <f>AX16* (1 + Scenarios!$K$10)</f>
        <v>0</v>
      </c>
      <c r="AZ16" s="37">
        <f>AY16* (1 + Scenarios!$K$10)</f>
        <v>0</v>
      </c>
    </row>
    <row r="17" spans="1:52" s="79" customFormat="1">
      <c r="A17" s="78" t="s">
        <v>320</v>
      </c>
      <c r="B17" s="88">
        <v>700</v>
      </c>
      <c r="C17" s="88">
        <f>B17</f>
        <v>700</v>
      </c>
      <c r="D17" s="37">
        <f>C17* (1 + Scenarios!$K$10)</f>
        <v>717.49999999999989</v>
      </c>
      <c r="E17" s="37">
        <f>D17* (1 + Scenarios!$K$10)</f>
        <v>735.43749999999977</v>
      </c>
      <c r="F17" s="37">
        <f>E17* (1 + Scenarios!$K$10)</f>
        <v>753.82343749999973</v>
      </c>
      <c r="G17" s="37">
        <f>F17* (1 + Scenarios!$K$10)</f>
        <v>772.66902343749962</v>
      </c>
      <c r="H17" s="37">
        <f>G17* (1 + Scenarios!$K$10)</f>
        <v>791.98574902343705</v>
      </c>
      <c r="I17" s="37">
        <f>H17* (1 + Scenarios!$K$10)</f>
        <v>811.78539274902289</v>
      </c>
      <c r="J17" s="37">
        <f>I17* (1 + Scenarios!$K$10)</f>
        <v>832.0800275677484</v>
      </c>
      <c r="K17" s="37">
        <f>J17* (1 + Scenarios!$K$10)</f>
        <v>852.88202825694202</v>
      </c>
      <c r="L17" s="37">
        <f>K17* (1 + Scenarios!$K$10)</f>
        <v>874.20407896336553</v>
      </c>
      <c r="M17" s="37">
        <f>L17* (1 + Scenarios!$K$10)</f>
        <v>896.05918093744958</v>
      </c>
      <c r="N17" s="37">
        <f>M17* (1 + Scenarios!$K$10)</f>
        <v>918.46066046088572</v>
      </c>
      <c r="O17" s="37">
        <f>N17* (1 + Scenarios!$K$10)</f>
        <v>941.42217697240778</v>
      </c>
      <c r="P17" s="37">
        <f>O17* (1 + Scenarios!$K$10)</f>
        <v>964.95773139671792</v>
      </c>
      <c r="Q17" s="37">
        <f>P17* (1 + Scenarios!$K$10)</f>
        <v>989.08167468163583</v>
      </c>
      <c r="R17" s="37">
        <f>Q17* (1 + Scenarios!$K$10)</f>
        <v>1013.8087165486767</v>
      </c>
      <c r="S17" s="37">
        <f>R17* (1 + Scenarios!$K$10)</f>
        <v>1039.1539344623934</v>
      </c>
      <c r="T17" s="37">
        <f>S17* (1 + Scenarios!$K$10)</f>
        <v>1065.1327828239532</v>
      </c>
      <c r="U17" s="37">
        <f>T17* (1 + Scenarios!$K$10)</f>
        <v>1091.7611023945519</v>
      </c>
      <c r="V17" s="37">
        <f>U17* (1 + Scenarios!$K$10)</f>
        <v>1119.0551299544156</v>
      </c>
      <c r="W17" s="37">
        <f>V17* (1 + Scenarios!$K$10)</f>
        <v>1147.031508203276</v>
      </c>
      <c r="X17" s="37">
        <f>W17* (1 + Scenarios!$K$10)</f>
        <v>1175.7072959083578</v>
      </c>
      <c r="Y17" s="37">
        <f>X17* (1 + Scenarios!$K$10)</f>
        <v>1205.0999783060665</v>
      </c>
      <c r="Z17" s="37">
        <f>Y17* (1 + Scenarios!$K$10)</f>
        <v>1235.2274777637181</v>
      </c>
      <c r="AA17" s="37">
        <f>Z17* (1 + Scenarios!$K$10)</f>
        <v>1266.1081647078108</v>
      </c>
      <c r="AB17" s="37">
        <f>AA17* (1 + Scenarios!$K$10)</f>
        <v>1297.7608688255059</v>
      </c>
      <c r="AC17" s="37">
        <f>AB17* (1 + Scenarios!$K$10)</f>
        <v>1330.2048905461434</v>
      </c>
      <c r="AD17" s="37">
        <f>AC17* (1 + Scenarios!$K$10)</f>
        <v>1363.4600128097968</v>
      </c>
      <c r="AE17" s="37">
        <f>AD17* (1 + Scenarios!$K$10)</f>
        <v>1397.5465131300416</v>
      </c>
      <c r="AF17" s="37">
        <f>AE17* (1 + Scenarios!$K$10)</f>
        <v>1432.4851759582925</v>
      </c>
      <c r="AG17" s="37">
        <f>AF17* (1 + Scenarios!$K$10)</f>
        <v>1468.2973053572498</v>
      </c>
      <c r="AH17" s="37">
        <f>AG17* (1 + Scenarios!$K$10)</f>
        <v>1505.0047379911809</v>
      </c>
      <c r="AI17" s="37">
        <f>AH17* (1 + Scenarios!$K$10)</f>
        <v>1542.6298564409603</v>
      </c>
      <c r="AJ17" s="37">
        <f>AI17* (1 + Scenarios!$K$10)</f>
        <v>1581.1956028519842</v>
      </c>
      <c r="AK17" s="37">
        <f>AJ17* (1 + Scenarios!$K$10)</f>
        <v>1620.7254929232836</v>
      </c>
      <c r="AL17" s="37">
        <f>AK17* (1 + Scenarios!$K$10)</f>
        <v>1661.2436302463655</v>
      </c>
      <c r="AM17" s="37">
        <f>AL17* (1 + Scenarios!$K$10)</f>
        <v>1702.7747210025245</v>
      </c>
      <c r="AN17" s="37">
        <f>AM17* (1 + Scenarios!$K$10)</f>
        <v>1745.3440890275874</v>
      </c>
      <c r="AO17" s="37">
        <f>AN17* (1 + Scenarios!$K$10)</f>
        <v>1788.977691253277</v>
      </c>
      <c r="AP17" s="37">
        <f>AO17* (1 + Scenarios!$K$10)</f>
        <v>1833.7021335346087</v>
      </c>
      <c r="AQ17" s="37">
        <f>AP17* (1 + Scenarios!$K$10)</f>
        <v>1879.5446868729737</v>
      </c>
      <c r="AR17" s="37">
        <f>AQ17* (1 + Scenarios!$K$10)</f>
        <v>1926.5333040447979</v>
      </c>
      <c r="AS17" s="37">
        <f>AR17* (1 + Scenarios!$K$10)</f>
        <v>1974.6966366459176</v>
      </c>
      <c r="AT17" s="37">
        <f>AS17* (1 + Scenarios!$K$10)</f>
        <v>2024.0640525620654</v>
      </c>
      <c r="AU17" s="37">
        <f>AT17* (1 + Scenarios!$K$10)</f>
        <v>2074.6656538761167</v>
      </c>
      <c r="AV17" s="37">
        <f>AU17* (1 + Scenarios!$K$10)</f>
        <v>2126.5322952230194</v>
      </c>
      <c r="AW17" s="37">
        <f>AV17* (1 + Scenarios!$K$10)</f>
        <v>2179.6956026035946</v>
      </c>
      <c r="AX17" s="37">
        <f>AW17* (1 + Scenarios!$K$10)</f>
        <v>2234.1879926686843</v>
      </c>
      <c r="AY17" s="37">
        <f>AX17* (1 + Scenarios!$K$10)</f>
        <v>2290.0426924854014</v>
      </c>
      <c r="AZ17" s="37">
        <f>AY17* (1 + Scenarios!$K$10)</f>
        <v>2347.293759797536</v>
      </c>
    </row>
    <row r="18" spans="1:52">
      <c r="A18" s="77" t="s">
        <v>321</v>
      </c>
    </row>
    <row r="19" spans="1:52" s="73" customFormat="1">
      <c r="A19" s="86" t="s">
        <v>322</v>
      </c>
      <c r="B19" s="89">
        <v>6.6000000000000003E-2</v>
      </c>
      <c r="C19" s="89">
        <v>6.6000000000000003E-2</v>
      </c>
      <c r="D19" s="80">
        <f t="shared" ref="D19:AI19" si="0">C19</f>
        <v>6.6000000000000003E-2</v>
      </c>
      <c r="E19" s="80">
        <f t="shared" si="0"/>
        <v>6.6000000000000003E-2</v>
      </c>
      <c r="F19" s="80">
        <f t="shared" si="0"/>
        <v>6.6000000000000003E-2</v>
      </c>
      <c r="G19" s="80">
        <f t="shared" si="0"/>
        <v>6.6000000000000003E-2</v>
      </c>
      <c r="H19" s="80">
        <f t="shared" si="0"/>
        <v>6.6000000000000003E-2</v>
      </c>
      <c r="I19" s="80">
        <f t="shared" si="0"/>
        <v>6.6000000000000003E-2</v>
      </c>
      <c r="J19" s="80">
        <f t="shared" si="0"/>
        <v>6.6000000000000003E-2</v>
      </c>
      <c r="K19" s="80">
        <f t="shared" si="0"/>
        <v>6.6000000000000003E-2</v>
      </c>
      <c r="L19" s="80">
        <f t="shared" si="0"/>
        <v>6.6000000000000003E-2</v>
      </c>
      <c r="M19" s="80">
        <f t="shared" si="0"/>
        <v>6.6000000000000003E-2</v>
      </c>
      <c r="N19" s="80">
        <f t="shared" si="0"/>
        <v>6.6000000000000003E-2</v>
      </c>
      <c r="O19" s="80">
        <f t="shared" si="0"/>
        <v>6.6000000000000003E-2</v>
      </c>
      <c r="P19" s="80">
        <f t="shared" si="0"/>
        <v>6.6000000000000003E-2</v>
      </c>
      <c r="Q19" s="80">
        <f t="shared" si="0"/>
        <v>6.6000000000000003E-2</v>
      </c>
      <c r="R19" s="80">
        <f t="shared" si="0"/>
        <v>6.6000000000000003E-2</v>
      </c>
      <c r="S19" s="80">
        <f t="shared" si="0"/>
        <v>6.6000000000000003E-2</v>
      </c>
      <c r="T19" s="80">
        <f t="shared" si="0"/>
        <v>6.6000000000000003E-2</v>
      </c>
      <c r="U19" s="80">
        <f t="shared" si="0"/>
        <v>6.6000000000000003E-2</v>
      </c>
      <c r="V19" s="80">
        <f t="shared" si="0"/>
        <v>6.6000000000000003E-2</v>
      </c>
      <c r="W19" s="80">
        <f t="shared" si="0"/>
        <v>6.6000000000000003E-2</v>
      </c>
      <c r="X19" s="80">
        <f t="shared" si="0"/>
        <v>6.6000000000000003E-2</v>
      </c>
      <c r="Y19" s="80">
        <f t="shared" si="0"/>
        <v>6.6000000000000003E-2</v>
      </c>
      <c r="Z19" s="80">
        <f t="shared" si="0"/>
        <v>6.6000000000000003E-2</v>
      </c>
      <c r="AA19" s="80">
        <f t="shared" si="0"/>
        <v>6.6000000000000003E-2</v>
      </c>
      <c r="AB19" s="80">
        <f t="shared" si="0"/>
        <v>6.6000000000000003E-2</v>
      </c>
      <c r="AC19" s="80">
        <f t="shared" si="0"/>
        <v>6.6000000000000003E-2</v>
      </c>
      <c r="AD19" s="80">
        <f t="shared" si="0"/>
        <v>6.6000000000000003E-2</v>
      </c>
      <c r="AE19" s="80">
        <f t="shared" si="0"/>
        <v>6.6000000000000003E-2</v>
      </c>
      <c r="AF19" s="80">
        <f t="shared" si="0"/>
        <v>6.6000000000000003E-2</v>
      </c>
      <c r="AG19" s="80">
        <f t="shared" si="0"/>
        <v>6.6000000000000003E-2</v>
      </c>
      <c r="AH19" s="80">
        <f t="shared" si="0"/>
        <v>6.6000000000000003E-2</v>
      </c>
      <c r="AI19" s="80">
        <f t="shared" si="0"/>
        <v>6.6000000000000003E-2</v>
      </c>
      <c r="AJ19" s="80">
        <f t="shared" ref="AJ19:AZ19" si="1">AI19</f>
        <v>6.6000000000000003E-2</v>
      </c>
      <c r="AK19" s="80">
        <f t="shared" si="1"/>
        <v>6.6000000000000003E-2</v>
      </c>
      <c r="AL19" s="80">
        <f t="shared" si="1"/>
        <v>6.6000000000000003E-2</v>
      </c>
      <c r="AM19" s="80">
        <f t="shared" si="1"/>
        <v>6.6000000000000003E-2</v>
      </c>
      <c r="AN19" s="80">
        <f t="shared" si="1"/>
        <v>6.6000000000000003E-2</v>
      </c>
      <c r="AO19" s="80">
        <f t="shared" si="1"/>
        <v>6.6000000000000003E-2</v>
      </c>
      <c r="AP19" s="80">
        <f t="shared" si="1"/>
        <v>6.6000000000000003E-2</v>
      </c>
      <c r="AQ19" s="80">
        <f t="shared" si="1"/>
        <v>6.6000000000000003E-2</v>
      </c>
      <c r="AR19" s="80">
        <f t="shared" si="1"/>
        <v>6.6000000000000003E-2</v>
      </c>
      <c r="AS19" s="80">
        <f t="shared" si="1"/>
        <v>6.6000000000000003E-2</v>
      </c>
      <c r="AT19" s="80">
        <f t="shared" si="1"/>
        <v>6.6000000000000003E-2</v>
      </c>
      <c r="AU19" s="80">
        <f t="shared" si="1"/>
        <v>6.6000000000000003E-2</v>
      </c>
      <c r="AV19" s="80">
        <f t="shared" si="1"/>
        <v>6.6000000000000003E-2</v>
      </c>
      <c r="AW19" s="80">
        <f t="shared" si="1"/>
        <v>6.6000000000000003E-2</v>
      </c>
      <c r="AX19" s="80">
        <f t="shared" si="1"/>
        <v>6.6000000000000003E-2</v>
      </c>
      <c r="AY19" s="80">
        <f t="shared" si="1"/>
        <v>6.6000000000000003E-2</v>
      </c>
      <c r="AZ19" s="80">
        <f t="shared" si="1"/>
        <v>6.6000000000000003E-2</v>
      </c>
    </row>
    <row r="20" spans="1:52" s="37" customFormat="1">
      <c r="A20" s="78" t="s">
        <v>323</v>
      </c>
      <c r="B20" s="37">
        <f t="shared" ref="B20:J20" si="2">B9*B19</f>
        <v>0</v>
      </c>
      <c r="C20" s="37">
        <f t="shared" si="2"/>
        <v>0</v>
      </c>
      <c r="D20" s="37">
        <f t="shared" si="2"/>
        <v>0</v>
      </c>
      <c r="E20" s="37">
        <f t="shared" si="2"/>
        <v>0</v>
      </c>
      <c r="F20" s="37">
        <f t="shared" si="2"/>
        <v>0</v>
      </c>
      <c r="G20" s="37">
        <f t="shared" si="2"/>
        <v>0</v>
      </c>
      <c r="H20" s="37">
        <f t="shared" si="2"/>
        <v>0</v>
      </c>
      <c r="I20" s="37">
        <f t="shared" si="2"/>
        <v>0</v>
      </c>
      <c r="J20" s="37">
        <f t="shared" si="2"/>
        <v>0</v>
      </c>
      <c r="K20" s="37">
        <f>'Property Expenses (Detail)'!$C$7*Property_CF!K9</f>
        <v>0</v>
      </c>
      <c r="L20" s="37">
        <f>'Property Expenses (Detail)'!$C$7*Property_CF!L9</f>
        <v>0</v>
      </c>
      <c r="M20" s="37">
        <f>'Property Expenses (Detail)'!$C$7*Property_CF!M9</f>
        <v>0</v>
      </c>
      <c r="N20" s="37">
        <f>'Property Expenses (Detail)'!$C$7*Property_CF!N9</f>
        <v>0</v>
      </c>
      <c r="O20" s="37">
        <f>'Property Expenses (Detail)'!$C$7*Property_CF!O9</f>
        <v>0</v>
      </c>
      <c r="P20" s="37">
        <f>'Property Expenses (Detail)'!$C$7*Property_CF!P9</f>
        <v>0</v>
      </c>
      <c r="Q20" s="37">
        <f>'Property Expenses (Detail)'!$C$7*Property_CF!Q9</f>
        <v>0</v>
      </c>
      <c r="R20" s="37">
        <f>'Property Expenses (Detail)'!$C$7*Property_CF!R9</f>
        <v>0</v>
      </c>
      <c r="S20" s="37">
        <f>'Property Expenses (Detail)'!$C$7*Property_CF!S9</f>
        <v>0</v>
      </c>
      <c r="T20" s="37">
        <f>'Property Expenses (Detail)'!$C$7*Property_CF!T9</f>
        <v>0</v>
      </c>
      <c r="U20" s="37">
        <f>'Property Expenses (Detail)'!$C$7*Property_CF!U9</f>
        <v>0</v>
      </c>
      <c r="V20" s="37">
        <f>'Property Expenses (Detail)'!$C$7*Property_CF!V9</f>
        <v>0</v>
      </c>
      <c r="W20" s="37">
        <f>'Property Expenses (Detail)'!$C$7*Property_CF!W9</f>
        <v>0</v>
      </c>
      <c r="X20" s="37">
        <f>'Property Expenses (Detail)'!$C$7*Property_CF!X9</f>
        <v>0</v>
      </c>
      <c r="Y20" s="37">
        <f>'Property Expenses (Detail)'!$C$7*Property_CF!Y9</f>
        <v>0</v>
      </c>
      <c r="Z20" s="37">
        <f>'Property Expenses (Detail)'!$C$7*Property_CF!Z9</f>
        <v>0</v>
      </c>
      <c r="AA20" s="37">
        <f>'Property Expenses (Detail)'!$C$7*Property_CF!AA9</f>
        <v>0</v>
      </c>
      <c r="AB20" s="37">
        <f>'Property Expenses (Detail)'!$C$7*Property_CF!AB9</f>
        <v>0</v>
      </c>
      <c r="AC20" s="37">
        <f>'Property Expenses (Detail)'!$C$7*Property_CF!AC9</f>
        <v>0</v>
      </c>
      <c r="AD20" s="37">
        <f>'Property Expenses (Detail)'!$C$7*Property_CF!AD9</f>
        <v>0</v>
      </c>
      <c r="AE20" s="37">
        <f>'Property Expenses (Detail)'!$C$7*Property_CF!AE9</f>
        <v>0</v>
      </c>
      <c r="AF20" s="37">
        <f>'Property Expenses (Detail)'!$C$7*Property_CF!AF9</f>
        <v>0</v>
      </c>
      <c r="AG20" s="37">
        <f>'Property Expenses (Detail)'!$C$7*Property_CF!AG9</f>
        <v>0</v>
      </c>
      <c r="AH20" s="37">
        <f>'Property Expenses (Detail)'!$C$7*Property_CF!AH9</f>
        <v>0</v>
      </c>
      <c r="AI20" s="37">
        <f>'Property Expenses (Detail)'!$C$7*Property_CF!AI9</f>
        <v>0</v>
      </c>
      <c r="AJ20" s="37">
        <f>'Property Expenses (Detail)'!$C$7*Property_CF!AJ9</f>
        <v>0</v>
      </c>
      <c r="AK20" s="37">
        <f>'Property Expenses (Detail)'!$C$7*Property_CF!AK9</f>
        <v>0</v>
      </c>
      <c r="AL20" s="37">
        <f>'Property Expenses (Detail)'!$C$7*Property_CF!AL9</f>
        <v>0</v>
      </c>
      <c r="AM20" s="37">
        <f>'Property Expenses (Detail)'!$C$7*Property_CF!AM9</f>
        <v>0</v>
      </c>
      <c r="AN20" s="37">
        <f>'Property Expenses (Detail)'!$C$7*Property_CF!AN9</f>
        <v>0</v>
      </c>
      <c r="AO20" s="37">
        <f>'Property Expenses (Detail)'!$C$7*Property_CF!AO9</f>
        <v>0</v>
      </c>
      <c r="AP20" s="37">
        <f>'Property Expenses (Detail)'!$C$7*Property_CF!AP9</f>
        <v>0</v>
      </c>
      <c r="AQ20" s="37">
        <f>'Property Expenses (Detail)'!$C$7*Property_CF!AQ9</f>
        <v>0</v>
      </c>
      <c r="AR20" s="37">
        <f>'Property Expenses (Detail)'!$C$7*Property_CF!AR9</f>
        <v>0</v>
      </c>
      <c r="AS20" s="37">
        <f>'Property Expenses (Detail)'!$C$7*Property_CF!AS9</f>
        <v>0</v>
      </c>
      <c r="AT20" s="37">
        <f>'Property Expenses (Detail)'!$C$7*Property_CF!AT9</f>
        <v>0</v>
      </c>
      <c r="AU20" s="37">
        <f>'Property Expenses (Detail)'!$C$7*Property_CF!AU9</f>
        <v>0</v>
      </c>
      <c r="AV20" s="37">
        <f>'Property Expenses (Detail)'!$C$7*Property_CF!AV9</f>
        <v>0</v>
      </c>
      <c r="AW20" s="37">
        <f>'Property Expenses (Detail)'!$C$7*Property_CF!AW9</f>
        <v>0</v>
      </c>
      <c r="AX20" s="37">
        <f>'Property Expenses (Detail)'!$C$7*Property_CF!AX9</f>
        <v>0</v>
      </c>
      <c r="AY20" s="37">
        <f>'Property Expenses (Detail)'!$C$7*Property_CF!AY9</f>
        <v>0</v>
      </c>
      <c r="AZ20" s="37">
        <f>'Property Expenses (Detail)'!$C$7*Property_CF!AZ9</f>
        <v>0</v>
      </c>
    </row>
    <row r="21" spans="1:52" s="37" customFormat="1">
      <c r="A21" s="78" t="s">
        <v>324</v>
      </c>
      <c r="B21" s="88"/>
      <c r="C21" s="88"/>
      <c r="D21" s="37">
        <f>C21* (1 + Scenarios!$K$10)</f>
        <v>0</v>
      </c>
      <c r="E21" s="37">
        <f>D21* (1 + Scenarios!$K$10)</f>
        <v>0</v>
      </c>
      <c r="F21" s="37">
        <f>E21* (1 + Scenarios!$K$10)</f>
        <v>0</v>
      </c>
      <c r="G21" s="37">
        <f>F21* (1 + Scenarios!$K$10)</f>
        <v>0</v>
      </c>
      <c r="H21" s="37">
        <f>G21* (1 + Scenarios!$K$10)</f>
        <v>0</v>
      </c>
      <c r="I21" s="37">
        <f>H21* (1 + Scenarios!$K$10)</f>
        <v>0</v>
      </c>
      <c r="J21" s="37">
        <f>I21* (1 + Scenarios!$K$10)</f>
        <v>0</v>
      </c>
      <c r="K21" s="37">
        <f>J21* (1 + Scenarios!$K$10)</f>
        <v>0</v>
      </c>
      <c r="L21" s="37">
        <f>K21* (1 + Scenarios!$K$10)</f>
        <v>0</v>
      </c>
      <c r="M21" s="37">
        <f>L21* (1 + Scenarios!$K$10)</f>
        <v>0</v>
      </c>
      <c r="N21" s="37">
        <f>M21* (1 + Scenarios!$K$10)</f>
        <v>0</v>
      </c>
      <c r="O21" s="37">
        <f>N21* (1 + Scenarios!$K$10)</f>
        <v>0</v>
      </c>
      <c r="P21" s="37">
        <f>O21* (1 + Scenarios!$K$10)</f>
        <v>0</v>
      </c>
      <c r="Q21" s="37">
        <f>P21* (1 + Scenarios!$K$10)</f>
        <v>0</v>
      </c>
      <c r="R21" s="37">
        <f>Q21* (1 + Scenarios!$K$10)</f>
        <v>0</v>
      </c>
      <c r="S21" s="37">
        <f>R21* (1 + Scenarios!$K$10)</f>
        <v>0</v>
      </c>
      <c r="T21" s="37">
        <f>S21* (1 + Scenarios!$K$10)</f>
        <v>0</v>
      </c>
      <c r="U21" s="37">
        <f>T21* (1 + Scenarios!$K$10)</f>
        <v>0</v>
      </c>
      <c r="V21" s="37">
        <f>U21* (1 + Scenarios!$K$10)</f>
        <v>0</v>
      </c>
      <c r="W21" s="37">
        <f>V21* (1 + Scenarios!$K$10)</f>
        <v>0</v>
      </c>
      <c r="X21" s="37">
        <f>W21* (1 + Scenarios!$K$10)</f>
        <v>0</v>
      </c>
      <c r="Y21" s="37">
        <f>X21* (1 + Scenarios!$K$10)</f>
        <v>0</v>
      </c>
      <c r="Z21" s="37">
        <f>Y21* (1 + Scenarios!$K$10)</f>
        <v>0</v>
      </c>
      <c r="AA21" s="37">
        <f>Z21* (1 + Scenarios!$K$10)</f>
        <v>0</v>
      </c>
      <c r="AB21" s="37">
        <f>AA21* (1 + Scenarios!$K$10)</f>
        <v>0</v>
      </c>
      <c r="AC21" s="37">
        <f>AB21* (1 + Scenarios!$K$10)</f>
        <v>0</v>
      </c>
      <c r="AD21" s="37">
        <f>AC21* (1 + Scenarios!$K$10)</f>
        <v>0</v>
      </c>
      <c r="AE21" s="37">
        <f>AD21* (1 + Scenarios!$K$10)</f>
        <v>0</v>
      </c>
      <c r="AF21" s="37">
        <f>AE21* (1 + Scenarios!$K$10)</f>
        <v>0</v>
      </c>
      <c r="AG21" s="37">
        <f>AF21* (1 + Scenarios!$K$10)</f>
        <v>0</v>
      </c>
      <c r="AH21" s="37">
        <f>AG21* (1 + Scenarios!$K$10)</f>
        <v>0</v>
      </c>
      <c r="AI21" s="37">
        <f>AH21* (1 + Scenarios!$K$10)</f>
        <v>0</v>
      </c>
      <c r="AJ21" s="37">
        <f>AI21* (1 + Scenarios!$K$10)</f>
        <v>0</v>
      </c>
      <c r="AK21" s="37">
        <f>AJ21* (1 + Scenarios!$K$10)</f>
        <v>0</v>
      </c>
      <c r="AL21" s="37">
        <f>AK21* (1 + Scenarios!$K$10)</f>
        <v>0</v>
      </c>
      <c r="AM21" s="37">
        <f>AL21* (1 + Scenarios!$K$10)</f>
        <v>0</v>
      </c>
      <c r="AN21" s="37">
        <f>AM21* (1 + Scenarios!$K$10)</f>
        <v>0</v>
      </c>
      <c r="AO21" s="37">
        <f>AN21* (1 + Scenarios!$K$10)</f>
        <v>0</v>
      </c>
      <c r="AP21" s="37">
        <f>AO21* (1 + Scenarios!$K$10)</f>
        <v>0</v>
      </c>
      <c r="AQ21" s="37">
        <f>AP21* (1 + Scenarios!$K$10)</f>
        <v>0</v>
      </c>
      <c r="AR21" s="37">
        <f>AQ21* (1 + Scenarios!$K$10)</f>
        <v>0</v>
      </c>
      <c r="AS21" s="37">
        <f>AR21* (1 + Scenarios!$K$10)</f>
        <v>0</v>
      </c>
      <c r="AT21" s="37">
        <f>AS21* (1 + Scenarios!$K$10)</f>
        <v>0</v>
      </c>
      <c r="AU21" s="37">
        <f>AT21* (1 + Scenarios!$K$10)</f>
        <v>0</v>
      </c>
      <c r="AV21" s="37">
        <f>AU21* (1 + Scenarios!$K$10)</f>
        <v>0</v>
      </c>
      <c r="AW21" s="37">
        <f>AV21* (1 + Scenarios!$K$10)</f>
        <v>0</v>
      </c>
      <c r="AX21" s="37">
        <f>AW21* (1 + Scenarios!$K$10)</f>
        <v>0</v>
      </c>
      <c r="AY21" s="37">
        <f>AX21* (1 + Scenarios!$K$10)</f>
        <v>0</v>
      </c>
      <c r="AZ21" s="37">
        <f>AY21* (1 + Scenarios!$K$10)</f>
        <v>0</v>
      </c>
    </row>
    <row r="22" spans="1:52" s="37" customFormat="1">
      <c r="A22" s="78" t="s">
        <v>325</v>
      </c>
      <c r="B22" s="90">
        <v>0</v>
      </c>
      <c r="C22" s="90">
        <v>0</v>
      </c>
      <c r="D22" s="37">
        <f>C22* (1 + Scenarios!$K$10)</f>
        <v>0</v>
      </c>
      <c r="E22" s="37">
        <f>D22* (1 + Scenarios!$K$10)</f>
        <v>0</v>
      </c>
      <c r="F22" s="37">
        <f>E22* (1 + Scenarios!$K$10)</f>
        <v>0</v>
      </c>
      <c r="G22" s="37">
        <f>F22* (1 + Scenarios!$K$10)</f>
        <v>0</v>
      </c>
      <c r="H22" s="37">
        <f>G22* (1 + Scenarios!$K$10)</f>
        <v>0</v>
      </c>
      <c r="I22" s="37">
        <f>H22* (1 + Scenarios!$K$10)</f>
        <v>0</v>
      </c>
      <c r="J22" s="37">
        <f>I22* (1 + Scenarios!$K$10)</f>
        <v>0</v>
      </c>
      <c r="K22" s="37">
        <f>J22* (1 + Scenarios!$K$10)</f>
        <v>0</v>
      </c>
      <c r="L22" s="37">
        <f>K22* (1 + Scenarios!$K$10)</f>
        <v>0</v>
      </c>
      <c r="M22" s="37">
        <f>L22* (1 + Scenarios!$K$10)</f>
        <v>0</v>
      </c>
      <c r="N22" s="37">
        <f>M22* (1 + Scenarios!$K$10)</f>
        <v>0</v>
      </c>
      <c r="O22" s="37">
        <f>N22* (1 + Scenarios!$K$10)</f>
        <v>0</v>
      </c>
      <c r="P22" s="37">
        <f>O22* (1 + Scenarios!$K$10)</f>
        <v>0</v>
      </c>
      <c r="Q22" s="37">
        <f>P22* (1 + Scenarios!$K$10)</f>
        <v>0</v>
      </c>
      <c r="R22" s="37">
        <f>Q22* (1 + Scenarios!$K$10)</f>
        <v>0</v>
      </c>
      <c r="S22" s="37">
        <f>R22* (1 + Scenarios!$K$10)</f>
        <v>0</v>
      </c>
      <c r="T22" s="37">
        <f>S22* (1 + Scenarios!$K$10)</f>
        <v>0</v>
      </c>
      <c r="U22" s="37">
        <f>T22* (1 + Scenarios!$K$10)</f>
        <v>0</v>
      </c>
      <c r="V22" s="37">
        <f>U22* (1 + Scenarios!$K$10)</f>
        <v>0</v>
      </c>
      <c r="W22" s="37">
        <f>V22* (1 + Scenarios!$K$10)</f>
        <v>0</v>
      </c>
      <c r="X22" s="37">
        <f>W22* (1 + Scenarios!$K$10)</f>
        <v>0</v>
      </c>
      <c r="Y22" s="37">
        <f>X22* (1 + Scenarios!$K$10)</f>
        <v>0</v>
      </c>
      <c r="Z22" s="37">
        <f>Y22* (1 + Scenarios!$K$10)</f>
        <v>0</v>
      </c>
      <c r="AA22" s="37">
        <f>Z22* (1 + Scenarios!$K$10)</f>
        <v>0</v>
      </c>
      <c r="AB22" s="37">
        <f>AA22* (1 + Scenarios!$K$10)</f>
        <v>0</v>
      </c>
      <c r="AC22" s="37">
        <f>AB22* (1 + Scenarios!$K$10)</f>
        <v>0</v>
      </c>
      <c r="AD22" s="37">
        <f>AC22* (1 + Scenarios!$K$10)</f>
        <v>0</v>
      </c>
      <c r="AE22" s="37">
        <f>AD22* (1 + Scenarios!$K$10)</f>
        <v>0</v>
      </c>
      <c r="AF22" s="37">
        <f>AE22* (1 + Scenarios!$K$10)</f>
        <v>0</v>
      </c>
      <c r="AG22" s="37">
        <f>AF22* (1 + Scenarios!$K$10)</f>
        <v>0</v>
      </c>
      <c r="AH22" s="37">
        <f>AG22* (1 + Scenarios!$K$10)</f>
        <v>0</v>
      </c>
      <c r="AI22" s="37">
        <f>AH22* (1 + Scenarios!$K$10)</f>
        <v>0</v>
      </c>
      <c r="AJ22" s="37">
        <f>AI22* (1 + Scenarios!$K$10)</f>
        <v>0</v>
      </c>
      <c r="AK22" s="37">
        <f>AJ22* (1 + Scenarios!$K$10)</f>
        <v>0</v>
      </c>
      <c r="AL22" s="37">
        <f>AK22* (1 + Scenarios!$K$10)</f>
        <v>0</v>
      </c>
      <c r="AM22" s="37">
        <f>AL22* (1 + Scenarios!$K$10)</f>
        <v>0</v>
      </c>
      <c r="AN22" s="37">
        <f>AM22* (1 + Scenarios!$K$10)</f>
        <v>0</v>
      </c>
      <c r="AO22" s="37">
        <f>AN22* (1 + Scenarios!$K$10)</f>
        <v>0</v>
      </c>
      <c r="AP22" s="37">
        <f>AO22* (1 + Scenarios!$K$10)</f>
        <v>0</v>
      </c>
      <c r="AQ22" s="37">
        <f>AP22* (1 + Scenarios!$K$10)</f>
        <v>0</v>
      </c>
      <c r="AR22" s="37">
        <f>AQ22* (1 + Scenarios!$K$10)</f>
        <v>0</v>
      </c>
      <c r="AS22" s="37">
        <f>AR22* (1 + Scenarios!$K$10)</f>
        <v>0</v>
      </c>
      <c r="AT22" s="37">
        <f>AS22* (1 + Scenarios!$K$10)</f>
        <v>0</v>
      </c>
      <c r="AU22" s="37">
        <f>AT22* (1 + Scenarios!$K$10)</f>
        <v>0</v>
      </c>
      <c r="AV22" s="37">
        <f>AU22* (1 + Scenarios!$K$10)</f>
        <v>0</v>
      </c>
      <c r="AW22" s="37">
        <f>AV22* (1 + Scenarios!$K$10)</f>
        <v>0</v>
      </c>
      <c r="AX22" s="37">
        <f>AW22* (1 + Scenarios!$K$10)</f>
        <v>0</v>
      </c>
      <c r="AY22" s="37">
        <f>AX22* (1 + Scenarios!$K$10)</f>
        <v>0</v>
      </c>
      <c r="AZ22" s="37">
        <f>AY22* (1 + Scenarios!$K$10)</f>
        <v>0</v>
      </c>
    </row>
    <row r="23" spans="1:52" s="37" customFormat="1">
      <c r="A23" s="78" t="s">
        <v>326</v>
      </c>
      <c r="B23" s="90">
        <v>0</v>
      </c>
      <c r="C23" s="90">
        <v>0</v>
      </c>
      <c r="D23" s="37">
        <f>C23* (1 + Scenarios!$K$10)</f>
        <v>0</v>
      </c>
      <c r="E23" s="37">
        <f>D23* (1 + Scenarios!$K$10)</f>
        <v>0</v>
      </c>
      <c r="F23" s="37">
        <f>E23* (1 + Scenarios!$K$10)</f>
        <v>0</v>
      </c>
      <c r="G23" s="37">
        <f>F23* (1 + Scenarios!$K$10)</f>
        <v>0</v>
      </c>
      <c r="H23" s="37">
        <f>G23* (1 + Scenarios!$K$10)</f>
        <v>0</v>
      </c>
      <c r="I23" s="37">
        <f>H23* (1 + Scenarios!$K$10)</f>
        <v>0</v>
      </c>
      <c r="J23" s="37">
        <f>I23* (1 + Scenarios!$K$10)</f>
        <v>0</v>
      </c>
      <c r="K23" s="37">
        <f>J23* (1 + Scenarios!$K$10)</f>
        <v>0</v>
      </c>
      <c r="L23" s="37">
        <f>K23* (1 + Scenarios!$K$10)</f>
        <v>0</v>
      </c>
      <c r="M23" s="37">
        <f>L23* (1 + Scenarios!$K$10)</f>
        <v>0</v>
      </c>
      <c r="N23" s="37">
        <f>M23* (1 + Scenarios!$K$10)</f>
        <v>0</v>
      </c>
      <c r="O23" s="37">
        <f>N23* (1 + Scenarios!$K$10)</f>
        <v>0</v>
      </c>
      <c r="P23" s="37">
        <f>O23* (1 + Scenarios!$K$10)</f>
        <v>0</v>
      </c>
      <c r="Q23" s="37">
        <f>P23* (1 + Scenarios!$K$10)</f>
        <v>0</v>
      </c>
      <c r="R23" s="37">
        <f>Q23* (1 + Scenarios!$K$10)</f>
        <v>0</v>
      </c>
      <c r="S23" s="37">
        <f>R23* (1 + Scenarios!$K$10)</f>
        <v>0</v>
      </c>
      <c r="T23" s="37">
        <f>S23* (1 + Scenarios!$K$10)</f>
        <v>0</v>
      </c>
      <c r="U23" s="37">
        <f>T23* (1 + Scenarios!$K$10)</f>
        <v>0</v>
      </c>
      <c r="V23" s="37">
        <f>U23* (1 + Scenarios!$K$10)</f>
        <v>0</v>
      </c>
      <c r="W23" s="37">
        <f>V23* (1 + Scenarios!$K$10)</f>
        <v>0</v>
      </c>
      <c r="X23" s="37">
        <f>W23* (1 + Scenarios!$K$10)</f>
        <v>0</v>
      </c>
      <c r="Y23" s="37">
        <f>X23* (1 + Scenarios!$K$10)</f>
        <v>0</v>
      </c>
      <c r="Z23" s="37">
        <f>Y23* (1 + Scenarios!$K$10)</f>
        <v>0</v>
      </c>
      <c r="AA23" s="37">
        <f>Z23* (1 + Scenarios!$K$10)</f>
        <v>0</v>
      </c>
      <c r="AB23" s="37">
        <f>AA23* (1 + Scenarios!$K$10)</f>
        <v>0</v>
      </c>
      <c r="AC23" s="37">
        <f>AB23* (1 + Scenarios!$K$10)</f>
        <v>0</v>
      </c>
      <c r="AD23" s="37">
        <f>AC23* (1 + Scenarios!$K$10)</f>
        <v>0</v>
      </c>
      <c r="AE23" s="37">
        <f>AD23* (1 + Scenarios!$K$10)</f>
        <v>0</v>
      </c>
      <c r="AF23" s="37">
        <f>AE23* (1 + Scenarios!$K$10)</f>
        <v>0</v>
      </c>
      <c r="AG23" s="37">
        <f>AF23* (1 + Scenarios!$K$10)</f>
        <v>0</v>
      </c>
      <c r="AH23" s="37">
        <f>AG23* (1 + Scenarios!$K$10)</f>
        <v>0</v>
      </c>
      <c r="AI23" s="37">
        <f>AH23* (1 + Scenarios!$K$10)</f>
        <v>0</v>
      </c>
      <c r="AJ23" s="37">
        <f>AI23* (1 + Scenarios!$K$10)</f>
        <v>0</v>
      </c>
      <c r="AK23" s="37">
        <f>AJ23* (1 + Scenarios!$K$10)</f>
        <v>0</v>
      </c>
      <c r="AL23" s="37">
        <f>AK23* (1 + Scenarios!$K$10)</f>
        <v>0</v>
      </c>
      <c r="AM23" s="37">
        <f>AL23* (1 + Scenarios!$K$10)</f>
        <v>0</v>
      </c>
      <c r="AN23" s="37">
        <f>AM23* (1 + Scenarios!$K$10)</f>
        <v>0</v>
      </c>
      <c r="AO23" s="37">
        <f>AN23* (1 + Scenarios!$K$10)</f>
        <v>0</v>
      </c>
      <c r="AP23" s="37">
        <f>AO23* (1 + Scenarios!$K$10)</f>
        <v>0</v>
      </c>
      <c r="AQ23" s="37">
        <f>AP23* (1 + Scenarios!$K$10)</f>
        <v>0</v>
      </c>
      <c r="AR23" s="37">
        <f>AQ23* (1 + Scenarios!$K$10)</f>
        <v>0</v>
      </c>
      <c r="AS23" s="37">
        <f>AR23* (1 + Scenarios!$K$10)</f>
        <v>0</v>
      </c>
      <c r="AT23" s="37">
        <f>AS23* (1 + Scenarios!$K$10)</f>
        <v>0</v>
      </c>
      <c r="AU23" s="37">
        <f>AT23* (1 + Scenarios!$K$10)</f>
        <v>0</v>
      </c>
      <c r="AV23" s="37">
        <f>AU23* (1 + Scenarios!$K$10)</f>
        <v>0</v>
      </c>
      <c r="AW23" s="37">
        <f>AV23* (1 + Scenarios!$K$10)</f>
        <v>0</v>
      </c>
      <c r="AX23" s="37">
        <f>AW23* (1 + Scenarios!$K$10)</f>
        <v>0</v>
      </c>
      <c r="AY23" s="37">
        <f>AX23* (1 + Scenarios!$K$10)</f>
        <v>0</v>
      </c>
      <c r="AZ23" s="37">
        <f>AY23* (1 + Scenarios!$K$10)</f>
        <v>0</v>
      </c>
    </row>
    <row r="24" spans="1:52" s="37" customFormat="1">
      <c r="A24" s="78" t="s">
        <v>327</v>
      </c>
      <c r="B24" s="90">
        <v>0</v>
      </c>
      <c r="C24" s="90">
        <v>0</v>
      </c>
      <c r="D24" s="37">
        <f>C24* (1 + Scenarios!$K$10)</f>
        <v>0</v>
      </c>
      <c r="E24" s="37">
        <f>D24* (1 + Scenarios!$K$10)</f>
        <v>0</v>
      </c>
      <c r="F24" s="37">
        <f>E24* (1 + Scenarios!$K$10)</f>
        <v>0</v>
      </c>
      <c r="G24" s="37">
        <f>F24* (1 + Scenarios!$K$10)</f>
        <v>0</v>
      </c>
      <c r="H24" s="37">
        <f>G24* (1 + Scenarios!$K$10)</f>
        <v>0</v>
      </c>
      <c r="I24" s="37">
        <f>H24* (1 + Scenarios!$K$10)</f>
        <v>0</v>
      </c>
      <c r="J24" s="37">
        <f>I24* (1 + Scenarios!$K$10)</f>
        <v>0</v>
      </c>
      <c r="K24" s="37">
        <f>J24* (1 + Scenarios!$K$10)</f>
        <v>0</v>
      </c>
      <c r="L24" s="37">
        <f>K24* (1 + Scenarios!$K$10)</f>
        <v>0</v>
      </c>
      <c r="M24" s="37">
        <f>L24* (1 + Scenarios!$K$10)</f>
        <v>0</v>
      </c>
      <c r="N24" s="37">
        <f>M24* (1 + Scenarios!$K$10)</f>
        <v>0</v>
      </c>
      <c r="O24" s="37">
        <f>N24* (1 + Scenarios!$K$10)</f>
        <v>0</v>
      </c>
      <c r="P24" s="37">
        <f>O24* (1 + Scenarios!$K$10)</f>
        <v>0</v>
      </c>
      <c r="Q24" s="37">
        <f>P24* (1 + Scenarios!$K$10)</f>
        <v>0</v>
      </c>
      <c r="R24" s="37">
        <f>Q24* (1 + Scenarios!$K$10)</f>
        <v>0</v>
      </c>
      <c r="S24" s="37">
        <f>R24* (1 + Scenarios!$K$10)</f>
        <v>0</v>
      </c>
      <c r="T24" s="37">
        <f>S24* (1 + Scenarios!$K$10)</f>
        <v>0</v>
      </c>
      <c r="U24" s="37">
        <f>T24* (1 + Scenarios!$K$10)</f>
        <v>0</v>
      </c>
      <c r="V24" s="37">
        <f>U24* (1 + Scenarios!$K$10)</f>
        <v>0</v>
      </c>
      <c r="W24" s="37">
        <f>V24* (1 + Scenarios!$K$10)</f>
        <v>0</v>
      </c>
      <c r="X24" s="37">
        <f>W24* (1 + Scenarios!$K$10)</f>
        <v>0</v>
      </c>
      <c r="Y24" s="37">
        <f>X24* (1 + Scenarios!$K$10)</f>
        <v>0</v>
      </c>
      <c r="Z24" s="37">
        <f>Y24* (1 + Scenarios!$K$10)</f>
        <v>0</v>
      </c>
      <c r="AA24" s="37">
        <f>Z24* (1 + Scenarios!$K$10)</f>
        <v>0</v>
      </c>
      <c r="AB24" s="37">
        <f>AA24* (1 + Scenarios!$K$10)</f>
        <v>0</v>
      </c>
      <c r="AC24" s="37">
        <f>AB24* (1 + Scenarios!$K$10)</f>
        <v>0</v>
      </c>
      <c r="AD24" s="37">
        <f>AC24* (1 + Scenarios!$K$10)</f>
        <v>0</v>
      </c>
      <c r="AE24" s="37">
        <f>AD24* (1 + Scenarios!$K$10)</f>
        <v>0</v>
      </c>
      <c r="AF24" s="37">
        <f>AE24* (1 + Scenarios!$K$10)</f>
        <v>0</v>
      </c>
      <c r="AG24" s="37">
        <f>AF24* (1 + Scenarios!$K$10)</f>
        <v>0</v>
      </c>
      <c r="AH24" s="37">
        <f>AG24* (1 + Scenarios!$K$10)</f>
        <v>0</v>
      </c>
      <c r="AI24" s="37">
        <f>AH24* (1 + Scenarios!$K$10)</f>
        <v>0</v>
      </c>
      <c r="AJ24" s="37">
        <f>AI24* (1 + Scenarios!$K$10)</f>
        <v>0</v>
      </c>
      <c r="AK24" s="37">
        <f>AJ24* (1 + Scenarios!$K$10)</f>
        <v>0</v>
      </c>
      <c r="AL24" s="37">
        <f>AK24* (1 + Scenarios!$K$10)</f>
        <v>0</v>
      </c>
      <c r="AM24" s="37">
        <f>AL24* (1 + Scenarios!$K$10)</f>
        <v>0</v>
      </c>
      <c r="AN24" s="37">
        <f>AM24* (1 + Scenarios!$K$10)</f>
        <v>0</v>
      </c>
      <c r="AO24" s="37">
        <f>AN24* (1 + Scenarios!$K$10)</f>
        <v>0</v>
      </c>
      <c r="AP24" s="37">
        <f>AO24* (1 + Scenarios!$K$10)</f>
        <v>0</v>
      </c>
      <c r="AQ24" s="37">
        <f>AP24* (1 + Scenarios!$K$10)</f>
        <v>0</v>
      </c>
      <c r="AR24" s="37">
        <f>AQ24* (1 + Scenarios!$K$10)</f>
        <v>0</v>
      </c>
      <c r="AS24" s="37">
        <f>AR24* (1 + Scenarios!$K$10)</f>
        <v>0</v>
      </c>
      <c r="AT24" s="37">
        <f>AS24* (1 + Scenarios!$K$10)</f>
        <v>0</v>
      </c>
      <c r="AU24" s="37">
        <f>AT24* (1 + Scenarios!$K$10)</f>
        <v>0</v>
      </c>
      <c r="AV24" s="37">
        <f>AU24* (1 + Scenarios!$K$10)</f>
        <v>0</v>
      </c>
      <c r="AW24" s="37">
        <f>AV24* (1 + Scenarios!$K$10)</f>
        <v>0</v>
      </c>
      <c r="AX24" s="37">
        <f>AW24* (1 + Scenarios!$K$10)</f>
        <v>0</v>
      </c>
      <c r="AY24" s="37">
        <f>AX24* (1 + Scenarios!$K$10)</f>
        <v>0</v>
      </c>
      <c r="AZ24" s="37">
        <f>AY24* (1 + Scenarios!$K$10)</f>
        <v>0</v>
      </c>
    </row>
    <row r="25" spans="1:52" s="37" customFormat="1">
      <c r="A25" s="77" t="s">
        <v>328</v>
      </c>
    </row>
    <row r="26" spans="1:52" s="37" customFormat="1">
      <c r="A26" s="78" t="s">
        <v>329</v>
      </c>
      <c r="B26" s="37">
        <f>Loan_IO_to_PI!M26</f>
        <v>27444.211490999998</v>
      </c>
      <c r="C26" s="37">
        <f>Loan_IO_to_PI!N26</f>
        <v>27444.211490999998</v>
      </c>
      <c r="D26" s="37">
        <f>Loan_IO_to_PI!O26</f>
        <v>27444.211490999998</v>
      </c>
      <c r="E26" s="37">
        <f>Loan_IO_to_PI!P26</f>
        <v>27444.211490999998</v>
      </c>
      <c r="F26" s="37">
        <f>Loan_IO_to_PI!Q26</f>
        <v>27444.211490999998</v>
      </c>
      <c r="G26" s="37">
        <f>Loan_IO_to_PI!R26</f>
        <v>27444.211490999998</v>
      </c>
      <c r="H26" s="37">
        <f>Loan_IO_to_PI!S26</f>
        <v>25341.452433687944</v>
      </c>
      <c r="I26" s="37">
        <f>Loan_IO_to_PI!T26</f>
        <v>23116.943626957524</v>
      </c>
      <c r="J26" s="37">
        <f>Loan_IO_to_PI!U26</f>
        <v>20763.635760317407</v>
      </c>
      <c r="K26" s="37">
        <f>Loan_IO_to_PI!V26</f>
        <v>18274.071368198831</v>
      </c>
      <c r="L26" s="37">
        <f>Loan_IO_to_PI!W26</f>
        <v>15640.361197776592</v>
      </c>
      <c r="M26" s="37">
        <f>Loan_IO_to_PI!X26</f>
        <v>12854.159208486903</v>
      </c>
      <c r="N26" s="37">
        <f>Loan_IO_to_PI!Y26</f>
        <v>9906.636124017341</v>
      </c>
      <c r="O26" s="37">
        <f>Loan_IO_to_PI!Z26</f>
        <v>6788.4514529569924</v>
      </c>
      <c r="P26" s="37">
        <f>Loan_IO_to_PI!AA26</f>
        <v>3489.7238894422485</v>
      </c>
      <c r="Q26" s="37">
        <f>Loan_IO_to_PI!AB26</f>
        <v>0</v>
      </c>
      <c r="R26" s="37">
        <f>Loan_IO_to_PI!AC26</f>
        <v>0</v>
      </c>
      <c r="S26" s="37">
        <f>Loan_IO_to_PI!AD26</f>
        <v>0</v>
      </c>
      <c r="T26" s="37">
        <f>Loan_IO_to_PI!AE26</f>
        <v>0</v>
      </c>
      <c r="U26" s="37">
        <f>Loan_IO_to_PI!AF26</f>
        <v>0</v>
      </c>
      <c r="V26" s="37">
        <f>Loan_IO_to_PI!AG26</f>
        <v>0</v>
      </c>
      <c r="W26" s="37">
        <f>Loan_IO_to_PI!AH26</f>
        <v>0</v>
      </c>
      <c r="X26" s="37">
        <f>Loan_IO_to_PI!AI26</f>
        <v>0</v>
      </c>
      <c r="Y26" s="37">
        <f>Loan_IO_to_PI!AJ26</f>
        <v>0</v>
      </c>
      <c r="Z26" s="37">
        <f>Loan_IO_to_PI!AK26</f>
        <v>0</v>
      </c>
      <c r="AA26" s="37">
        <v>0</v>
      </c>
      <c r="AB26" s="37">
        <v>0</v>
      </c>
      <c r="AC26" s="37">
        <v>0</v>
      </c>
      <c r="AD26" s="37">
        <v>0</v>
      </c>
      <c r="AE26" s="37">
        <v>0</v>
      </c>
      <c r="AF26" s="37">
        <v>0</v>
      </c>
      <c r="AG26" s="37">
        <v>0</v>
      </c>
      <c r="AH26" s="37">
        <v>0</v>
      </c>
      <c r="AI26" s="37">
        <v>0</v>
      </c>
      <c r="AJ26" s="37">
        <v>0</v>
      </c>
      <c r="AK26" s="37">
        <v>0</v>
      </c>
      <c r="AL26" s="37">
        <v>0</v>
      </c>
      <c r="AM26" s="37">
        <v>0</v>
      </c>
      <c r="AN26" s="37">
        <v>0</v>
      </c>
      <c r="AO26" s="37">
        <v>0</v>
      </c>
      <c r="AP26" s="37">
        <v>0</v>
      </c>
      <c r="AQ26" s="37">
        <v>0</v>
      </c>
      <c r="AR26" s="37">
        <v>0</v>
      </c>
      <c r="AS26" s="37">
        <v>0</v>
      </c>
      <c r="AT26" s="37">
        <v>0</v>
      </c>
      <c r="AU26" s="37">
        <v>0</v>
      </c>
      <c r="AV26" s="37">
        <v>0</v>
      </c>
      <c r="AW26" s="37">
        <v>0</v>
      </c>
      <c r="AX26" s="37">
        <v>0</v>
      </c>
      <c r="AY26" s="37">
        <v>0</v>
      </c>
      <c r="AZ26" s="37">
        <v>0</v>
      </c>
    </row>
    <row r="27" spans="1:52" s="37" customFormat="1">
      <c r="A27" s="78" t="s">
        <v>330</v>
      </c>
      <c r="B27" s="37">
        <f>Loan_IO_to_PI!M28</f>
        <v>0</v>
      </c>
      <c r="C27" s="37">
        <f>Loan_IO_to_PI!N28</f>
        <v>0</v>
      </c>
      <c r="D27" s="37">
        <f>Loan_IO_to_PI!O28</f>
        <v>0</v>
      </c>
      <c r="E27" s="37">
        <f>Loan_IO_to_PI!P28</f>
        <v>0</v>
      </c>
      <c r="F27" s="37">
        <f>Loan_IO_to_PI!Q28</f>
        <v>0</v>
      </c>
      <c r="G27" s="37">
        <f>Loan_IO_to_PI!R28</f>
        <v>36317.082164284177</v>
      </c>
      <c r="H27" s="37">
        <f>Loan_IO_to_PI!S28</f>
        <v>38419.841221596231</v>
      </c>
      <c r="I27" s="37">
        <f>Loan_IO_to_PI!T28</f>
        <v>40644.350028326662</v>
      </c>
      <c r="J27" s="37">
        <f>Loan_IO_to_PI!U28</f>
        <v>42997.65789496676</v>
      </c>
      <c r="K27" s="37">
        <f>Loan_IO_to_PI!V28</f>
        <v>45487.222287085329</v>
      </c>
      <c r="L27" s="37">
        <f>Loan_IO_to_PI!W28</f>
        <v>48120.932457507573</v>
      </c>
      <c r="M27" s="37">
        <f>Loan_IO_to_PI!X28</f>
        <v>50907.134446797267</v>
      </c>
      <c r="N27" s="37">
        <f>Loan_IO_to_PI!Y28</f>
        <v>53854.657531266828</v>
      </c>
      <c r="O27" s="37">
        <f>Loan_IO_to_PI!Z28</f>
        <v>56972.842202327178</v>
      </c>
      <c r="P27" s="37">
        <f>Loan_IO_to_PI!AA28</f>
        <v>60271.569765841952</v>
      </c>
      <c r="Q27" s="37">
        <f>Loan_IO_to_PI!AB28</f>
        <v>0</v>
      </c>
      <c r="R27" s="37">
        <f>Loan_IO_to_PI!AC28</f>
        <v>0</v>
      </c>
      <c r="S27" s="37">
        <f>Loan_IO_to_PI!AD28</f>
        <v>0</v>
      </c>
      <c r="T27" s="37">
        <f>Loan_IO_to_PI!AE28</f>
        <v>0</v>
      </c>
      <c r="U27" s="37">
        <f>Loan_IO_to_PI!AF28</f>
        <v>0</v>
      </c>
      <c r="V27" s="37">
        <f>Loan_IO_to_PI!AG28</f>
        <v>0</v>
      </c>
      <c r="W27" s="37">
        <f>Loan_IO_to_PI!AH28</f>
        <v>0</v>
      </c>
      <c r="X27" s="37">
        <f>Loan_IO_to_PI!AI28</f>
        <v>0</v>
      </c>
      <c r="Y27" s="37">
        <f>Loan_IO_to_PI!AJ28</f>
        <v>0</v>
      </c>
      <c r="Z27" s="37">
        <f>Loan_IO_to_PI!AK28</f>
        <v>0</v>
      </c>
      <c r="AA27" s="37">
        <v>0</v>
      </c>
      <c r="AB27" s="37">
        <v>0</v>
      </c>
      <c r="AC27" s="37">
        <v>0</v>
      </c>
      <c r="AD27" s="37">
        <v>0</v>
      </c>
      <c r="AE27" s="37">
        <v>0</v>
      </c>
      <c r="AF27" s="37">
        <v>0</v>
      </c>
      <c r="AG27" s="37">
        <v>0</v>
      </c>
      <c r="AH27" s="37">
        <v>0</v>
      </c>
      <c r="AI27" s="37">
        <v>0</v>
      </c>
      <c r="AJ27" s="37">
        <v>0</v>
      </c>
      <c r="AK27" s="37">
        <v>0</v>
      </c>
      <c r="AL27" s="37">
        <v>0</v>
      </c>
      <c r="AM27" s="37">
        <v>0</v>
      </c>
      <c r="AN27" s="37">
        <v>0</v>
      </c>
      <c r="AO27" s="37">
        <v>0</v>
      </c>
      <c r="AP27" s="37">
        <v>0</v>
      </c>
      <c r="AQ27" s="37">
        <v>0</v>
      </c>
      <c r="AR27" s="37">
        <v>0</v>
      </c>
      <c r="AS27" s="37">
        <v>0</v>
      </c>
      <c r="AT27" s="37">
        <v>0</v>
      </c>
      <c r="AU27" s="37">
        <v>0</v>
      </c>
      <c r="AV27" s="37">
        <v>0</v>
      </c>
      <c r="AW27" s="37">
        <v>0</v>
      </c>
      <c r="AX27" s="37">
        <v>0</v>
      </c>
      <c r="AY27" s="37">
        <v>0</v>
      </c>
      <c r="AZ27" s="37">
        <v>0</v>
      </c>
    </row>
    <row r="28" spans="1:52" s="37" customFormat="1">
      <c r="A28" s="78" t="s">
        <v>331</v>
      </c>
      <c r="B28" s="88">
        <f>IF(
  AND(
    Loan_IO_to_PI!M$24="P&amp;I",
    Loan_IO_to_PI!L$24="IO",
    Loan_IO_to_PI!M$28&gt;0
  ),
  Loan_IO_to_PI!$B$8,
  0
)</f>
        <v>0</v>
      </c>
      <c r="C28" s="88">
        <f>IF(
  AND(
    Loan_IO_to_PI!N$24="P&amp;I",
    Loan_IO_to_PI!M$24="IO",
    Loan_IO_to_PI!N$28&gt;0
  ),
  Loan_IO_to_PI!$B$8,
  0
)</f>
        <v>0</v>
      </c>
      <c r="D28" s="37">
        <f>IF(
  AND(
    Loan_IO_to_PI!O$24="P&amp;I",
    Loan_IO_to_PI!N$24="IO",
    Loan_IO_to_PI!O$28&gt;0
  ),
  Loan_IO_to_PI!$B$8,
  0
)</f>
        <v>0</v>
      </c>
      <c r="E28" s="37">
        <f>IF(
  AND(
    Loan_IO_to_PI!P$24="P&amp;I",
    Loan_IO_to_PI!O$24="IO",
    Loan_IO_to_PI!P$28&gt;0
  ),
  Loan_IO_to_PI!$B$8,
  0
)</f>
        <v>0</v>
      </c>
      <c r="F28" s="37">
        <f>IF(
  AND(
    Loan_IO_to_PI!Q$24="P&amp;I",
    Loan_IO_to_PI!P$24="IO",
    Loan_IO_to_PI!Q$28&gt;0
  ),
  Loan_IO_to_PI!$B$8,
  0
)</f>
        <v>0</v>
      </c>
      <c r="G28" s="37">
        <f>IF(
  AND(
    Loan_IO_to_PI!R$24="P&amp;I",
    Loan_IO_to_PI!Q$24="IO",
    Loan_IO_to_PI!R$28&gt;0
  ),
  Loan_IO_to_PI!$B$8,
  0
)</f>
        <v>650</v>
      </c>
      <c r="H28" s="37">
        <f>IF(
  AND(
    Loan_IO_to_PI!S$24="P&amp;I",
    Loan_IO_to_PI!R$24="IO",
    Loan_IO_to_PI!S$28&gt;0
  ),
  Loan_IO_to_PI!$B$8,
  0
)</f>
        <v>0</v>
      </c>
      <c r="I28" s="37">
        <f>IF(
  AND(
    Loan_IO_to_PI!T$24="P&amp;I",
    Loan_IO_to_PI!S$24="IO",
    Loan_IO_to_PI!T$28&gt;0
  ),
  Loan_IO_to_PI!$B$8,
  0
)</f>
        <v>0</v>
      </c>
      <c r="J28" s="37">
        <f>IF(
  AND(
    Loan_IO_to_PI!U$24="P&amp;I",
    Loan_IO_to_PI!T$24="IO",
    Loan_IO_to_PI!U$28&gt;0
  ),
  Loan_IO_to_PI!$B$8,
  0
)</f>
        <v>0</v>
      </c>
      <c r="K28" s="37">
        <f>IF(
  AND(
    Loan_IO_to_PI!V$24="P&amp;I",
    Loan_IO_to_PI!U$24="IO",
    Loan_IO_to_PI!V$28&gt;0
  ),
  Loan_IO_to_PI!$B$8,
  0
)</f>
        <v>0</v>
      </c>
      <c r="L28" s="37">
        <f>IF(
  AND(
    Loan_IO_to_PI!W$24="P&amp;I",
    Loan_IO_to_PI!V$24="IO",
    Loan_IO_to_PI!W$28&gt;0
  ),
  Loan_IO_to_PI!$B$8,
  0
)</f>
        <v>0</v>
      </c>
      <c r="M28" s="37">
        <f>IF(
  AND(
    Loan_IO_to_PI!X$24="P&amp;I",
    Loan_IO_to_PI!W$24="IO",
    Loan_IO_to_PI!X$28&gt;0
  ),
  Loan_IO_to_PI!$B$8,
  0
)</f>
        <v>0</v>
      </c>
      <c r="N28" s="37">
        <f>IF(
  AND(
    Loan_IO_to_PI!Y$24="P&amp;I",
    Loan_IO_to_PI!X$24="IO",
    Loan_IO_to_PI!Y$28&gt;0
  ),
  Loan_IO_to_PI!$B$8,
  0
)</f>
        <v>0</v>
      </c>
      <c r="O28" s="37">
        <f>IF(
  AND(
    Loan_IO_to_PI!Z$24="P&amp;I",
    Loan_IO_to_PI!Y$24="IO",
    Loan_IO_to_PI!Z$28&gt;0
  ),
  Loan_IO_to_PI!$B$8,
  0
)</f>
        <v>0</v>
      </c>
      <c r="P28" s="37">
        <f>IF(
  AND(
    Loan_IO_to_PI!AA$24="P&amp;I",
    Loan_IO_to_PI!Z$24="IO",
    Loan_IO_to_PI!AA$28&gt;0
  ),
  Loan_IO_to_PI!$B$8,
  0
)</f>
        <v>0</v>
      </c>
      <c r="Q28" s="37">
        <f>IF(
  AND(
    Loan_IO_to_PI!AB$24="P&amp;I",
    Loan_IO_to_PI!AA$24="IO",
    Loan_IO_to_PI!AB$28&gt;0
  ),
  Loan_IO_to_PI!$B$8,
  0
)</f>
        <v>0</v>
      </c>
      <c r="R28" s="37">
        <f>IF(
  AND(
    Loan_IO_to_PI!AC$24="P&amp;I",
    Loan_IO_to_PI!AB$24="IO",
    Loan_IO_to_PI!AC$28&gt;0
  ),
  Loan_IO_to_PI!$B$8,
  0
)</f>
        <v>0</v>
      </c>
      <c r="S28" s="37">
        <f>IF(
  AND(
    Loan_IO_to_PI!AD$24="P&amp;I",
    Loan_IO_to_PI!AC$24="IO",
    Loan_IO_to_PI!AD$28&gt;0
  ),
  Loan_IO_to_PI!$B$8,
  0
)</f>
        <v>0</v>
      </c>
      <c r="T28" s="37">
        <f>IF(
  AND(
    Loan_IO_to_PI!AE$24="P&amp;I",
    Loan_IO_to_PI!AD$24="IO",
    Loan_IO_to_PI!AE$28&gt;0
  ),
  Loan_IO_to_PI!$B$8,
  0
)</f>
        <v>0</v>
      </c>
      <c r="U28" s="37">
        <f>IF(
  AND(
    Loan_IO_to_PI!AF$24="P&amp;I",
    Loan_IO_to_PI!AE$24="IO",
    Loan_IO_to_PI!AF$28&gt;0
  ),
  Loan_IO_to_PI!$B$8,
  0
)</f>
        <v>0</v>
      </c>
      <c r="V28" s="37">
        <f>IF(
  AND(
    Loan_IO_to_PI!AG$24="P&amp;I",
    Loan_IO_to_PI!AF$24="IO",
    Loan_IO_to_PI!AG$28&gt;0
  ),
  Loan_IO_to_PI!$B$8,
  0
)</f>
        <v>0</v>
      </c>
      <c r="W28" s="37">
        <f>IF(
  AND(
    Loan_IO_to_PI!AH$24="P&amp;I",
    Loan_IO_to_PI!AG$24="IO",
    Loan_IO_to_PI!AH$28&gt;0
  ),
  Loan_IO_to_PI!$B$8,
  0
)</f>
        <v>0</v>
      </c>
      <c r="X28" s="37">
        <f>IF(
  AND(
    Loan_IO_to_PI!AI$24="P&amp;I",
    Loan_IO_to_PI!AH$24="IO",
    Loan_IO_to_PI!AI$28&gt;0
  ),
  Loan_IO_to_PI!$B$8,
  0
)</f>
        <v>0</v>
      </c>
      <c r="Y28" s="37">
        <f>IF(
  AND(
    Loan_IO_to_PI!AJ$24="P&amp;I",
    Loan_IO_to_PI!AI$24="IO",
    Loan_IO_to_PI!AJ$28&gt;0
  ),
  Loan_IO_to_PI!$B$8,
  0
)</f>
        <v>0</v>
      </c>
      <c r="Z28" s="37">
        <f>IF(
  AND(
    Loan_IO_to_PI!AK$24="P&amp;I",
    Loan_IO_to_PI!AJ$24="IO",
    Loan_IO_to_PI!AK$28&gt;0
  ),
  Loan_IO_to_PI!$B$8,
  0
)</f>
        <v>0</v>
      </c>
      <c r="AA28" s="37">
        <f>IF(
  AND(
    Loan_IO_to_PI!AL$24="P&amp;I",
    Loan_IO_to_PI!AK$24="IO",
    Loan_IO_to_PI!AL$28&gt;0
  ),
  Loan_IO_to_PI!$B$8,
  0
)</f>
        <v>0</v>
      </c>
      <c r="AB28" s="37">
        <f>IF(
  AND(
    Loan_IO_to_PI!AM$24="P&amp;I",
    Loan_IO_to_PI!AL$24="IO",
    Loan_IO_to_PI!AM$28&gt;0
  ),
  Loan_IO_to_PI!$B$8,
  0
)</f>
        <v>0</v>
      </c>
      <c r="AC28" s="37">
        <f>IF(
  AND(
    Loan_IO_to_PI!AN$24="P&amp;I",
    Loan_IO_to_PI!AM$24="IO",
    Loan_IO_to_PI!AN$28&gt;0
  ),
  Loan_IO_to_PI!$B$8,
  0
)</f>
        <v>0</v>
      </c>
      <c r="AD28" s="37">
        <f>IF(
  AND(
    Loan_IO_to_PI!AO$24="P&amp;I",
    Loan_IO_to_PI!AN$24="IO",
    Loan_IO_to_PI!AO$28&gt;0
  ),
  Loan_IO_to_PI!$B$8,
  0
)</f>
        <v>0</v>
      </c>
      <c r="AE28" s="37">
        <f>IF(
  AND(
    Loan_IO_to_PI!AP$24="P&amp;I",
    Loan_IO_to_PI!AO$24="IO",
    Loan_IO_to_PI!AP$28&gt;0
  ),
  Loan_IO_to_PI!$B$8,
  0
)</f>
        <v>0</v>
      </c>
      <c r="AF28" s="37">
        <f>IF(
  AND(
    Loan_IO_to_PI!AQ$24="P&amp;I",
    Loan_IO_to_PI!AP$24="IO",
    Loan_IO_to_PI!AQ$28&gt;0
  ),
  Loan_IO_to_PI!$B$8,
  0
)</f>
        <v>0</v>
      </c>
      <c r="AG28" s="37">
        <f>IF(
  AND(
    Loan_IO_to_PI!AR$24="P&amp;I",
    Loan_IO_to_PI!AQ$24="IO",
    Loan_IO_to_PI!AR$28&gt;0
  ),
  Loan_IO_to_PI!$B$8,
  0
)</f>
        <v>0</v>
      </c>
      <c r="AH28" s="37">
        <f>IF(
  AND(
    Loan_IO_to_PI!AS$24="P&amp;I",
    Loan_IO_to_PI!AR$24="IO",
    Loan_IO_to_PI!AS$28&gt;0
  ),
  Loan_IO_to_PI!$B$8,
  0
)</f>
        <v>0</v>
      </c>
      <c r="AI28" s="37">
        <f>IF(
  AND(
    Loan_IO_to_PI!AT$24="P&amp;I",
    Loan_IO_to_PI!AS$24="IO",
    Loan_IO_to_PI!AT$28&gt;0
  ),
  Loan_IO_to_PI!$B$8,
  0
)</f>
        <v>0</v>
      </c>
      <c r="AJ28" s="37">
        <f>IF(
  AND(
    Loan_IO_to_PI!AU$24="P&amp;I",
    Loan_IO_to_PI!AT$24="IO",
    Loan_IO_to_PI!AU$28&gt;0
  ),
  Loan_IO_to_PI!$B$8,
  0
)</f>
        <v>0</v>
      </c>
      <c r="AK28" s="37">
        <f>IF(
  AND(
    Loan_IO_to_PI!AV$24="P&amp;I",
    Loan_IO_to_PI!AU$24="IO",
    Loan_IO_to_PI!AV$28&gt;0
  ),
  Loan_IO_to_PI!$B$8,
  0
)</f>
        <v>0</v>
      </c>
      <c r="AL28" s="37">
        <f>IF(
  AND(
    Loan_IO_to_PI!AW$24="P&amp;I",
    Loan_IO_to_PI!AV$24="IO",
    Loan_IO_to_PI!AW$28&gt;0
  ),
  Loan_IO_to_PI!$B$8,
  0
)</f>
        <v>0</v>
      </c>
      <c r="AM28" s="37">
        <f>IF(
  AND(
    Loan_IO_to_PI!AX$24="P&amp;I",
    Loan_IO_to_PI!AW$24="IO",
    Loan_IO_to_PI!AX$28&gt;0
  ),
  Loan_IO_to_PI!$B$8,
  0
)</f>
        <v>0</v>
      </c>
      <c r="AN28" s="37">
        <f>IF(
  AND(
    Loan_IO_to_PI!AY$24="P&amp;I",
    Loan_IO_to_PI!AX$24="IO",
    Loan_IO_to_PI!AY$28&gt;0
  ),
  Loan_IO_to_PI!$B$8,
  0
)</f>
        <v>0</v>
      </c>
      <c r="AO28" s="37">
        <f>IF(
  AND(
    Loan_IO_to_PI!AZ$24="P&amp;I",
    Loan_IO_to_PI!AY$24="IO",
    Loan_IO_to_PI!AZ$28&gt;0
  ),
  Loan_IO_to_PI!$B$8,
  0
)</f>
        <v>0</v>
      </c>
      <c r="AP28" s="37">
        <f>IF(
  AND(
    Loan_IO_to_PI!BA$24="P&amp;I",
    Loan_IO_to_PI!AZ$24="IO",
    Loan_IO_to_PI!BA$28&gt;0
  ),
  Loan_IO_to_PI!$B$8,
  0
)</f>
        <v>0</v>
      </c>
      <c r="AQ28" s="37">
        <f>IF(
  AND(
    Loan_IO_to_PI!BB$24="P&amp;I",
    Loan_IO_to_PI!BA$24="IO",
    Loan_IO_to_PI!BB$28&gt;0
  ),
  Loan_IO_to_PI!$B$8,
  0
)</f>
        <v>0</v>
      </c>
      <c r="AR28" s="37">
        <f>IF(
  AND(
    Loan_IO_to_PI!BC$24="P&amp;I",
    Loan_IO_to_PI!BB$24="IO",
    Loan_IO_to_PI!BC$28&gt;0
  ),
  Loan_IO_to_PI!$B$8,
  0
)</f>
        <v>0</v>
      </c>
      <c r="AS28" s="37">
        <f>IF(
  AND(
    Loan_IO_to_PI!BD$24="P&amp;I",
    Loan_IO_to_PI!BC$24="IO",
    Loan_IO_to_PI!BD$28&gt;0
  ),
  Loan_IO_to_PI!$B$8,
  0
)</f>
        <v>0</v>
      </c>
      <c r="AT28" s="37">
        <f>IF(
  AND(
    Loan_IO_to_PI!BE$24="P&amp;I",
    Loan_IO_to_PI!BD$24="IO",
    Loan_IO_to_PI!BE$28&gt;0
  ),
  Loan_IO_to_PI!$B$8,
  0
)</f>
        <v>0</v>
      </c>
      <c r="AU28" s="37">
        <f>IF(
  AND(
    Loan_IO_to_PI!BF$24="P&amp;I",
    Loan_IO_to_PI!BE$24="IO",
    Loan_IO_to_PI!BF$28&gt;0
  ),
  Loan_IO_to_PI!$B$8,
  0
)</f>
        <v>0</v>
      </c>
      <c r="AV28" s="37">
        <f>IF(
  AND(
    Loan_IO_to_PI!BG$24="P&amp;I",
    Loan_IO_to_PI!BF$24="IO",
    Loan_IO_to_PI!BG$28&gt;0
  ),
  Loan_IO_to_PI!$B$8,
  0
)</f>
        <v>0</v>
      </c>
      <c r="AW28" s="37">
        <f>IF(
  AND(
    Loan_IO_to_PI!BH$24="P&amp;I",
    Loan_IO_to_PI!BG$24="IO",
    Loan_IO_to_PI!BH$28&gt;0
  ),
  Loan_IO_to_PI!$B$8,
  0
)</f>
        <v>0</v>
      </c>
      <c r="AX28" s="37">
        <f>IF(
  AND(
    Loan_IO_to_PI!BI$24="P&amp;I",
    Loan_IO_to_PI!BH$24="IO",
    Loan_IO_to_PI!BI$28&gt;0
  ),
  Loan_IO_to_PI!$B$8,
  0
)</f>
        <v>0</v>
      </c>
      <c r="AY28" s="37">
        <f>IF(
  AND(
    Loan_IO_to_PI!BJ$24="P&amp;I",
    Loan_IO_to_PI!BI$24="IO",
    Loan_IO_to_PI!BJ$28&gt;0
  ),
  Loan_IO_to_PI!$B$8,
  0
)</f>
        <v>0</v>
      </c>
      <c r="AZ28" s="37">
        <f>IF(
  AND(
    Loan_IO_to_PI!BK$24="P&amp;I",
    Loan_IO_to_PI!BJ$24="IO",
    Loan_IO_to_PI!BK$28&gt;0
  ),
  Loan_IO_to_PI!$B$8,
  0
)</f>
        <v>0</v>
      </c>
    </row>
    <row r="29" spans="1:52" s="37" customFormat="1">
      <c r="A29" s="78" t="s">
        <v>332</v>
      </c>
      <c r="B29" s="88">
        <f>0</f>
        <v>0</v>
      </c>
      <c r="C29" s="88">
        <f>0</f>
        <v>0</v>
      </c>
      <c r="D29" s="37">
        <f>C29* (1 + Scenarios!$K$10)</f>
        <v>0</v>
      </c>
      <c r="E29" s="37">
        <f>D29* (1 + Scenarios!$K$10)</f>
        <v>0</v>
      </c>
      <c r="F29" s="37">
        <f>E29* (1 + Scenarios!$K$10)</f>
        <v>0</v>
      </c>
      <c r="G29" s="37">
        <f>F29* (1 + Scenarios!$K$10)</f>
        <v>0</v>
      </c>
      <c r="H29" s="37">
        <f>G29* (1 + Scenarios!$K$10)</f>
        <v>0</v>
      </c>
      <c r="I29" s="37">
        <f>H29* (1 + Scenarios!$K$10)</f>
        <v>0</v>
      </c>
      <c r="J29" s="37">
        <f>I29* (1 + Scenarios!$K$10)</f>
        <v>0</v>
      </c>
      <c r="K29" s="37">
        <f>J29* (1 + Scenarios!$K$10)</f>
        <v>0</v>
      </c>
      <c r="L29" s="37">
        <f>K29* (1 + Scenarios!$K$10)</f>
        <v>0</v>
      </c>
      <c r="M29" s="37">
        <f>L29* (1 + Scenarios!$K$10)</f>
        <v>0</v>
      </c>
      <c r="N29" s="37">
        <f>M29* (1 + Scenarios!$K$10)</f>
        <v>0</v>
      </c>
      <c r="O29" s="37">
        <f>N29* (1 + Scenarios!$K$10)</f>
        <v>0</v>
      </c>
      <c r="P29" s="37">
        <f>O29* (1 + Scenarios!$K$10)</f>
        <v>0</v>
      </c>
      <c r="Q29" s="37">
        <f>P29* (1 + Scenarios!$K$10)</f>
        <v>0</v>
      </c>
      <c r="R29" s="37">
        <f>Q29* (1 + Scenarios!$K$10)</f>
        <v>0</v>
      </c>
      <c r="S29" s="37">
        <f>R29* (1 + Scenarios!$K$10)</f>
        <v>0</v>
      </c>
      <c r="T29" s="37">
        <f>S29* (1 + Scenarios!$K$10)</f>
        <v>0</v>
      </c>
      <c r="U29" s="37">
        <f>T29* (1 + Scenarios!$K$10)</f>
        <v>0</v>
      </c>
      <c r="V29" s="37">
        <f>U29* (1 + Scenarios!$K$10)</f>
        <v>0</v>
      </c>
      <c r="W29" s="37">
        <f>V29* (1 + Scenarios!$K$10)</f>
        <v>0</v>
      </c>
      <c r="X29" s="37">
        <f>W29* (1 + Scenarios!$K$10)</f>
        <v>0</v>
      </c>
      <c r="Y29" s="37">
        <f>X29* (1 + Scenarios!$K$10)</f>
        <v>0</v>
      </c>
      <c r="Z29" s="37">
        <f>Y29* (1 + Scenarios!$K$10)</f>
        <v>0</v>
      </c>
      <c r="AA29" s="37">
        <f>Z29* (1 + Scenarios!$K$10)</f>
        <v>0</v>
      </c>
      <c r="AB29" s="37">
        <f>AA29* (1 + Scenarios!$K$10)</f>
        <v>0</v>
      </c>
      <c r="AC29" s="37">
        <f>AB29* (1 + Scenarios!$K$10)</f>
        <v>0</v>
      </c>
      <c r="AD29" s="37">
        <f>AC29* (1 + Scenarios!$K$10)</f>
        <v>0</v>
      </c>
      <c r="AE29" s="37">
        <f>AD29* (1 + Scenarios!$K$10)</f>
        <v>0</v>
      </c>
      <c r="AF29" s="37">
        <f>AE29* (1 + Scenarios!$K$10)</f>
        <v>0</v>
      </c>
      <c r="AG29" s="37">
        <f>AF29* (1 + Scenarios!$K$10)</f>
        <v>0</v>
      </c>
      <c r="AH29" s="37">
        <f>AG29* (1 + Scenarios!$K$10)</f>
        <v>0</v>
      </c>
      <c r="AI29" s="37">
        <f>AH29* (1 + Scenarios!$K$10)</f>
        <v>0</v>
      </c>
      <c r="AJ29" s="37">
        <f>AI29* (1 + Scenarios!$K$10)</f>
        <v>0</v>
      </c>
      <c r="AK29" s="37">
        <f>AJ29* (1 + Scenarios!$K$10)</f>
        <v>0</v>
      </c>
      <c r="AL29" s="37">
        <f>AK29* (1 + Scenarios!$K$10)</f>
        <v>0</v>
      </c>
      <c r="AM29" s="37">
        <f>AL29* (1 + Scenarios!$K$10)</f>
        <v>0</v>
      </c>
      <c r="AN29" s="37">
        <f>AM29* (1 + Scenarios!$K$10)</f>
        <v>0</v>
      </c>
      <c r="AO29" s="37">
        <f>AN29* (1 + Scenarios!$K$10)</f>
        <v>0</v>
      </c>
      <c r="AP29" s="37">
        <f>AO29* (1 + Scenarios!$K$10)</f>
        <v>0</v>
      </c>
      <c r="AQ29" s="37">
        <f>AP29* (1 + Scenarios!$K$10)</f>
        <v>0</v>
      </c>
      <c r="AR29" s="37">
        <f>AQ29* (1 + Scenarios!$K$10)</f>
        <v>0</v>
      </c>
      <c r="AS29" s="37">
        <f>AR29* (1 + Scenarios!$K$10)</f>
        <v>0</v>
      </c>
      <c r="AT29" s="37">
        <f>AS29* (1 + Scenarios!$K$10)</f>
        <v>0</v>
      </c>
      <c r="AU29" s="37">
        <f>AT29* (1 + Scenarios!$K$10)</f>
        <v>0</v>
      </c>
      <c r="AV29" s="37">
        <f>AU29* (1 + Scenarios!$K$10)</f>
        <v>0</v>
      </c>
      <c r="AW29" s="37">
        <f>AV29* (1 + Scenarios!$K$10)</f>
        <v>0</v>
      </c>
      <c r="AX29" s="37">
        <f>AW29* (1 + Scenarios!$K$10)</f>
        <v>0</v>
      </c>
      <c r="AY29" s="37">
        <f>AX29* (1 + Scenarios!$K$10)</f>
        <v>0</v>
      </c>
      <c r="AZ29" s="37">
        <f>AY29* (1 + Scenarios!$K$10)</f>
        <v>0</v>
      </c>
    </row>
    <row r="30" spans="1:52" s="37" customFormat="1">
      <c r="A30" s="77" t="s">
        <v>333</v>
      </c>
    </row>
    <row r="31" spans="1:52" s="37" customFormat="1">
      <c r="A31" s="78" t="s">
        <v>334</v>
      </c>
      <c r="B31" s="88">
        <f>IF(
  MOD(B5-1, Assumptions!$B$57)=0,
  Assumptions!$B$54+Assumptions!$B$55,
  0
)</f>
        <v>0</v>
      </c>
      <c r="C31" s="88">
        <f>IF(
  MOD(C5-1, Assumptions!$B$57)=0,
  Assumptions!$B$54+Assumptions!$B$55,
  0
)</f>
        <v>1462</v>
      </c>
      <c r="D31" s="37">
        <f>IF(
  MOD(D5-1, Assumptions!$B$57)=0,
  Assumptions!$B$54+Assumptions!$B$55,
  0
)</f>
        <v>0</v>
      </c>
      <c r="E31" s="37">
        <f>IF(
  MOD(E5-1, Assumptions!$B$57)=0,
  Assumptions!$B$54+Assumptions!$B$55,
  0
)</f>
        <v>0</v>
      </c>
      <c r="F31" s="37">
        <f>IF(
  MOD(F5-1, Assumptions!$B$57)=0,
  Assumptions!$B$54+Assumptions!$B$55,
  0
)</f>
        <v>0</v>
      </c>
      <c r="G31" s="37">
        <f>IF(
  MOD(G5-1, Assumptions!$B$57)=0,
  Assumptions!$B$54+Assumptions!$B$55,
  0
)</f>
        <v>1462</v>
      </c>
      <c r="H31" s="37">
        <f>IF(
  MOD(H5-1, Assumptions!$B$57)=0,
  Assumptions!$B$54+Assumptions!$B$55,
  0
)</f>
        <v>0</v>
      </c>
      <c r="I31" s="37">
        <f>IF(
  MOD(I5-1, Assumptions!$B$57)=0,
  Assumptions!$B$54+Assumptions!$B$55,
  0
)</f>
        <v>0</v>
      </c>
      <c r="J31" s="37">
        <f>IF(
  MOD(J5-1, Assumptions!$B$57)=0,
  Assumptions!$B$54+Assumptions!$B$55,
  0
)</f>
        <v>0</v>
      </c>
      <c r="K31" s="37">
        <f>IF(
  MOD(K5-1, Assumptions!$B$57)=0,
  Assumptions!$B$54+Assumptions!$B$55,
  0
)</f>
        <v>1462</v>
      </c>
      <c r="L31" s="37">
        <f>IF(
  MOD(L5-1, Assumptions!$B$57)=0,
  Assumptions!$B$54+Assumptions!$B$55,
  0
)</f>
        <v>0</v>
      </c>
      <c r="M31" s="37">
        <f>IF(
  MOD(M5-1, Assumptions!$B$57)=0,
  Assumptions!$B$54+Assumptions!$B$55,
  0
)</f>
        <v>0</v>
      </c>
      <c r="N31" s="37">
        <f>IF(
  MOD(N5-1, Assumptions!$B$57)=0,
  Assumptions!$B$54+Assumptions!$B$55,
  0
)</f>
        <v>0</v>
      </c>
      <c r="O31" s="37">
        <f>IF(
  MOD(O5-1, Assumptions!$B$57)=0,
  Assumptions!$B$54+Assumptions!$B$55,
  0
)</f>
        <v>1462</v>
      </c>
      <c r="P31" s="37">
        <f>IF(
  MOD(P5-1, Assumptions!$B$57)=0,
  Assumptions!$B$54+Assumptions!$B$55,
  0
)</f>
        <v>0</v>
      </c>
      <c r="Q31" s="37">
        <f>IF(
  MOD(Q5-1, Assumptions!$B$57)=0,
  Assumptions!$B$54+Assumptions!$B$55,
  0
)</f>
        <v>0</v>
      </c>
      <c r="R31" s="37">
        <f>IF(
  MOD(R5-1, Assumptions!$B$57)=0,
  Assumptions!$B$54+Assumptions!$B$55,
  0
)</f>
        <v>0</v>
      </c>
      <c r="S31" s="37">
        <f>IF(
  MOD(S5-1, Assumptions!$B$57)=0,
  Assumptions!$B$54+Assumptions!$B$55,
  0
)</f>
        <v>1462</v>
      </c>
      <c r="T31" s="37">
        <f>IF(
  MOD(T5-1, Assumptions!$B$57)=0,
  Assumptions!$B$54+Assumptions!$B$55,
  0
)</f>
        <v>0</v>
      </c>
      <c r="U31" s="37">
        <f>IF(
  MOD(U5-1, Assumptions!$B$57)=0,
  Assumptions!$B$54+Assumptions!$B$55,
  0
)</f>
        <v>0</v>
      </c>
      <c r="V31" s="37">
        <f>IF(
  MOD(V5-1, Assumptions!$B$57)=0,
  Assumptions!$B$54+Assumptions!$B$55,
  0
)</f>
        <v>0</v>
      </c>
      <c r="W31" s="37">
        <f>IF(
  MOD(W5-1, Assumptions!$B$57)=0,
  Assumptions!$B$54+Assumptions!$B$55,
  0
)</f>
        <v>1462</v>
      </c>
      <c r="X31" s="37">
        <f>IF(
  MOD(X5-1, Assumptions!$B$57)=0,
  Assumptions!$B$54+Assumptions!$B$55,
  0
)</f>
        <v>0</v>
      </c>
      <c r="Y31" s="37">
        <f>IF(
  MOD(Y5-1, Assumptions!$B$57)=0,
  Assumptions!$B$54+Assumptions!$B$55,
  0
)</f>
        <v>0</v>
      </c>
      <c r="Z31" s="37">
        <f>IF(
  MOD(Z5-1, Assumptions!$B$57)=0,
  Assumptions!$B$54+Assumptions!$B$55,
  0
)</f>
        <v>0</v>
      </c>
      <c r="AA31" s="37">
        <f>IF(
  MOD(AA5-1, Assumptions!$B$57)=0,
  Assumptions!$B$54+Assumptions!$B$55,
  0
)</f>
        <v>1462</v>
      </c>
      <c r="AB31" s="37">
        <f>IF(
  MOD(AB5-1, Assumptions!$B$57)=0,
  Assumptions!$B$54+Assumptions!$B$55,
  0
)</f>
        <v>0</v>
      </c>
      <c r="AC31" s="37">
        <f>IF(
  MOD(AC5-1, Assumptions!$B$57)=0,
  Assumptions!$B$54+Assumptions!$B$55,
  0
)</f>
        <v>0</v>
      </c>
      <c r="AD31" s="37">
        <f>IF(
  MOD(AD5-1, Assumptions!$B$57)=0,
  Assumptions!$B$54+Assumptions!$B$55,
  0
)</f>
        <v>0</v>
      </c>
      <c r="AE31" s="37">
        <f>IF(
  MOD(AE5-1, Assumptions!$B$57)=0,
  Assumptions!$B$54+Assumptions!$B$55,
  0
)</f>
        <v>1462</v>
      </c>
      <c r="AF31" s="37">
        <f>IF(
  MOD(AF5-1, Assumptions!$B$57)=0,
  Assumptions!$B$54+Assumptions!$B$55,
  0
)</f>
        <v>0</v>
      </c>
      <c r="AG31" s="37">
        <f>IF(
  MOD(AG5-1, Assumptions!$B$57)=0,
  Assumptions!$B$54+Assumptions!$B$55,
  0
)</f>
        <v>0</v>
      </c>
      <c r="AH31" s="37">
        <f>IF(
  MOD(AH5-1, Assumptions!$B$57)=0,
  Assumptions!$B$54+Assumptions!$B$55,
  0
)</f>
        <v>0</v>
      </c>
      <c r="AI31" s="37">
        <f>IF(
  MOD(AI5-1, Assumptions!$B$57)=0,
  Assumptions!$B$54+Assumptions!$B$55,
  0
)</f>
        <v>1462</v>
      </c>
      <c r="AJ31" s="37">
        <f>IF(
  MOD(AJ5-1, Assumptions!$B$57)=0,
  Assumptions!$B$54+Assumptions!$B$55,
  0
)</f>
        <v>0</v>
      </c>
      <c r="AK31" s="37">
        <f>IF(
  MOD(AK5-1, Assumptions!$B$57)=0,
  Assumptions!$B$54+Assumptions!$B$55,
  0
)</f>
        <v>0</v>
      </c>
      <c r="AL31" s="37">
        <f>IF(
  MOD(AL5-1, Assumptions!$B$57)=0,
  Assumptions!$B$54+Assumptions!$B$55,
  0
)</f>
        <v>0</v>
      </c>
      <c r="AM31" s="37">
        <f>IF(
  MOD(AM5-1, Assumptions!$B$57)=0,
  Assumptions!$B$54+Assumptions!$B$55,
  0
)</f>
        <v>1462</v>
      </c>
      <c r="AN31" s="37">
        <f>IF(
  MOD(AN5-1, Assumptions!$B$57)=0,
  Assumptions!$B$54+Assumptions!$B$55,
  0
)</f>
        <v>0</v>
      </c>
      <c r="AO31" s="37">
        <f>IF(
  MOD(AO5-1, Assumptions!$B$57)=0,
  Assumptions!$B$54+Assumptions!$B$55,
  0
)</f>
        <v>0</v>
      </c>
      <c r="AP31" s="37">
        <f>IF(
  MOD(AP5-1, Assumptions!$B$57)=0,
  Assumptions!$B$54+Assumptions!$B$55,
  0
)</f>
        <v>0</v>
      </c>
      <c r="AQ31" s="37">
        <f>IF(
  MOD(AQ5-1, Assumptions!$B$57)=0,
  Assumptions!$B$54+Assumptions!$B$55,
  0
)</f>
        <v>1462</v>
      </c>
      <c r="AR31" s="37">
        <f>IF(
  MOD(AR5-1, Assumptions!$B$57)=0,
  Assumptions!$B$54+Assumptions!$B$55,
  0
)</f>
        <v>0</v>
      </c>
      <c r="AS31" s="37">
        <f>IF(
  MOD(AS5-1, Assumptions!$B$57)=0,
  Assumptions!$B$54+Assumptions!$B$55,
  0
)</f>
        <v>0</v>
      </c>
      <c r="AT31" s="37">
        <f>IF(
  MOD(AT5-1, Assumptions!$B$57)=0,
  Assumptions!$B$54+Assumptions!$B$55,
  0
)</f>
        <v>0</v>
      </c>
      <c r="AU31" s="37">
        <f>IF(
  MOD(AU5-1, Assumptions!$B$57)=0,
  Assumptions!$B$54+Assumptions!$B$55,
  0
)</f>
        <v>1462</v>
      </c>
      <c r="AV31" s="37">
        <f>IF(
  MOD(AV5-1, Assumptions!$B$57)=0,
  Assumptions!$B$54+Assumptions!$B$55,
  0
)</f>
        <v>0</v>
      </c>
      <c r="AW31" s="37">
        <f>IF(
  MOD(AW5-1, Assumptions!$B$57)=0,
  Assumptions!$B$54+Assumptions!$B$55,
  0
)</f>
        <v>0</v>
      </c>
      <c r="AX31" s="37">
        <f>IF(
  MOD(AX5-1, Assumptions!$B$57)=0,
  Assumptions!$B$54+Assumptions!$B$55,
  0
)</f>
        <v>0</v>
      </c>
      <c r="AY31" s="37">
        <f>IF(
  MOD(AY5-1, Assumptions!$B$57)=0,
  Assumptions!$B$54+Assumptions!$B$55,
  0
)</f>
        <v>1462</v>
      </c>
      <c r="AZ31" s="37">
        <f>IF(
  MOD(AZ5-1, Assumptions!$B$57)=0,
  Assumptions!$B$54+Assumptions!$B$55,
  0
)</f>
        <v>0</v>
      </c>
    </row>
    <row r="32" spans="1:52" s="37" customFormat="1">
      <c r="A32" s="78" t="s">
        <v>335</v>
      </c>
      <c r="B32" s="88">
        <f t="shared" ref="B32:C35" si="3">0</f>
        <v>0</v>
      </c>
      <c r="C32" s="88">
        <f t="shared" si="3"/>
        <v>0</v>
      </c>
      <c r="D32" s="37">
        <f>C32* (1 + Scenarios!$K$10)</f>
        <v>0</v>
      </c>
      <c r="E32" s="37">
        <f>D32* (1 + Scenarios!$K$10)</f>
        <v>0</v>
      </c>
      <c r="F32" s="37">
        <f>E32* (1 + Scenarios!$K$10)</f>
        <v>0</v>
      </c>
      <c r="G32" s="37">
        <f>F32* (1 + Scenarios!$K$10)</f>
        <v>0</v>
      </c>
      <c r="H32" s="37">
        <f>G32* (1 + Scenarios!$K$10)</f>
        <v>0</v>
      </c>
      <c r="I32" s="37">
        <f>H32* (1 + Scenarios!$K$10)</f>
        <v>0</v>
      </c>
      <c r="J32" s="37">
        <f>I32* (1 + Scenarios!$K$10)</f>
        <v>0</v>
      </c>
      <c r="K32" s="37">
        <f>J32* (1 + Scenarios!$K$10)</f>
        <v>0</v>
      </c>
      <c r="L32" s="37">
        <f>K32* (1 + Scenarios!$K$10)</f>
        <v>0</v>
      </c>
      <c r="M32" s="37">
        <f>L32* (1 + Scenarios!$K$10)</f>
        <v>0</v>
      </c>
      <c r="N32" s="37">
        <f>M32* (1 + Scenarios!$K$10)</f>
        <v>0</v>
      </c>
      <c r="O32" s="37">
        <f>N32* (1 + Scenarios!$K$10)</f>
        <v>0</v>
      </c>
      <c r="P32" s="37">
        <f>O32* (1 + Scenarios!$K$10)</f>
        <v>0</v>
      </c>
      <c r="Q32" s="37">
        <f>P32* (1 + Scenarios!$K$10)</f>
        <v>0</v>
      </c>
      <c r="R32" s="37">
        <f>Q32* (1 + Scenarios!$K$10)</f>
        <v>0</v>
      </c>
      <c r="S32" s="37">
        <f>R32* (1 + Scenarios!$K$10)</f>
        <v>0</v>
      </c>
      <c r="T32" s="37">
        <f>S32* (1 + Scenarios!$K$10)</f>
        <v>0</v>
      </c>
      <c r="U32" s="37">
        <f>T32* (1 + Scenarios!$K$10)</f>
        <v>0</v>
      </c>
      <c r="V32" s="37">
        <f>U32* (1 + Scenarios!$K$10)</f>
        <v>0</v>
      </c>
      <c r="W32" s="37">
        <f>V32* (1 + Scenarios!$K$10)</f>
        <v>0</v>
      </c>
      <c r="X32" s="37">
        <f>W32* (1 + Scenarios!$K$10)</f>
        <v>0</v>
      </c>
      <c r="Y32" s="37">
        <f>X32* (1 + Scenarios!$K$10)</f>
        <v>0</v>
      </c>
      <c r="Z32" s="37">
        <f>Y32* (1 + Scenarios!$K$10)</f>
        <v>0</v>
      </c>
      <c r="AA32" s="37">
        <f>Z32* (1 + Scenarios!$K$10)</f>
        <v>0</v>
      </c>
      <c r="AB32" s="37">
        <f>AA32* (1 + Scenarios!$K$10)</f>
        <v>0</v>
      </c>
      <c r="AC32" s="37">
        <f>AB32* (1 + Scenarios!$K$10)</f>
        <v>0</v>
      </c>
      <c r="AD32" s="37">
        <f>AC32* (1 + Scenarios!$K$10)</f>
        <v>0</v>
      </c>
      <c r="AE32" s="37">
        <f>AD32* (1 + Scenarios!$K$10)</f>
        <v>0</v>
      </c>
      <c r="AF32" s="37">
        <f>AE32* (1 + Scenarios!$K$10)</f>
        <v>0</v>
      </c>
      <c r="AG32" s="37">
        <f>AF32* (1 + Scenarios!$K$10)</f>
        <v>0</v>
      </c>
      <c r="AH32" s="37">
        <f>AG32* (1 + Scenarios!$K$10)</f>
        <v>0</v>
      </c>
      <c r="AI32" s="37">
        <f>AH32* (1 + Scenarios!$K$10)</f>
        <v>0</v>
      </c>
      <c r="AJ32" s="37">
        <f>AI32* (1 + Scenarios!$K$10)</f>
        <v>0</v>
      </c>
      <c r="AK32" s="37">
        <f>AJ32* (1 + Scenarios!$K$10)</f>
        <v>0</v>
      </c>
      <c r="AL32" s="37">
        <f>AK32* (1 + Scenarios!$K$10)</f>
        <v>0</v>
      </c>
      <c r="AM32" s="37">
        <f>AL32* (1 + Scenarios!$K$10)</f>
        <v>0</v>
      </c>
      <c r="AN32" s="37">
        <f>AM32* (1 + Scenarios!$K$10)</f>
        <v>0</v>
      </c>
      <c r="AO32" s="37">
        <f>AN32* (1 + Scenarios!$K$10)</f>
        <v>0</v>
      </c>
      <c r="AP32" s="37">
        <f>AO32* (1 + Scenarios!$K$10)</f>
        <v>0</v>
      </c>
      <c r="AQ32" s="37">
        <f>AP32* (1 + Scenarios!$K$10)</f>
        <v>0</v>
      </c>
      <c r="AR32" s="37">
        <f>AQ32* (1 + Scenarios!$K$10)</f>
        <v>0</v>
      </c>
      <c r="AS32" s="37">
        <f>AR32* (1 + Scenarios!$K$10)</f>
        <v>0</v>
      </c>
      <c r="AT32" s="37">
        <f>AS32* (1 + Scenarios!$K$10)</f>
        <v>0</v>
      </c>
      <c r="AU32" s="37">
        <f>AT32* (1 + Scenarios!$K$10)</f>
        <v>0</v>
      </c>
      <c r="AV32" s="37">
        <f>AU32* (1 + Scenarios!$K$10)</f>
        <v>0</v>
      </c>
      <c r="AW32" s="37">
        <f>AV32* (1 + Scenarios!$K$10)</f>
        <v>0</v>
      </c>
      <c r="AX32" s="37">
        <f>AW32* (1 + Scenarios!$K$10)</f>
        <v>0</v>
      </c>
      <c r="AY32" s="37">
        <f>AX32* (1 + Scenarios!$K$10)</f>
        <v>0</v>
      </c>
      <c r="AZ32" s="37">
        <f>AY32* (1 + Scenarios!$K$10)</f>
        <v>0</v>
      </c>
    </row>
    <row r="33" spans="1:52" s="37" customFormat="1">
      <c r="A33" s="78" t="s">
        <v>336</v>
      </c>
      <c r="B33" s="88">
        <f t="shared" si="3"/>
        <v>0</v>
      </c>
      <c r="C33" s="88">
        <f t="shared" si="3"/>
        <v>0</v>
      </c>
      <c r="D33" s="37">
        <f>C33* (1 + Scenarios!$K$10)</f>
        <v>0</v>
      </c>
      <c r="E33" s="37">
        <f>D33* (1 + Scenarios!$K$10)</f>
        <v>0</v>
      </c>
      <c r="F33" s="37">
        <f>E33* (1 + Scenarios!$K$10)</f>
        <v>0</v>
      </c>
      <c r="G33" s="37">
        <f>F33* (1 + Scenarios!$K$10)</f>
        <v>0</v>
      </c>
      <c r="H33" s="37">
        <f>G33* (1 + Scenarios!$K$10)</f>
        <v>0</v>
      </c>
      <c r="I33" s="37">
        <f>H33* (1 + Scenarios!$K$10)</f>
        <v>0</v>
      </c>
      <c r="J33" s="37">
        <f>I33* (1 + Scenarios!$K$10)</f>
        <v>0</v>
      </c>
      <c r="K33" s="37">
        <f>J33* (1 + Scenarios!$K$10)</f>
        <v>0</v>
      </c>
      <c r="L33" s="37">
        <f>K33* (1 + Scenarios!$K$10)</f>
        <v>0</v>
      </c>
      <c r="M33" s="37">
        <f>L33* (1 + Scenarios!$K$10)</f>
        <v>0</v>
      </c>
      <c r="N33" s="37">
        <f>M33* (1 + Scenarios!$K$10)</f>
        <v>0</v>
      </c>
      <c r="O33" s="37">
        <f>N33* (1 + Scenarios!$K$10)</f>
        <v>0</v>
      </c>
      <c r="P33" s="37">
        <f>O33* (1 + Scenarios!$K$10)</f>
        <v>0</v>
      </c>
      <c r="Q33" s="37">
        <f>P33* (1 + Scenarios!$K$10)</f>
        <v>0</v>
      </c>
      <c r="R33" s="37">
        <f>Q33* (1 + Scenarios!$K$10)</f>
        <v>0</v>
      </c>
      <c r="S33" s="37">
        <f>R33* (1 + Scenarios!$K$10)</f>
        <v>0</v>
      </c>
      <c r="T33" s="37">
        <f>S33* (1 + Scenarios!$K$10)</f>
        <v>0</v>
      </c>
      <c r="U33" s="37">
        <f>T33* (1 + Scenarios!$K$10)</f>
        <v>0</v>
      </c>
      <c r="V33" s="37">
        <f>U33* (1 + Scenarios!$K$10)</f>
        <v>0</v>
      </c>
      <c r="W33" s="37">
        <f>V33* (1 + Scenarios!$K$10)</f>
        <v>0</v>
      </c>
      <c r="X33" s="37">
        <f>W33* (1 + Scenarios!$K$10)</f>
        <v>0</v>
      </c>
      <c r="Y33" s="37">
        <f>X33* (1 + Scenarios!$K$10)</f>
        <v>0</v>
      </c>
      <c r="Z33" s="37">
        <f>Y33* (1 + Scenarios!$K$10)</f>
        <v>0</v>
      </c>
      <c r="AA33" s="37">
        <f>Z33* (1 + Scenarios!$K$10)</f>
        <v>0</v>
      </c>
      <c r="AB33" s="37">
        <f>AA33* (1 + Scenarios!$K$10)</f>
        <v>0</v>
      </c>
      <c r="AC33" s="37">
        <f>AB33* (1 + Scenarios!$K$10)</f>
        <v>0</v>
      </c>
      <c r="AD33" s="37">
        <f>AC33* (1 + Scenarios!$K$10)</f>
        <v>0</v>
      </c>
      <c r="AE33" s="37">
        <f>AD33* (1 + Scenarios!$K$10)</f>
        <v>0</v>
      </c>
      <c r="AF33" s="37">
        <f>AE33* (1 + Scenarios!$K$10)</f>
        <v>0</v>
      </c>
      <c r="AG33" s="37">
        <f>AF33* (1 + Scenarios!$K$10)</f>
        <v>0</v>
      </c>
      <c r="AH33" s="37">
        <f>AG33* (1 + Scenarios!$K$10)</f>
        <v>0</v>
      </c>
      <c r="AI33" s="37">
        <f>AH33* (1 + Scenarios!$K$10)</f>
        <v>0</v>
      </c>
      <c r="AJ33" s="37">
        <f>AI33* (1 + Scenarios!$K$10)</f>
        <v>0</v>
      </c>
      <c r="AK33" s="37">
        <f>AJ33* (1 + Scenarios!$K$10)</f>
        <v>0</v>
      </c>
      <c r="AL33" s="37">
        <f>AK33* (1 + Scenarios!$K$10)</f>
        <v>0</v>
      </c>
      <c r="AM33" s="37">
        <f>AL33* (1 + Scenarios!$K$10)</f>
        <v>0</v>
      </c>
      <c r="AN33" s="37">
        <f>AM33* (1 + Scenarios!$K$10)</f>
        <v>0</v>
      </c>
      <c r="AO33" s="37">
        <f>AN33* (1 + Scenarios!$K$10)</f>
        <v>0</v>
      </c>
      <c r="AP33" s="37">
        <f>AO33* (1 + Scenarios!$K$10)</f>
        <v>0</v>
      </c>
      <c r="AQ33" s="37">
        <f>AP33* (1 + Scenarios!$K$10)</f>
        <v>0</v>
      </c>
      <c r="AR33" s="37">
        <f>AQ33* (1 + Scenarios!$K$10)</f>
        <v>0</v>
      </c>
      <c r="AS33" s="37">
        <f>AR33* (1 + Scenarios!$K$10)</f>
        <v>0</v>
      </c>
      <c r="AT33" s="37">
        <f>AS33* (1 + Scenarios!$K$10)</f>
        <v>0</v>
      </c>
      <c r="AU33" s="37">
        <f>AT33* (1 + Scenarios!$K$10)</f>
        <v>0</v>
      </c>
      <c r="AV33" s="37">
        <f>AU33* (1 + Scenarios!$K$10)</f>
        <v>0</v>
      </c>
      <c r="AW33" s="37">
        <f>AV33* (1 + Scenarios!$K$10)</f>
        <v>0</v>
      </c>
      <c r="AX33" s="37">
        <f>AW33* (1 + Scenarios!$K$10)</f>
        <v>0</v>
      </c>
      <c r="AY33" s="37">
        <f>AX33* (1 + Scenarios!$K$10)</f>
        <v>0</v>
      </c>
      <c r="AZ33" s="37">
        <f>AY33* (1 + Scenarios!$K$10)</f>
        <v>0</v>
      </c>
    </row>
    <row r="34" spans="1:52" s="37" customFormat="1">
      <c r="A34" s="78" t="s">
        <v>337</v>
      </c>
      <c r="B34" s="88">
        <f t="shared" si="3"/>
        <v>0</v>
      </c>
      <c r="C34" s="88">
        <f t="shared" si="3"/>
        <v>0</v>
      </c>
      <c r="D34" s="37">
        <f>C34* (1 + Scenarios!$K$10)</f>
        <v>0</v>
      </c>
      <c r="E34" s="37">
        <f>D34* (1 + Scenarios!$K$10)</f>
        <v>0</v>
      </c>
      <c r="F34" s="37">
        <f>E34* (1 + Scenarios!$K$10)</f>
        <v>0</v>
      </c>
      <c r="G34" s="37">
        <f>F34* (1 + Scenarios!$K$10)</f>
        <v>0</v>
      </c>
      <c r="H34" s="37">
        <f>G34* (1 + Scenarios!$K$10)</f>
        <v>0</v>
      </c>
      <c r="I34" s="37">
        <f>H34* (1 + Scenarios!$K$10)</f>
        <v>0</v>
      </c>
      <c r="J34" s="37">
        <f>I34* (1 + Scenarios!$K$10)</f>
        <v>0</v>
      </c>
      <c r="K34" s="37">
        <f>J34* (1 + Scenarios!$K$10)</f>
        <v>0</v>
      </c>
      <c r="L34" s="37">
        <f>K34* (1 + Scenarios!$K$10)</f>
        <v>0</v>
      </c>
      <c r="M34" s="37">
        <f>L34* (1 + Scenarios!$K$10)</f>
        <v>0</v>
      </c>
      <c r="N34" s="37">
        <f>M34* (1 + Scenarios!$K$10)</f>
        <v>0</v>
      </c>
      <c r="O34" s="37">
        <f>N34* (1 + Scenarios!$K$10)</f>
        <v>0</v>
      </c>
      <c r="P34" s="37">
        <f>O34* (1 + Scenarios!$K$10)</f>
        <v>0</v>
      </c>
      <c r="Q34" s="37">
        <f>P34* (1 + Scenarios!$K$10)</f>
        <v>0</v>
      </c>
      <c r="R34" s="37">
        <f>Q34* (1 + Scenarios!$K$10)</f>
        <v>0</v>
      </c>
      <c r="S34" s="37">
        <f>R34* (1 + Scenarios!$K$10)</f>
        <v>0</v>
      </c>
      <c r="T34" s="37">
        <f>S34* (1 + Scenarios!$K$10)</f>
        <v>0</v>
      </c>
      <c r="U34" s="37">
        <f>T34* (1 + Scenarios!$K$10)</f>
        <v>0</v>
      </c>
      <c r="V34" s="37">
        <f>U34* (1 + Scenarios!$K$10)</f>
        <v>0</v>
      </c>
      <c r="W34" s="37">
        <f>V34* (1 + Scenarios!$K$10)</f>
        <v>0</v>
      </c>
      <c r="X34" s="37">
        <f>W34* (1 + Scenarios!$K$10)</f>
        <v>0</v>
      </c>
      <c r="Y34" s="37">
        <f>X34* (1 + Scenarios!$K$10)</f>
        <v>0</v>
      </c>
      <c r="Z34" s="37">
        <f>Y34* (1 + Scenarios!$K$10)</f>
        <v>0</v>
      </c>
      <c r="AA34" s="37">
        <f>Z34* (1 + Scenarios!$K$10)</f>
        <v>0</v>
      </c>
      <c r="AB34" s="37">
        <f>AA34* (1 + Scenarios!$K$10)</f>
        <v>0</v>
      </c>
      <c r="AC34" s="37">
        <f>AB34* (1 + Scenarios!$K$10)</f>
        <v>0</v>
      </c>
      <c r="AD34" s="37">
        <f>AC34* (1 + Scenarios!$K$10)</f>
        <v>0</v>
      </c>
      <c r="AE34" s="37">
        <f>AD34* (1 + Scenarios!$K$10)</f>
        <v>0</v>
      </c>
      <c r="AF34" s="37">
        <f>AE34* (1 + Scenarios!$K$10)</f>
        <v>0</v>
      </c>
      <c r="AG34" s="37">
        <f>AF34* (1 + Scenarios!$K$10)</f>
        <v>0</v>
      </c>
      <c r="AH34" s="37">
        <f>AG34* (1 + Scenarios!$K$10)</f>
        <v>0</v>
      </c>
      <c r="AI34" s="37">
        <f>AH34* (1 + Scenarios!$K$10)</f>
        <v>0</v>
      </c>
      <c r="AJ34" s="37">
        <f>AI34* (1 + Scenarios!$K$10)</f>
        <v>0</v>
      </c>
      <c r="AK34" s="37">
        <f>AJ34* (1 + Scenarios!$K$10)</f>
        <v>0</v>
      </c>
      <c r="AL34" s="37">
        <f>AK34* (1 + Scenarios!$K$10)</f>
        <v>0</v>
      </c>
      <c r="AM34" s="37">
        <f>AL34* (1 + Scenarios!$K$10)</f>
        <v>0</v>
      </c>
      <c r="AN34" s="37">
        <f>AM34* (1 + Scenarios!$K$10)</f>
        <v>0</v>
      </c>
      <c r="AO34" s="37">
        <f>AN34* (1 + Scenarios!$K$10)</f>
        <v>0</v>
      </c>
      <c r="AP34" s="37">
        <f>AO34* (1 + Scenarios!$K$10)</f>
        <v>0</v>
      </c>
      <c r="AQ34" s="37">
        <f>AP34* (1 + Scenarios!$K$10)</f>
        <v>0</v>
      </c>
      <c r="AR34" s="37">
        <f>AQ34* (1 + Scenarios!$K$10)</f>
        <v>0</v>
      </c>
      <c r="AS34" s="37">
        <f>AR34* (1 + Scenarios!$K$10)</f>
        <v>0</v>
      </c>
      <c r="AT34" s="37">
        <f>AS34* (1 + Scenarios!$K$10)</f>
        <v>0</v>
      </c>
      <c r="AU34" s="37">
        <f>AT34* (1 + Scenarios!$K$10)</f>
        <v>0</v>
      </c>
      <c r="AV34" s="37">
        <f>AU34* (1 + Scenarios!$K$10)</f>
        <v>0</v>
      </c>
      <c r="AW34" s="37">
        <f>AV34* (1 + Scenarios!$K$10)</f>
        <v>0</v>
      </c>
      <c r="AX34" s="37">
        <f>AW34* (1 + Scenarios!$K$10)</f>
        <v>0</v>
      </c>
      <c r="AY34" s="37">
        <f>AX34* (1 + Scenarios!$K$10)</f>
        <v>0</v>
      </c>
      <c r="AZ34" s="37">
        <f>AY34* (1 + Scenarios!$K$10)</f>
        <v>0</v>
      </c>
    </row>
    <row r="35" spans="1:52" s="37" customFormat="1">
      <c r="A35" s="78" t="s">
        <v>338</v>
      </c>
      <c r="B35" s="88">
        <f t="shared" si="3"/>
        <v>0</v>
      </c>
      <c r="C35" s="88">
        <f t="shared" si="3"/>
        <v>0</v>
      </c>
      <c r="D35" s="37">
        <f>C35* (1 + Scenarios!$K$10)</f>
        <v>0</v>
      </c>
      <c r="E35" s="37">
        <f>D35* (1 + Scenarios!$K$10)</f>
        <v>0</v>
      </c>
      <c r="F35" s="37">
        <f>E35* (1 + Scenarios!$K$10)</f>
        <v>0</v>
      </c>
      <c r="G35" s="37">
        <f>F35* (1 + Scenarios!$K$10)</f>
        <v>0</v>
      </c>
      <c r="H35" s="37">
        <f>G35* (1 + Scenarios!$K$10)</f>
        <v>0</v>
      </c>
      <c r="I35" s="37">
        <f>H35* (1 + Scenarios!$K$10)</f>
        <v>0</v>
      </c>
      <c r="J35" s="37">
        <f>I35* (1 + Scenarios!$K$10)</f>
        <v>0</v>
      </c>
      <c r="K35" s="37">
        <f>J35* (1 + Scenarios!$K$10)</f>
        <v>0</v>
      </c>
      <c r="L35" s="37">
        <f>K35* (1 + Scenarios!$K$10)</f>
        <v>0</v>
      </c>
      <c r="M35" s="37">
        <f>L35* (1 + Scenarios!$K$10)</f>
        <v>0</v>
      </c>
      <c r="N35" s="37">
        <f>M35* (1 + Scenarios!$K$10)</f>
        <v>0</v>
      </c>
      <c r="O35" s="37">
        <f>N35* (1 + Scenarios!$K$10)</f>
        <v>0</v>
      </c>
      <c r="P35" s="37">
        <f>O35* (1 + Scenarios!$K$10)</f>
        <v>0</v>
      </c>
      <c r="Q35" s="37">
        <f>P35* (1 + Scenarios!$K$10)</f>
        <v>0</v>
      </c>
      <c r="R35" s="37">
        <f>Q35* (1 + Scenarios!$K$10)</f>
        <v>0</v>
      </c>
      <c r="S35" s="37">
        <f>R35* (1 + Scenarios!$K$10)</f>
        <v>0</v>
      </c>
      <c r="T35" s="37">
        <f>S35* (1 + Scenarios!$K$10)</f>
        <v>0</v>
      </c>
      <c r="U35" s="37">
        <f>T35* (1 + Scenarios!$K$10)</f>
        <v>0</v>
      </c>
      <c r="V35" s="37">
        <f>U35* (1 + Scenarios!$K$10)</f>
        <v>0</v>
      </c>
      <c r="W35" s="37">
        <f>V35* (1 + Scenarios!$K$10)</f>
        <v>0</v>
      </c>
      <c r="X35" s="37">
        <f>W35* (1 + Scenarios!$K$10)</f>
        <v>0</v>
      </c>
      <c r="Y35" s="37">
        <f>X35* (1 + Scenarios!$K$10)</f>
        <v>0</v>
      </c>
      <c r="Z35" s="37">
        <f>Y35* (1 + Scenarios!$K$10)</f>
        <v>0</v>
      </c>
      <c r="AA35" s="37">
        <f>Z35* (1 + Scenarios!$K$10)</f>
        <v>0</v>
      </c>
      <c r="AB35" s="37">
        <f>AA35* (1 + Scenarios!$K$10)</f>
        <v>0</v>
      </c>
      <c r="AC35" s="37">
        <f>AB35* (1 + Scenarios!$K$10)</f>
        <v>0</v>
      </c>
      <c r="AD35" s="37">
        <f>AC35* (1 + Scenarios!$K$10)</f>
        <v>0</v>
      </c>
      <c r="AE35" s="37">
        <f>AD35* (1 + Scenarios!$K$10)</f>
        <v>0</v>
      </c>
      <c r="AF35" s="37">
        <f>AE35* (1 + Scenarios!$K$10)</f>
        <v>0</v>
      </c>
      <c r="AG35" s="37">
        <f>AF35* (1 + Scenarios!$K$10)</f>
        <v>0</v>
      </c>
      <c r="AH35" s="37">
        <f>AG35* (1 + Scenarios!$K$10)</f>
        <v>0</v>
      </c>
      <c r="AI35" s="37">
        <f>AH35* (1 + Scenarios!$K$10)</f>
        <v>0</v>
      </c>
      <c r="AJ35" s="37">
        <f>AI35* (1 + Scenarios!$K$10)</f>
        <v>0</v>
      </c>
      <c r="AK35" s="37">
        <f>AJ35* (1 + Scenarios!$K$10)</f>
        <v>0</v>
      </c>
      <c r="AL35" s="37">
        <f>AK35* (1 + Scenarios!$K$10)</f>
        <v>0</v>
      </c>
      <c r="AM35" s="37">
        <f>AL35* (1 + Scenarios!$K$10)</f>
        <v>0</v>
      </c>
      <c r="AN35" s="37">
        <f>AM35* (1 + Scenarios!$K$10)</f>
        <v>0</v>
      </c>
      <c r="AO35" s="37">
        <f>AN35* (1 + Scenarios!$K$10)</f>
        <v>0</v>
      </c>
      <c r="AP35" s="37">
        <f>AO35* (1 + Scenarios!$K$10)</f>
        <v>0</v>
      </c>
      <c r="AQ35" s="37">
        <f>AP35* (1 + Scenarios!$K$10)</f>
        <v>0</v>
      </c>
      <c r="AR35" s="37">
        <f>AQ35* (1 + Scenarios!$K$10)</f>
        <v>0</v>
      </c>
      <c r="AS35" s="37">
        <f>AR35* (1 + Scenarios!$K$10)</f>
        <v>0</v>
      </c>
      <c r="AT35" s="37">
        <f>AS35* (1 + Scenarios!$K$10)</f>
        <v>0</v>
      </c>
      <c r="AU35" s="37">
        <f>AT35* (1 + Scenarios!$K$10)</f>
        <v>0</v>
      </c>
      <c r="AV35" s="37">
        <f>AU35* (1 + Scenarios!$K$10)</f>
        <v>0</v>
      </c>
      <c r="AW35" s="37">
        <f>AV35* (1 + Scenarios!$K$10)</f>
        <v>0</v>
      </c>
      <c r="AX35" s="37">
        <f>AW35* (1 + Scenarios!$K$10)</f>
        <v>0</v>
      </c>
      <c r="AY35" s="37">
        <f>AX35* (1 + Scenarios!$K$10)</f>
        <v>0</v>
      </c>
      <c r="AZ35" s="37">
        <f>AY35* (1 + Scenarios!$K$10)</f>
        <v>0</v>
      </c>
    </row>
    <row r="36" spans="1:52">
      <c r="A36" s="77" t="s">
        <v>339</v>
      </c>
    </row>
    <row r="37" spans="1:52" s="37" customFormat="1">
      <c r="A37" s="78" t="s">
        <v>340</v>
      </c>
      <c r="B37" s="88"/>
      <c r="C37" s="88"/>
      <c r="D37" s="37">
        <f>C37* (1 + Scenarios!$K$10)</f>
        <v>0</v>
      </c>
      <c r="E37" s="37">
        <f>D37* (1 + Scenarios!$K$10)</f>
        <v>0</v>
      </c>
      <c r="F37" s="37">
        <f>E37* (1 + Scenarios!$K$10)</f>
        <v>0</v>
      </c>
      <c r="G37" s="37">
        <f>F37* (1 + Scenarios!$K$10)</f>
        <v>0</v>
      </c>
      <c r="H37" s="37">
        <f>G37* (1 + Scenarios!$K$10)</f>
        <v>0</v>
      </c>
      <c r="I37" s="37">
        <f>H37* (1 + Scenarios!$K$10)</f>
        <v>0</v>
      </c>
      <c r="J37" s="37">
        <f>I37* (1 + Scenarios!$K$10)</f>
        <v>0</v>
      </c>
      <c r="K37" s="37">
        <f>J37* (1 + Scenarios!$K$10)</f>
        <v>0</v>
      </c>
      <c r="L37" s="37">
        <f>K37* (1 + Scenarios!$K$10)</f>
        <v>0</v>
      </c>
      <c r="M37" s="37">
        <f>L37* (1 + Scenarios!$K$10)</f>
        <v>0</v>
      </c>
      <c r="N37" s="37">
        <f>M37* (1 + Scenarios!$K$10)</f>
        <v>0</v>
      </c>
      <c r="O37" s="37">
        <f>N37* (1 + Scenarios!$K$10)</f>
        <v>0</v>
      </c>
      <c r="P37" s="37">
        <f>O37* (1 + Scenarios!$K$10)</f>
        <v>0</v>
      </c>
      <c r="Q37" s="37">
        <f>P37* (1 + Scenarios!$K$10)</f>
        <v>0</v>
      </c>
      <c r="R37" s="37">
        <f>Q37* (1 + Scenarios!$K$10)</f>
        <v>0</v>
      </c>
      <c r="S37" s="37">
        <f>R37* (1 + Scenarios!$K$10)</f>
        <v>0</v>
      </c>
      <c r="T37" s="37">
        <f>S37* (1 + Scenarios!$K$10)</f>
        <v>0</v>
      </c>
      <c r="U37" s="37">
        <f>T37* (1 + Scenarios!$K$10)</f>
        <v>0</v>
      </c>
      <c r="V37" s="37">
        <f>U37* (1 + Scenarios!$K$10)</f>
        <v>0</v>
      </c>
      <c r="W37" s="37">
        <f>V37* (1 + Scenarios!$K$10)</f>
        <v>0</v>
      </c>
      <c r="X37" s="37">
        <f>W37* (1 + Scenarios!$K$10)</f>
        <v>0</v>
      </c>
      <c r="Y37" s="37">
        <f>X37* (1 + Scenarios!$K$10)</f>
        <v>0</v>
      </c>
      <c r="Z37" s="37">
        <f>Y37* (1 + Scenarios!$K$10)</f>
        <v>0</v>
      </c>
      <c r="AA37" s="37">
        <f>Z37* (1 + Scenarios!$K$10)</f>
        <v>0</v>
      </c>
      <c r="AB37" s="37">
        <f>AA37* (1 + Scenarios!$K$10)</f>
        <v>0</v>
      </c>
      <c r="AC37" s="37">
        <f>AB37* (1 + Scenarios!$K$10)</f>
        <v>0</v>
      </c>
      <c r="AD37" s="37">
        <f>AC37* (1 + Scenarios!$K$10)</f>
        <v>0</v>
      </c>
      <c r="AE37" s="37">
        <f>AD37* (1 + Scenarios!$K$10)</f>
        <v>0</v>
      </c>
      <c r="AF37" s="37">
        <f>AE37* (1 + Scenarios!$K$10)</f>
        <v>0</v>
      </c>
      <c r="AG37" s="37">
        <f>AF37* (1 + Scenarios!$K$10)</f>
        <v>0</v>
      </c>
      <c r="AH37" s="37">
        <f>AG37* (1 + Scenarios!$K$10)</f>
        <v>0</v>
      </c>
      <c r="AI37" s="37">
        <f>AH37* (1 + Scenarios!$K$10)</f>
        <v>0</v>
      </c>
      <c r="AJ37" s="37">
        <f>AI37* (1 + Scenarios!$K$10)</f>
        <v>0</v>
      </c>
      <c r="AK37" s="37">
        <f>AJ37* (1 + Scenarios!$K$10)</f>
        <v>0</v>
      </c>
      <c r="AL37" s="37">
        <f>AK37* (1 + Scenarios!$K$10)</f>
        <v>0</v>
      </c>
      <c r="AM37" s="37">
        <f>AL37* (1 + Scenarios!$K$10)</f>
        <v>0</v>
      </c>
      <c r="AN37" s="37">
        <f>AM37* (1 + Scenarios!$K$10)</f>
        <v>0</v>
      </c>
      <c r="AO37" s="37">
        <f>AN37* (1 + Scenarios!$K$10)</f>
        <v>0</v>
      </c>
      <c r="AP37" s="37">
        <f>AO37* (1 + Scenarios!$K$10)</f>
        <v>0</v>
      </c>
      <c r="AQ37" s="37">
        <f>AP37* (1 + Scenarios!$K$10)</f>
        <v>0</v>
      </c>
      <c r="AR37" s="37">
        <f>AQ37* (1 + Scenarios!$K$10)</f>
        <v>0</v>
      </c>
      <c r="AS37" s="37">
        <f>AR37* (1 + Scenarios!$K$10)</f>
        <v>0</v>
      </c>
      <c r="AT37" s="37">
        <f>AS37* (1 + Scenarios!$K$10)</f>
        <v>0</v>
      </c>
      <c r="AU37" s="37">
        <f>AT37* (1 + Scenarios!$K$10)</f>
        <v>0</v>
      </c>
      <c r="AV37" s="37">
        <f>AU37* (1 + Scenarios!$K$10)</f>
        <v>0</v>
      </c>
      <c r="AW37" s="37">
        <f>AV37* (1 + Scenarios!$K$10)</f>
        <v>0</v>
      </c>
      <c r="AX37" s="37">
        <f>AW37* (1 + Scenarios!$K$10)</f>
        <v>0</v>
      </c>
      <c r="AY37" s="37">
        <f>AX37* (1 + Scenarios!$K$10)</f>
        <v>0</v>
      </c>
      <c r="AZ37" s="37">
        <f>AY37* (1 + Scenarios!$K$10)</f>
        <v>0</v>
      </c>
    </row>
    <row r="38" spans="1:52">
      <c r="A38" s="77" t="s">
        <v>341</v>
      </c>
    </row>
    <row r="39" spans="1:52" s="37" customFormat="1">
      <c r="A39" s="78" t="s">
        <v>342</v>
      </c>
      <c r="B39" s="88">
        <f>0</f>
        <v>0</v>
      </c>
      <c r="C39" s="88">
        <f>0</f>
        <v>0</v>
      </c>
      <c r="D39" s="37">
        <f>0</f>
        <v>0</v>
      </c>
      <c r="E39" s="37">
        <f>0</f>
        <v>0</v>
      </c>
      <c r="F39" s="37">
        <f>0</f>
        <v>0</v>
      </c>
      <c r="G39" s="37">
        <f>0</f>
        <v>0</v>
      </c>
      <c r="H39" s="37">
        <f>0</f>
        <v>0</v>
      </c>
      <c r="I39" s="37">
        <f>0</f>
        <v>0</v>
      </c>
      <c r="J39" s="37">
        <f>0</f>
        <v>0</v>
      </c>
      <c r="K39" s="37">
        <f>0</f>
        <v>0</v>
      </c>
      <c r="L39" s="37">
        <f>0</f>
        <v>0</v>
      </c>
      <c r="M39" s="37">
        <f>0</f>
        <v>0</v>
      </c>
      <c r="N39" s="37">
        <f>0</f>
        <v>0</v>
      </c>
      <c r="O39" s="37">
        <f>0</f>
        <v>0</v>
      </c>
      <c r="P39" s="37">
        <f>0</f>
        <v>0</v>
      </c>
      <c r="Q39" s="37">
        <f>0</f>
        <v>0</v>
      </c>
      <c r="R39" s="37">
        <f>0</f>
        <v>0</v>
      </c>
      <c r="S39" s="37">
        <f>0</f>
        <v>0</v>
      </c>
      <c r="T39" s="37">
        <f>0</f>
        <v>0</v>
      </c>
      <c r="U39" s="37">
        <f>0</f>
        <v>0</v>
      </c>
      <c r="V39" s="37">
        <f>0</f>
        <v>0</v>
      </c>
      <c r="W39" s="37">
        <f>0</f>
        <v>0</v>
      </c>
      <c r="X39" s="37">
        <f>0</f>
        <v>0</v>
      </c>
      <c r="Y39" s="37">
        <f>0</f>
        <v>0</v>
      </c>
      <c r="Z39" s="37">
        <f>0</f>
        <v>0</v>
      </c>
      <c r="AA39" s="37">
        <f>0</f>
        <v>0</v>
      </c>
      <c r="AB39" s="37">
        <f>0</f>
        <v>0</v>
      </c>
      <c r="AC39" s="37">
        <f>0</f>
        <v>0</v>
      </c>
      <c r="AD39" s="37">
        <f>0</f>
        <v>0</v>
      </c>
      <c r="AE39" s="37">
        <f>0</f>
        <v>0</v>
      </c>
      <c r="AF39" s="37">
        <f>0</f>
        <v>0</v>
      </c>
      <c r="AG39" s="37">
        <f>0</f>
        <v>0</v>
      </c>
      <c r="AH39" s="37">
        <f>0</f>
        <v>0</v>
      </c>
      <c r="AI39" s="37">
        <f>0</f>
        <v>0</v>
      </c>
      <c r="AJ39" s="37">
        <f>0</f>
        <v>0</v>
      </c>
      <c r="AK39" s="37">
        <f>0</f>
        <v>0</v>
      </c>
      <c r="AL39" s="37">
        <f>0</f>
        <v>0</v>
      </c>
      <c r="AM39" s="37">
        <f>0</f>
        <v>0</v>
      </c>
      <c r="AN39" s="37">
        <f>0</f>
        <v>0</v>
      </c>
      <c r="AO39" s="37">
        <f>0</f>
        <v>0</v>
      </c>
      <c r="AP39" s="37">
        <f>0</f>
        <v>0</v>
      </c>
      <c r="AQ39" s="37">
        <f>0</f>
        <v>0</v>
      </c>
      <c r="AR39" s="37">
        <f>0</f>
        <v>0</v>
      </c>
      <c r="AS39" s="37">
        <f>0</f>
        <v>0</v>
      </c>
      <c r="AT39" s="37">
        <f>0</f>
        <v>0</v>
      </c>
      <c r="AU39" s="37">
        <f>0</f>
        <v>0</v>
      </c>
      <c r="AV39" s="37">
        <f>0</f>
        <v>0</v>
      </c>
      <c r="AW39" s="37">
        <f>0</f>
        <v>0</v>
      </c>
      <c r="AX39" s="37">
        <f>0</f>
        <v>0</v>
      </c>
      <c r="AY39" s="37">
        <f>0</f>
        <v>0</v>
      </c>
      <c r="AZ39" s="37">
        <f>0</f>
        <v>0</v>
      </c>
    </row>
    <row r="40" spans="1:52" s="37" customFormat="1">
      <c r="A40" s="78" t="s">
        <v>343</v>
      </c>
      <c r="B40" s="88">
        <f>Assumptions!$B$69*Assumptions!$B$70</f>
        <v>5538.7750000000005</v>
      </c>
      <c r="C40" s="88">
        <f>Assumptions!$B$69*Assumptions!$B$70</f>
        <v>5538.7750000000005</v>
      </c>
      <c r="D40" s="37">
        <f>Assumptions!$B$69*Assumptions!$B$70</f>
        <v>5538.7750000000005</v>
      </c>
      <c r="E40" s="37">
        <f>Assumptions!$B$69*Assumptions!$B$70</f>
        <v>5538.7750000000005</v>
      </c>
      <c r="F40" s="37">
        <f>Assumptions!$B$69*Assumptions!$B$70</f>
        <v>5538.7750000000005</v>
      </c>
      <c r="G40" s="37">
        <f>Assumptions!$B$69*Assumptions!$B$70</f>
        <v>5538.7750000000005</v>
      </c>
      <c r="H40" s="37">
        <f>Assumptions!$B$69*Assumptions!$B$70</f>
        <v>5538.7750000000005</v>
      </c>
      <c r="I40" s="37">
        <f>Assumptions!$B$69*Assumptions!$B$70</f>
        <v>5538.7750000000005</v>
      </c>
      <c r="J40" s="37">
        <f>Assumptions!$B$69*Assumptions!$B$70</f>
        <v>5538.7750000000005</v>
      </c>
      <c r="K40" s="37">
        <f>Assumptions!$B$69*Assumptions!$B$70</f>
        <v>5538.7750000000005</v>
      </c>
      <c r="L40" s="37">
        <f>Assumptions!$B$69*Assumptions!$B$70</f>
        <v>5538.7750000000005</v>
      </c>
      <c r="M40" s="37">
        <f>Assumptions!$B$69*Assumptions!$B$70</f>
        <v>5538.7750000000005</v>
      </c>
      <c r="N40" s="37">
        <f>Assumptions!$B$69*Assumptions!$B$70</f>
        <v>5538.7750000000005</v>
      </c>
      <c r="O40" s="37">
        <f>Assumptions!$B$69*Assumptions!$B$70</f>
        <v>5538.7750000000005</v>
      </c>
      <c r="P40" s="37">
        <f>Assumptions!$B$69*Assumptions!$B$70</f>
        <v>5538.7750000000005</v>
      </c>
      <c r="Q40" s="37">
        <f>Assumptions!$B$69*Assumptions!$B$70</f>
        <v>5538.7750000000005</v>
      </c>
      <c r="R40" s="37">
        <f>Assumptions!$B$69*Assumptions!$B$70</f>
        <v>5538.7750000000005</v>
      </c>
      <c r="S40" s="37">
        <f>Assumptions!$B$69*Assumptions!$B$70</f>
        <v>5538.7750000000005</v>
      </c>
      <c r="T40" s="37">
        <f>Assumptions!$B$69*Assumptions!$B$70</f>
        <v>5538.7750000000005</v>
      </c>
      <c r="U40" s="37">
        <f>Assumptions!$B$69*Assumptions!$B$70</f>
        <v>5538.7750000000005</v>
      </c>
      <c r="V40" s="37">
        <f>Assumptions!$B$69*Assumptions!$B$70</f>
        <v>5538.7750000000005</v>
      </c>
      <c r="W40" s="37">
        <f>Assumptions!$B$69*Assumptions!$B$70</f>
        <v>5538.7750000000005</v>
      </c>
      <c r="X40" s="37">
        <f>Assumptions!$B$69*Assumptions!$B$70</f>
        <v>5538.7750000000005</v>
      </c>
      <c r="Y40" s="37">
        <f>Assumptions!$B$69*Assumptions!$B$70</f>
        <v>5538.7750000000005</v>
      </c>
      <c r="Z40" s="37">
        <f>Assumptions!$B$69*Assumptions!$B$70</f>
        <v>5538.7750000000005</v>
      </c>
      <c r="AA40" s="37">
        <f>Assumptions!$B$69*Assumptions!$B$70</f>
        <v>5538.7750000000005</v>
      </c>
      <c r="AB40" s="37">
        <f>Assumptions!$B$69*Assumptions!$B$70</f>
        <v>5538.7750000000005</v>
      </c>
      <c r="AC40" s="37">
        <f>Assumptions!$B$69*Assumptions!$B$70</f>
        <v>5538.7750000000005</v>
      </c>
      <c r="AD40" s="37">
        <f>Assumptions!$B$69*Assumptions!$B$70</f>
        <v>5538.7750000000005</v>
      </c>
      <c r="AE40" s="37">
        <f>Assumptions!$B$69*Assumptions!$B$70</f>
        <v>5538.7750000000005</v>
      </c>
      <c r="AF40" s="37">
        <f>Assumptions!$B$69*Assumptions!$B$70</f>
        <v>5538.7750000000005</v>
      </c>
      <c r="AG40" s="37">
        <f>Assumptions!$B$69*Assumptions!$B$70</f>
        <v>5538.7750000000005</v>
      </c>
      <c r="AH40" s="37">
        <f>Assumptions!$B$69*Assumptions!$B$70</f>
        <v>5538.7750000000005</v>
      </c>
      <c r="AI40" s="37">
        <f>Assumptions!$B$69*Assumptions!$B$70</f>
        <v>5538.7750000000005</v>
      </c>
      <c r="AJ40" s="37">
        <f>Assumptions!$B$69*Assumptions!$B$70</f>
        <v>5538.7750000000005</v>
      </c>
      <c r="AK40" s="37">
        <f>Assumptions!$B$69*Assumptions!$B$70</f>
        <v>5538.7750000000005</v>
      </c>
      <c r="AL40" s="37">
        <f>Assumptions!$B$69*Assumptions!$B$70</f>
        <v>5538.7750000000005</v>
      </c>
      <c r="AM40" s="37">
        <f>Assumptions!$B$69*Assumptions!$B$70</f>
        <v>5538.7750000000005</v>
      </c>
      <c r="AN40" s="37">
        <f>Assumptions!$B$69*Assumptions!$B$70</f>
        <v>5538.7750000000005</v>
      </c>
      <c r="AO40" s="37">
        <f>Assumptions!$B$69*Assumptions!$B$70</f>
        <v>5538.7750000000005</v>
      </c>
      <c r="AP40" s="37">
        <f>Assumptions!$B$69*Assumptions!$B$70</f>
        <v>5538.7750000000005</v>
      </c>
      <c r="AQ40" s="37">
        <f>Assumptions!$B$69*Assumptions!$B$70</f>
        <v>5538.7750000000005</v>
      </c>
      <c r="AR40" s="37">
        <f>Assumptions!$B$69*Assumptions!$B$70</f>
        <v>5538.7750000000005</v>
      </c>
      <c r="AS40" s="37">
        <f>Assumptions!$B$69*Assumptions!$B$70</f>
        <v>5538.7750000000005</v>
      </c>
      <c r="AT40" s="37">
        <f>Assumptions!$B$69*Assumptions!$B$70</f>
        <v>5538.7750000000005</v>
      </c>
      <c r="AU40" s="37">
        <f>Assumptions!$B$69*Assumptions!$B$70</f>
        <v>5538.7750000000005</v>
      </c>
      <c r="AV40" s="37">
        <f>Assumptions!$B$69*Assumptions!$B$70</f>
        <v>5538.7750000000005</v>
      </c>
      <c r="AW40" s="37">
        <f>Assumptions!$B$69*Assumptions!$B$70</f>
        <v>5538.7750000000005</v>
      </c>
      <c r="AX40" s="37">
        <f>Assumptions!$B$69*Assumptions!$B$70</f>
        <v>5538.7750000000005</v>
      </c>
      <c r="AY40" s="37">
        <f>Assumptions!$B$69*Assumptions!$B$70</f>
        <v>5538.7750000000005</v>
      </c>
      <c r="AZ40" s="37">
        <f>Assumptions!$B$69*Assumptions!$B$70</f>
        <v>5538.7750000000005</v>
      </c>
    </row>
    <row r="41" spans="1:52" s="37" customFormat="1">
      <c r="A41" s="78" t="s">
        <v>344</v>
      </c>
      <c r="B41" s="37">
        <f>Loan_IO_to_PI!M31</f>
        <v>0</v>
      </c>
      <c r="C41" s="37">
        <f>Loan_IO_to_PI!N31</f>
        <v>0</v>
      </c>
      <c r="D41" s="37">
        <f>Loan_IO_to_PI!O31</f>
        <v>0</v>
      </c>
      <c r="E41" s="37">
        <f>Loan_IO_to_PI!P31</f>
        <v>0</v>
      </c>
      <c r="F41" s="37">
        <f>Loan_IO_to_PI!Q31</f>
        <v>0</v>
      </c>
      <c r="G41" s="37">
        <f>Loan_IO_to_PI!R31</f>
        <v>0</v>
      </c>
      <c r="H41" s="37">
        <f>Loan_IO_to_PI!S31</f>
        <v>0</v>
      </c>
      <c r="I41" s="37">
        <f>Loan_IO_to_PI!T31</f>
        <v>0</v>
      </c>
      <c r="J41" s="37">
        <f>Loan_IO_to_PI!U31</f>
        <v>0</v>
      </c>
      <c r="K41" s="37">
        <f>Loan_IO_to_PI!V31</f>
        <v>0</v>
      </c>
      <c r="L41" s="37">
        <f>Loan_IO_to_PI!W31</f>
        <v>0</v>
      </c>
      <c r="M41" s="37">
        <f>Loan_IO_to_PI!X31</f>
        <v>0</v>
      </c>
      <c r="N41" s="37">
        <f>Loan_IO_to_PI!Y31</f>
        <v>0</v>
      </c>
      <c r="O41" s="37">
        <f>Loan_IO_to_PI!Z31</f>
        <v>0</v>
      </c>
      <c r="P41" s="37">
        <f>Loan_IO_to_PI!AA31</f>
        <v>0</v>
      </c>
      <c r="Q41" s="37">
        <f>Loan_IO_to_PI!AB31</f>
        <v>0</v>
      </c>
      <c r="R41" s="37">
        <f>Loan_IO_to_PI!AC31</f>
        <v>0</v>
      </c>
      <c r="S41" s="37">
        <f>Loan_IO_to_PI!AD31</f>
        <v>0</v>
      </c>
      <c r="T41" s="37">
        <f>Loan_IO_to_PI!AE31</f>
        <v>0</v>
      </c>
      <c r="U41" s="37">
        <f>Loan_IO_to_PI!AF31</f>
        <v>0</v>
      </c>
      <c r="V41" s="37">
        <f>Loan_IO_to_PI!AG31</f>
        <v>0</v>
      </c>
      <c r="W41" s="37">
        <f>Loan_IO_to_PI!AH31</f>
        <v>0</v>
      </c>
      <c r="X41" s="37">
        <f>Loan_IO_to_PI!AI31</f>
        <v>0</v>
      </c>
      <c r="Y41" s="37">
        <f>Loan_IO_to_PI!AJ31</f>
        <v>0</v>
      </c>
      <c r="Z41" s="37">
        <f>Loan_IO_to_PI!AK31</f>
        <v>0</v>
      </c>
      <c r="AA41" s="37">
        <v>0</v>
      </c>
      <c r="AB41" s="37">
        <v>0</v>
      </c>
      <c r="AC41" s="37">
        <v>0</v>
      </c>
      <c r="AD41" s="37">
        <v>0</v>
      </c>
      <c r="AE41" s="37">
        <v>0</v>
      </c>
      <c r="AF41" s="37">
        <v>0</v>
      </c>
      <c r="AG41" s="37">
        <v>0</v>
      </c>
      <c r="AH41" s="37">
        <v>0</v>
      </c>
      <c r="AI41" s="37">
        <v>0</v>
      </c>
      <c r="AJ41" s="37">
        <v>0</v>
      </c>
      <c r="AK41" s="37">
        <v>0</v>
      </c>
      <c r="AL41" s="37">
        <v>0</v>
      </c>
      <c r="AM41" s="37">
        <v>0</v>
      </c>
      <c r="AN41" s="37">
        <v>0</v>
      </c>
      <c r="AO41" s="37">
        <v>0</v>
      </c>
      <c r="AP41" s="37">
        <v>0</v>
      </c>
      <c r="AQ41" s="37">
        <v>0</v>
      </c>
      <c r="AR41" s="37">
        <v>0</v>
      </c>
      <c r="AS41" s="37">
        <v>0</v>
      </c>
      <c r="AT41" s="37">
        <v>0</v>
      </c>
      <c r="AU41" s="37">
        <v>0</v>
      </c>
      <c r="AV41" s="37">
        <v>0</v>
      </c>
      <c r="AW41" s="37">
        <v>0</v>
      </c>
      <c r="AX41" s="37">
        <v>0</v>
      </c>
      <c r="AY41" s="37">
        <v>0</v>
      </c>
      <c r="AZ41" s="37">
        <v>0</v>
      </c>
    </row>
    <row r="42" spans="1:52" s="37" customFormat="1">
      <c r="A42" s="78" t="s">
        <v>345</v>
      </c>
      <c r="B42" s="88"/>
      <c r="C42" s="88"/>
      <c r="D42" s="37">
        <f>C42* (1 + Scenarios!$K$10)</f>
        <v>0</v>
      </c>
      <c r="E42" s="37">
        <f>D42* (1 + Scenarios!$K$10)</f>
        <v>0</v>
      </c>
      <c r="F42" s="37">
        <f>E42* (1 + Scenarios!$K$10)</f>
        <v>0</v>
      </c>
      <c r="G42" s="37">
        <f>F42* (1 + Scenarios!$K$10)</f>
        <v>0</v>
      </c>
      <c r="H42" s="37">
        <f>G42* (1 + Scenarios!$K$10)</f>
        <v>0</v>
      </c>
      <c r="I42" s="37">
        <f>H42* (1 + Scenarios!$K$10)</f>
        <v>0</v>
      </c>
      <c r="J42" s="37">
        <f>I42* (1 + Scenarios!$K$10)</f>
        <v>0</v>
      </c>
      <c r="K42" s="37">
        <f>J42* (1 + Scenarios!$K$10)</f>
        <v>0</v>
      </c>
      <c r="L42" s="37">
        <f>K42* (1 + Scenarios!$K$10)</f>
        <v>0</v>
      </c>
      <c r="M42" s="37">
        <f>L42* (1 + Scenarios!$K$10)</f>
        <v>0</v>
      </c>
      <c r="N42" s="37">
        <f>M42* (1 + Scenarios!$K$10)</f>
        <v>0</v>
      </c>
      <c r="O42" s="37">
        <f>N42* (1 + Scenarios!$K$10)</f>
        <v>0</v>
      </c>
      <c r="P42" s="37">
        <f>O42* (1 + Scenarios!$K$10)</f>
        <v>0</v>
      </c>
      <c r="Q42" s="37">
        <f>P42* (1 + Scenarios!$K$10)</f>
        <v>0</v>
      </c>
      <c r="R42" s="37">
        <f>Q42* (1 + Scenarios!$K$10)</f>
        <v>0</v>
      </c>
      <c r="S42" s="37">
        <f>R42* (1 + Scenarios!$K$10)</f>
        <v>0</v>
      </c>
      <c r="T42" s="37">
        <f>S42* (1 + Scenarios!$K$10)</f>
        <v>0</v>
      </c>
      <c r="U42" s="37">
        <f>T42* (1 + Scenarios!$K$10)</f>
        <v>0</v>
      </c>
      <c r="V42" s="37">
        <f>U42* (1 + Scenarios!$K$10)</f>
        <v>0</v>
      </c>
      <c r="W42" s="37">
        <f>V42* (1 + Scenarios!$K$10)</f>
        <v>0</v>
      </c>
      <c r="X42" s="37">
        <f>W42* (1 + Scenarios!$K$10)</f>
        <v>0</v>
      </c>
      <c r="Y42" s="37">
        <f>X42* (1 + Scenarios!$K$10)</f>
        <v>0</v>
      </c>
      <c r="Z42" s="37">
        <f>Y42* (1 + Scenarios!$K$10)</f>
        <v>0</v>
      </c>
      <c r="AA42" s="37">
        <f>Z42* (1 + Scenarios!$K$10)</f>
        <v>0</v>
      </c>
      <c r="AB42" s="37">
        <f>AA42* (1 + Scenarios!$K$10)</f>
        <v>0</v>
      </c>
      <c r="AC42" s="37">
        <f>AB42* (1 + Scenarios!$K$10)</f>
        <v>0</v>
      </c>
      <c r="AD42" s="37">
        <f>AC42* (1 + Scenarios!$K$10)</f>
        <v>0</v>
      </c>
      <c r="AE42" s="37">
        <f>AD42* (1 + Scenarios!$K$10)</f>
        <v>0</v>
      </c>
      <c r="AF42" s="37">
        <f>AE42* (1 + Scenarios!$K$10)</f>
        <v>0</v>
      </c>
      <c r="AG42" s="37">
        <f>AF42* (1 + Scenarios!$K$10)</f>
        <v>0</v>
      </c>
      <c r="AH42" s="37">
        <f>AG42* (1 + Scenarios!$K$10)</f>
        <v>0</v>
      </c>
      <c r="AI42" s="37">
        <f>AH42* (1 + Scenarios!$K$10)</f>
        <v>0</v>
      </c>
      <c r="AJ42" s="37">
        <f>AI42* (1 + Scenarios!$K$10)</f>
        <v>0</v>
      </c>
      <c r="AK42" s="37">
        <f>AJ42* (1 + Scenarios!$K$10)</f>
        <v>0</v>
      </c>
      <c r="AL42" s="37">
        <f>AK42* (1 + Scenarios!$K$10)</f>
        <v>0</v>
      </c>
      <c r="AM42" s="37">
        <f>AL42* (1 + Scenarios!$K$10)</f>
        <v>0</v>
      </c>
      <c r="AN42" s="37">
        <f>AM42* (1 + Scenarios!$K$10)</f>
        <v>0</v>
      </c>
      <c r="AO42" s="37">
        <f>AN42* (1 + Scenarios!$K$10)</f>
        <v>0</v>
      </c>
      <c r="AP42" s="37">
        <f>AO42* (1 + Scenarios!$K$10)</f>
        <v>0</v>
      </c>
      <c r="AQ42" s="37">
        <f>AP42* (1 + Scenarios!$K$10)</f>
        <v>0</v>
      </c>
      <c r="AR42" s="37">
        <f>AQ42* (1 + Scenarios!$K$10)</f>
        <v>0</v>
      </c>
      <c r="AS42" s="37">
        <f>AR42* (1 + Scenarios!$K$10)</f>
        <v>0</v>
      </c>
      <c r="AT42" s="37">
        <f>AS42* (1 + Scenarios!$K$10)</f>
        <v>0</v>
      </c>
      <c r="AU42" s="37">
        <f>AT42* (1 + Scenarios!$K$10)</f>
        <v>0</v>
      </c>
      <c r="AV42" s="37">
        <f>AU42* (1 + Scenarios!$K$10)</f>
        <v>0</v>
      </c>
      <c r="AW42" s="37">
        <f>AV42* (1 + Scenarios!$K$10)</f>
        <v>0</v>
      </c>
      <c r="AX42" s="37">
        <f>AW42* (1 + Scenarios!$K$10)</f>
        <v>0</v>
      </c>
      <c r="AY42" s="37">
        <f>AX42* (1 + Scenarios!$K$10)</f>
        <v>0</v>
      </c>
      <c r="AZ42" s="37">
        <f>AY42* (1 + Scenarios!$K$10)</f>
        <v>0</v>
      </c>
    </row>
    <row r="43" spans="1:52" s="37" customFormat="1">
      <c r="A43" s="85" t="s">
        <v>346</v>
      </c>
    </row>
    <row r="44" spans="1:52" s="37" customFormat="1">
      <c r="A44" s="85" t="s">
        <v>347</v>
      </c>
      <c r="C44" s="37">
        <f>SUM(C11,C12,C13,C14,C17,C20,C21,C22,C23,C24,C26,C28,C29,C31,C37,C39,C40,C41,C42)</f>
        <v>37845.511490999997</v>
      </c>
    </row>
    <row r="45" spans="1:52" s="37" customFormat="1">
      <c r="A45" s="85" t="s">
        <v>348</v>
      </c>
      <c r="C45" s="37">
        <f>C9 - C44</f>
        <v>-37845.511490999997</v>
      </c>
    </row>
    <row r="46" spans="1:52" s="37" customFormat="1">
      <c r="A46" s="85" t="s">
        <v>349</v>
      </c>
      <c r="C46" s="37">
        <f>C45 + C39 + C40  + C41</f>
        <v>-32306.736490999996</v>
      </c>
    </row>
    <row r="47" spans="1:52" s="37" customFormat="1">
      <c r="A47" s="85"/>
    </row>
    <row r="49" spans="1:52" s="76" customFormat="1" ht="14">
      <c r="C49" s="76">
        <v>2026</v>
      </c>
      <c r="D49" s="76">
        <v>2027</v>
      </c>
      <c r="E49" s="76">
        <v>2028</v>
      </c>
      <c r="F49" s="76">
        <v>2029</v>
      </c>
      <c r="G49" s="76">
        <v>2030</v>
      </c>
      <c r="H49" s="76">
        <v>2031</v>
      </c>
      <c r="I49" s="76">
        <v>2032</v>
      </c>
      <c r="J49" s="76">
        <v>2033</v>
      </c>
      <c r="K49" s="76">
        <v>2034</v>
      </c>
      <c r="L49" s="76">
        <v>2035</v>
      </c>
      <c r="M49" s="76">
        <v>2036</v>
      </c>
      <c r="N49" s="76">
        <v>2037</v>
      </c>
      <c r="O49" s="76">
        <v>2038</v>
      </c>
      <c r="P49" s="76">
        <v>2039</v>
      </c>
      <c r="Q49" s="76">
        <v>2040</v>
      </c>
      <c r="R49" s="76">
        <v>2041</v>
      </c>
      <c r="S49" s="76">
        <v>2042</v>
      </c>
      <c r="T49" s="76">
        <v>2043</v>
      </c>
    </row>
    <row r="50" spans="1:52" ht="17">
      <c r="A50" s="15" t="s">
        <v>310</v>
      </c>
      <c r="B50" s="15"/>
      <c r="C50" s="15">
        <v>1</v>
      </c>
      <c r="D50" s="15">
        <v>2</v>
      </c>
      <c r="E50" s="15">
        <v>3</v>
      </c>
      <c r="F50" s="15">
        <v>4</v>
      </c>
      <c r="G50" s="15">
        <v>5</v>
      </c>
      <c r="H50" s="15">
        <v>6</v>
      </c>
      <c r="I50" s="15">
        <v>7</v>
      </c>
      <c r="J50" s="15">
        <v>8</v>
      </c>
      <c r="K50" s="15">
        <v>9</v>
      </c>
      <c r="L50" s="15">
        <v>10</v>
      </c>
      <c r="M50" s="15">
        <v>11</v>
      </c>
      <c r="N50" s="15">
        <v>12</v>
      </c>
      <c r="O50" s="15">
        <v>13</v>
      </c>
      <c r="P50" s="15">
        <v>14</v>
      </c>
      <c r="Q50" s="15">
        <v>15</v>
      </c>
      <c r="R50" s="15">
        <v>16</v>
      </c>
      <c r="S50" s="15">
        <v>17</v>
      </c>
      <c r="T50" s="15">
        <v>18</v>
      </c>
      <c r="U50" s="15">
        <v>19</v>
      </c>
      <c r="V50" s="15">
        <v>20</v>
      </c>
      <c r="W50" s="15">
        <v>21</v>
      </c>
      <c r="X50" s="15">
        <v>22</v>
      </c>
      <c r="Y50" s="15">
        <v>23</v>
      </c>
      <c r="Z50" s="15">
        <v>24</v>
      </c>
      <c r="AA50" s="15">
        <v>25</v>
      </c>
      <c r="AB50" s="15">
        <v>26</v>
      </c>
      <c r="AC50" s="15">
        <v>27</v>
      </c>
      <c r="AD50" s="15">
        <v>28</v>
      </c>
      <c r="AE50" s="15">
        <v>29</v>
      </c>
      <c r="AF50" s="15">
        <v>30</v>
      </c>
      <c r="AG50" s="15">
        <v>31</v>
      </c>
      <c r="AH50" s="15">
        <v>32</v>
      </c>
      <c r="AI50" s="15">
        <v>33</v>
      </c>
      <c r="AJ50" s="15">
        <v>34</v>
      </c>
      <c r="AK50" s="15">
        <v>35</v>
      </c>
      <c r="AL50" s="15">
        <v>36</v>
      </c>
      <c r="AM50" s="15">
        <v>37</v>
      </c>
      <c r="AN50" s="15">
        <v>38</v>
      </c>
      <c r="AO50" s="15">
        <v>39</v>
      </c>
      <c r="AP50" s="15">
        <v>40</v>
      </c>
      <c r="AQ50" s="15">
        <v>41</v>
      </c>
      <c r="AR50" s="15">
        <v>42</v>
      </c>
      <c r="AS50" s="15">
        <v>43</v>
      </c>
      <c r="AT50" s="15">
        <v>44</v>
      </c>
      <c r="AU50" s="15">
        <v>45</v>
      </c>
      <c r="AV50" s="15">
        <v>46</v>
      </c>
      <c r="AW50" s="15">
        <v>47</v>
      </c>
      <c r="AX50" s="15">
        <v>48</v>
      </c>
      <c r="AY50" s="15">
        <v>49</v>
      </c>
      <c r="AZ50" s="15">
        <v>50</v>
      </c>
    </row>
    <row r="51" spans="1:52">
      <c r="A51" s="77" t="str">
        <f>Properties!A7</f>
        <v>IP1 - Albany St Crows Nest</v>
      </c>
    </row>
    <row r="52" spans="1:52">
      <c r="A52" s="77"/>
    </row>
    <row r="53" spans="1:52">
      <c r="A53" s="77" t="s">
        <v>311</v>
      </c>
    </row>
    <row r="54" spans="1:52" s="37" customFormat="1">
      <c r="A54" s="85" t="s">
        <v>312</v>
      </c>
      <c r="B54" s="88">
        <f>820*52</f>
        <v>42640</v>
      </c>
      <c r="C54" s="88">
        <f>B54</f>
        <v>42640</v>
      </c>
      <c r="D54" s="37">
        <f>C54 * (1 + Scenarios!$K$13)</f>
        <v>43919.200000000004</v>
      </c>
      <c r="E54" s="37">
        <f>D54 * (1 + Scenarios!$K$13)</f>
        <v>45236.776000000005</v>
      </c>
      <c r="F54" s="37">
        <f>E54 * (1 + Scenarios!$K$13)</f>
        <v>46593.879280000008</v>
      </c>
      <c r="G54" s="37">
        <f>F54 * (1 + Scenarios!$K$13)</f>
        <v>47991.695658400007</v>
      </c>
      <c r="H54" s="37">
        <f>G54 * (1 + Scenarios!$K$13)</f>
        <v>49431.44652815201</v>
      </c>
      <c r="I54" s="37">
        <f>H54 * (1 + Scenarios!$K$13)</f>
        <v>50914.389923996569</v>
      </c>
      <c r="J54" s="37">
        <f>I54 * (1 + Scenarios!$K$13)</f>
        <v>52441.821621716466</v>
      </c>
      <c r="K54" s="37">
        <f>J54 * (1 + Scenarios!$K$13)</f>
        <v>54015.076270367965</v>
      </c>
      <c r="L54" s="37">
        <f>K54 * (1 + Scenarios!$K$13)</f>
        <v>55635.528558479004</v>
      </c>
      <c r="M54" s="37">
        <f>L54 * (1 + Scenarios!$K$13)</f>
        <v>57304.594415233376</v>
      </c>
      <c r="N54" s="37">
        <f>M54 * (1 + Scenarios!$K$13)</f>
        <v>59023.732247690379</v>
      </c>
      <c r="O54" s="37">
        <f>N54 * (1 + Scenarios!$K$13)</f>
        <v>60794.44421512109</v>
      </c>
      <c r="P54" s="37">
        <f>O54 * (1 + Scenarios!$K$13)</f>
        <v>62618.277541574724</v>
      </c>
      <c r="Q54" s="37">
        <f>P54 * (1 + Scenarios!$K$13)</f>
        <v>64496.825867821964</v>
      </c>
      <c r="R54" s="37">
        <f>Q54 * (1 + Scenarios!$K$13)</f>
        <v>66431.73064385663</v>
      </c>
      <c r="S54" s="37">
        <f>R54 * (1 + Scenarios!$K$13)</f>
        <v>68424.682563172333</v>
      </c>
      <c r="T54" s="37">
        <f>S54 * (1 + Scenarios!$K$13)</f>
        <v>70477.423040067501</v>
      </c>
      <c r="U54" s="37">
        <f>T54 * (1 + Scenarios!$K$13)</f>
        <v>72591.745731269533</v>
      </c>
      <c r="V54" s="37">
        <f>U54 * (1 + Scenarios!$K$13)</f>
        <v>74769.498103207618</v>
      </c>
      <c r="W54" s="37">
        <f>V54 * (1 + Scenarios!$K$13)</f>
        <v>77012.583046303844</v>
      </c>
      <c r="X54" s="37">
        <f>W54 * (1 + Scenarios!$K$13)</f>
        <v>79322.960537692954</v>
      </c>
      <c r="Y54" s="37">
        <f>X54 * (1 + Scenarios!$K$13)</f>
        <v>81702.649353823741</v>
      </c>
      <c r="Z54" s="37">
        <f>Y54 * (1 + Scenarios!$K$13)</f>
        <v>84153.728834438458</v>
      </c>
      <c r="AA54" s="37">
        <f>Z54 * (1 + Scenarios!$K$13)</f>
        <v>86678.340699471621</v>
      </c>
      <c r="AB54" s="37">
        <f>AA54 * (1 + Scenarios!$K$13)</f>
        <v>89278.690920455774</v>
      </c>
      <c r="AC54" s="37">
        <f>AB54 * (1 + Scenarios!$K$13)</f>
        <v>91957.05164806945</v>
      </c>
      <c r="AD54" s="37">
        <f>AC54 * (1 + Scenarios!$K$13)</f>
        <v>94715.763197511536</v>
      </c>
      <c r="AE54" s="37">
        <f>AD54 * (1 + Scenarios!$K$13)</f>
        <v>97557.236093436892</v>
      </c>
      <c r="AF54" s="37">
        <f>AE54 * (1 + Scenarios!$K$13)</f>
        <v>100483.95317624</v>
      </c>
      <c r="AG54" s="37">
        <f>AF54 * (1 + Scenarios!$K$13)</f>
        <v>103498.4717715272</v>
      </c>
      <c r="AH54" s="37">
        <f>AG54 * (1 + Scenarios!$K$13)</f>
        <v>106603.42592467302</v>
      </c>
      <c r="AI54" s="37">
        <f>AH54 * (1 + Scenarios!$K$13)</f>
        <v>109801.52870241321</v>
      </c>
      <c r="AJ54" s="37">
        <f>AI54 * (1 + Scenarios!$K$13)</f>
        <v>113095.57456348561</v>
      </c>
      <c r="AK54" s="37">
        <f>AJ54 * (1 + Scenarios!$K$13)</f>
        <v>116488.44180039018</v>
      </c>
      <c r="AL54" s="37">
        <f>AK54 * (1 + Scenarios!$K$13)</f>
        <v>119983.09505440189</v>
      </c>
      <c r="AM54" s="37">
        <f>AL54 * (1 + Scenarios!$K$13)</f>
        <v>123582.58790603395</v>
      </c>
      <c r="AN54" s="37">
        <f>AM54 * (1 + Scenarios!$K$13)</f>
        <v>127290.06554321497</v>
      </c>
      <c r="AO54" s="37">
        <f>AN54 * (1 + Scenarios!$K$13)</f>
        <v>131108.76750951141</v>
      </c>
      <c r="AP54" s="37">
        <f>AO54 * (1 + Scenarios!$K$13)</f>
        <v>135042.03053479677</v>
      </c>
      <c r="AQ54" s="37">
        <f>AP54 * (1 + Scenarios!$K$13)</f>
        <v>139093.29145084068</v>
      </c>
      <c r="AR54" s="37">
        <f>AQ54 * (1 + Scenarios!$K$13)</f>
        <v>143266.09019436591</v>
      </c>
      <c r="AS54" s="37">
        <f>AR54 * (1 + Scenarios!$K$13)</f>
        <v>147564.07290019689</v>
      </c>
      <c r="AT54" s="37">
        <f>AS54 * (1 + Scenarios!$K$13)</f>
        <v>151990.99508720278</v>
      </c>
      <c r="AU54" s="37">
        <f>AT54 * (1 + Scenarios!$K$13)</f>
        <v>156550.72493981887</v>
      </c>
      <c r="AV54" s="37">
        <f>AU54 * (1 + Scenarios!$K$13)</f>
        <v>161247.24668801343</v>
      </c>
      <c r="AW54" s="37">
        <f>AV54 * (1 + Scenarios!$K$13)</f>
        <v>166084.66408865384</v>
      </c>
      <c r="AX54" s="37">
        <f>AW54 * (1 + Scenarios!$K$13)</f>
        <v>171067.20401131344</v>
      </c>
      <c r="AY54" s="37">
        <f>AX54 * (1 + Scenarios!$K$13)</f>
        <v>176199.22013165284</v>
      </c>
      <c r="AZ54" s="37">
        <f>AY54 * (1 + Scenarios!$K$13)</f>
        <v>181485.19673560243</v>
      </c>
    </row>
    <row r="55" spans="1:52" s="37" customFormat="1">
      <c r="A55" s="77" t="s">
        <v>313</v>
      </c>
    </row>
    <row r="56" spans="1:52" s="37" customFormat="1">
      <c r="A56" s="78" t="s">
        <v>314</v>
      </c>
      <c r="B56" s="88">
        <v>660</v>
      </c>
      <c r="C56" s="88">
        <f>B56+(B56*1+Scenarios!$K$10)</f>
        <v>1320.0250000000001</v>
      </c>
      <c r="D56" s="37">
        <f>C56 * (1 + Scenarios!$K$10)</f>
        <v>1353.025625</v>
      </c>
      <c r="E56" s="37">
        <f>D56 * (1 + Scenarios!$K$10)</f>
        <v>1386.8512656249998</v>
      </c>
      <c r="F56" s="37">
        <f>E56 * (1 + Scenarios!$K$10)</f>
        <v>1421.5225472656246</v>
      </c>
      <c r="G56" s="37">
        <f>F56 * (1 + Scenarios!$K$10)</f>
        <v>1457.0606109472651</v>
      </c>
      <c r="H56" s="37">
        <f>G56 * (1 + Scenarios!$K$10)</f>
        <v>1493.4871262209465</v>
      </c>
      <c r="I56" s="37">
        <f>H56 * (1 + Scenarios!$K$10)</f>
        <v>1530.8243043764701</v>
      </c>
      <c r="J56" s="37">
        <f>I56 * (1 + Scenarios!$K$10)</f>
        <v>1569.0949119858817</v>
      </c>
      <c r="K56" s="37">
        <f>J56 * (1 + Scenarios!$K$10)</f>
        <v>1608.3222847855286</v>
      </c>
      <c r="L56" s="37">
        <f>K56 * (1 + Scenarios!$K$10)</f>
        <v>1648.5303419051668</v>
      </c>
      <c r="M56" s="37">
        <f>L56 * (1 + Scenarios!$K$10)</f>
        <v>1689.7436004527958</v>
      </c>
      <c r="N56" s="37">
        <f>M56 * (1 + Scenarios!$K$10)</f>
        <v>1731.9871904641157</v>
      </c>
      <c r="O56" s="37">
        <f>N56 * (1 + Scenarios!$K$10)</f>
        <v>1775.2868702257183</v>
      </c>
      <c r="P56" s="37">
        <f>O56 * (1 + Scenarios!$K$10)</f>
        <v>1819.669041981361</v>
      </c>
      <c r="Q56" s="37">
        <f>P56 * (1 + Scenarios!$K$10)</f>
        <v>1865.1607680308948</v>
      </c>
      <c r="R56" s="37">
        <f>Q56 * (1 + Scenarios!$K$10)</f>
        <v>1911.7897872316671</v>
      </c>
      <c r="S56" s="37">
        <f>R56 * (1 + Scenarios!$K$10)</f>
        <v>1959.5845319124587</v>
      </c>
      <c r="T56" s="37">
        <f>S56 * (1 + Scenarios!$K$10)</f>
        <v>2008.57414521027</v>
      </c>
      <c r="U56" s="37">
        <f>T56 * (1 + Scenarios!$K$10)</f>
        <v>2058.7884988405267</v>
      </c>
      <c r="V56" s="37">
        <f>U56 * (1 + Scenarios!$K$10)</f>
        <v>2110.2582113115395</v>
      </c>
      <c r="W56" s="37">
        <f>V56 * (1 + Scenarios!$K$10)</f>
        <v>2163.014666594328</v>
      </c>
      <c r="X56" s="37">
        <f>W56 * (1 + Scenarios!$K$10)</f>
        <v>2217.0900332591859</v>
      </c>
      <c r="Y56" s="37">
        <f>X56 * (1 + Scenarios!$K$10)</f>
        <v>2272.5172840906653</v>
      </c>
      <c r="Z56" s="37">
        <f>Y56 * (1 + Scenarios!$K$10)</f>
        <v>2329.3302161929319</v>
      </c>
      <c r="AA56" s="37">
        <f>Z56 * (1 + Scenarios!$K$10)</f>
        <v>2387.5634715977549</v>
      </c>
      <c r="AB56" s="37">
        <f>AA56 * (1 + Scenarios!$K$10)</f>
        <v>2447.2525583876986</v>
      </c>
      <c r="AC56" s="37">
        <f>AB56 * (1 + Scenarios!$K$10)</f>
        <v>2508.4338723473907</v>
      </c>
      <c r="AD56" s="37">
        <f>AC56 * (1 + Scenarios!$K$10)</f>
        <v>2571.1447191560751</v>
      </c>
      <c r="AE56" s="37">
        <f>AD56 * (1 + Scenarios!$K$10)</f>
        <v>2635.4233371349769</v>
      </c>
      <c r="AF56" s="37">
        <f>AE56 * (1 + Scenarios!$K$10)</f>
        <v>2701.308920563351</v>
      </c>
      <c r="AG56" s="37">
        <f>AF56 * (1 + Scenarios!$K$10)</f>
        <v>2768.8416435774343</v>
      </c>
      <c r="AH56" s="37">
        <f>AG56 * (1 + Scenarios!$K$10)</f>
        <v>2838.0626846668697</v>
      </c>
      <c r="AI56" s="37">
        <f>AH56 * (1 + Scenarios!$K$10)</f>
        <v>2909.0142517835411</v>
      </c>
      <c r="AJ56" s="37">
        <f>AI56 * (1 + Scenarios!$K$10)</f>
        <v>2981.7396080781295</v>
      </c>
      <c r="AK56" s="37">
        <f>AJ56 * (1 + Scenarios!$K$10)</f>
        <v>3056.2830982800824</v>
      </c>
      <c r="AL56" s="37">
        <f>AK56 * (1 + Scenarios!$K$10)</f>
        <v>3132.6901757370842</v>
      </c>
      <c r="AM56" s="37">
        <f>AL56 * (1 + Scenarios!$K$10)</f>
        <v>3211.0074301305112</v>
      </c>
      <c r="AN56" s="37">
        <f>AM56 * (1 + Scenarios!$K$10)</f>
        <v>3291.2826158837738</v>
      </c>
      <c r="AO56" s="37">
        <f>AN56 * (1 + Scenarios!$K$10)</f>
        <v>3373.5646812808677</v>
      </c>
      <c r="AP56" s="37">
        <f>AO56 * (1 + Scenarios!$K$10)</f>
        <v>3457.9037983128892</v>
      </c>
      <c r="AQ56" s="37">
        <f>AP56 * (1 + Scenarios!$K$10)</f>
        <v>3544.351393270711</v>
      </c>
      <c r="AR56" s="37">
        <f>AQ56 * (1 + Scenarios!$K$10)</f>
        <v>3632.9601781024785</v>
      </c>
      <c r="AS56" s="37">
        <f>AR56 * (1 + Scenarios!$K$10)</f>
        <v>3723.7841825550399</v>
      </c>
      <c r="AT56" s="37">
        <f>AS56 * (1 + Scenarios!$K$10)</f>
        <v>3816.8787871189156</v>
      </c>
      <c r="AU56" s="37">
        <f>AT56 * (1 + Scenarios!$K$10)</f>
        <v>3912.300756796888</v>
      </c>
      <c r="AV56" s="37">
        <f>AU56 * (1 + Scenarios!$K$10)</f>
        <v>4010.1082757168097</v>
      </c>
      <c r="AW56" s="37">
        <f>AV56 * (1 + Scenarios!$K$10)</f>
        <v>4110.3609826097299</v>
      </c>
      <c r="AX56" s="37">
        <f>AW56 * (1 + Scenarios!$K$10)</f>
        <v>4213.1200071749727</v>
      </c>
      <c r="AY56" s="37">
        <f>AX56 * (1 + Scenarios!$K$10)</f>
        <v>4318.4480073543464</v>
      </c>
      <c r="AZ56" s="37">
        <f>AY56 * (1 + Scenarios!$K$10)</f>
        <v>4426.409207538205</v>
      </c>
    </row>
    <row r="57" spans="1:52" s="37" customFormat="1">
      <c r="A57" s="78" t="s">
        <v>315</v>
      </c>
      <c r="B57" s="88">
        <v>750</v>
      </c>
      <c r="C57" s="88">
        <f>B57</f>
        <v>750</v>
      </c>
      <c r="D57" s="37">
        <f>C57* (1 + Scenarios!$K$10)</f>
        <v>768.74999999999989</v>
      </c>
      <c r="E57" s="37">
        <f>D57* (1 + Scenarios!$K$10)</f>
        <v>787.96874999999977</v>
      </c>
      <c r="F57" s="37">
        <f>E57* (1 + Scenarios!$K$10)</f>
        <v>807.66796874999966</v>
      </c>
      <c r="G57" s="37">
        <f>F57* (1 + Scenarios!$K$10)</f>
        <v>827.85966796874959</v>
      </c>
      <c r="H57" s="37">
        <f>G57* (1 + Scenarios!$K$10)</f>
        <v>848.55615966796825</v>
      </c>
      <c r="I57" s="37">
        <f>H57* (1 + Scenarios!$K$10)</f>
        <v>869.77006365966736</v>
      </c>
      <c r="J57" s="37">
        <f>I57* (1 + Scenarios!$K$10)</f>
        <v>891.51431525115902</v>
      </c>
      <c r="K57" s="37">
        <f>J57* (1 + Scenarios!$K$10)</f>
        <v>913.80217313243793</v>
      </c>
      <c r="L57" s="37">
        <f>K57* (1 + Scenarios!$K$10)</f>
        <v>936.64722746074881</v>
      </c>
      <c r="M57" s="37">
        <f>L57* (1 + Scenarios!$K$10)</f>
        <v>960.06340814726741</v>
      </c>
      <c r="N57" s="37">
        <f>M57* (1 + Scenarios!$K$10)</f>
        <v>984.06499335094895</v>
      </c>
      <c r="O57" s="37">
        <f>N57* (1 + Scenarios!$K$10)</f>
        <v>1008.6666181847226</v>
      </c>
      <c r="P57" s="37">
        <f>O57* (1 + Scenarios!$K$10)</f>
        <v>1033.8832836393406</v>
      </c>
      <c r="Q57" s="37">
        <f>P57* (1 + Scenarios!$K$10)</f>
        <v>1059.7303657303239</v>
      </c>
      <c r="R57" s="37">
        <f>Q57* (1 + Scenarios!$K$10)</f>
        <v>1086.2236248735819</v>
      </c>
      <c r="S57" s="37">
        <f>R57* (1 + Scenarios!$K$10)</f>
        <v>1113.3792154954215</v>
      </c>
      <c r="T57" s="37">
        <f>S57* (1 + Scenarios!$K$10)</f>
        <v>1141.2136958828069</v>
      </c>
      <c r="U57" s="37">
        <f>T57* (1 + Scenarios!$K$10)</f>
        <v>1169.744038279877</v>
      </c>
      <c r="V57" s="37">
        <f>U57* (1 + Scenarios!$K$10)</f>
        <v>1198.9876392368737</v>
      </c>
      <c r="W57" s="37">
        <f>V57* (1 + Scenarios!$K$10)</f>
        <v>1228.9623302177954</v>
      </c>
      <c r="X57" s="37">
        <f>W57* (1 + Scenarios!$K$10)</f>
        <v>1259.6863884732402</v>
      </c>
      <c r="Y57" s="37">
        <f>X57* (1 + Scenarios!$K$10)</f>
        <v>1291.1785481850711</v>
      </c>
      <c r="Z57" s="37">
        <f>Y57* (1 + Scenarios!$K$10)</f>
        <v>1323.4580118896977</v>
      </c>
      <c r="AA57" s="37">
        <f>Z57* (1 + Scenarios!$K$10)</f>
        <v>1356.5444621869401</v>
      </c>
      <c r="AB57" s="37">
        <f>AA57* (1 + Scenarios!$K$10)</f>
        <v>1390.4580737416136</v>
      </c>
      <c r="AC57" s="37">
        <f>AB57* (1 + Scenarios!$K$10)</f>
        <v>1425.2195255851539</v>
      </c>
      <c r="AD57" s="37">
        <f>AC57* (1 + Scenarios!$K$10)</f>
        <v>1460.8500137247827</v>
      </c>
      <c r="AE57" s="37">
        <f>AD57* (1 + Scenarios!$K$10)</f>
        <v>1497.3712640679021</v>
      </c>
      <c r="AF57" s="37">
        <f>AE57* (1 + Scenarios!$K$10)</f>
        <v>1534.8055456695995</v>
      </c>
      <c r="AG57" s="37">
        <f>AF57* (1 + Scenarios!$K$10)</f>
        <v>1573.1756843113394</v>
      </c>
      <c r="AH57" s="37">
        <f>AG57* (1 + Scenarios!$K$10)</f>
        <v>1612.5050764191228</v>
      </c>
      <c r="AI57" s="37">
        <f>AH57* (1 + Scenarios!$K$10)</f>
        <v>1652.8177033296008</v>
      </c>
      <c r="AJ57" s="37">
        <f>AI57* (1 + Scenarios!$K$10)</f>
        <v>1694.1381459128406</v>
      </c>
      <c r="AK57" s="37">
        <f>AJ57* (1 + Scenarios!$K$10)</f>
        <v>1736.4915995606616</v>
      </c>
      <c r="AL57" s="37">
        <f>AK57* (1 + Scenarios!$K$10)</f>
        <v>1779.9038895496781</v>
      </c>
      <c r="AM57" s="37">
        <f>AL57* (1 + Scenarios!$K$10)</f>
        <v>1824.4014867884198</v>
      </c>
      <c r="AN57" s="37">
        <f>AM57* (1 + Scenarios!$K$10)</f>
        <v>1870.0115239581301</v>
      </c>
      <c r="AO57" s="37">
        <f>AN57* (1 + Scenarios!$K$10)</f>
        <v>1916.761812057083</v>
      </c>
      <c r="AP57" s="37">
        <f>AO57* (1 + Scenarios!$K$10)</f>
        <v>1964.6808573585099</v>
      </c>
      <c r="AQ57" s="37">
        <f>AP57* (1 + Scenarios!$K$10)</f>
        <v>2013.7978787924724</v>
      </c>
      <c r="AR57" s="37">
        <f>AQ57* (1 + Scenarios!$K$10)</f>
        <v>2064.1428257622838</v>
      </c>
      <c r="AS57" s="37">
        <f>AR57* (1 + Scenarios!$K$10)</f>
        <v>2115.7463964063409</v>
      </c>
      <c r="AT57" s="37">
        <f>AS57* (1 + Scenarios!$K$10)</f>
        <v>2168.6400563164993</v>
      </c>
      <c r="AU57" s="37">
        <f>AT57* (1 + Scenarios!$K$10)</f>
        <v>2222.8560577244116</v>
      </c>
      <c r="AV57" s="37">
        <f>AU57* (1 + Scenarios!$K$10)</f>
        <v>2278.4274591675216</v>
      </c>
      <c r="AW57" s="37">
        <f>AV57* (1 + Scenarios!$K$10)</f>
        <v>2335.3881456467093</v>
      </c>
      <c r="AX57" s="37">
        <f>AW57* (1 + Scenarios!$K$10)</f>
        <v>2393.7728492878769</v>
      </c>
      <c r="AY57" s="37">
        <f>AX57* (1 + Scenarios!$K$10)</f>
        <v>2453.6171705200736</v>
      </c>
      <c r="AZ57" s="37">
        <f>AY57* (1 + Scenarios!$K$10)</f>
        <v>2514.9575997830752</v>
      </c>
    </row>
    <row r="58" spans="1:52" s="37" customFormat="1">
      <c r="A58" s="78" t="s">
        <v>316</v>
      </c>
      <c r="B58" s="88">
        <v>922.72</v>
      </c>
      <c r="C58" s="88">
        <f>B58*4</f>
        <v>3690.88</v>
      </c>
      <c r="D58" s="37">
        <f>C58* (1 + Scenarios!$K$10)</f>
        <v>3783.1519999999996</v>
      </c>
      <c r="E58" s="37">
        <f>D58* (1 + Scenarios!$K$10)</f>
        <v>3877.7307999999994</v>
      </c>
      <c r="F58" s="37">
        <f>E58* (1 + Scenarios!$K$10)</f>
        <v>3974.6740699999991</v>
      </c>
      <c r="G58" s="37">
        <f>F58* (1 + Scenarios!$K$10)</f>
        <v>4074.0409217499987</v>
      </c>
      <c r="H58" s="37">
        <f>G58* (1 + Scenarios!$K$10)</f>
        <v>4175.8919447937487</v>
      </c>
      <c r="I58" s="37">
        <f>H58* (1 + Scenarios!$K$10)</f>
        <v>4280.289243413592</v>
      </c>
      <c r="J58" s="37">
        <f>I58* (1 + Scenarios!$K$10)</f>
        <v>4387.2964744989313</v>
      </c>
      <c r="K58" s="37">
        <f>J58* (1 + Scenarios!$K$10)</f>
        <v>4496.978886361404</v>
      </c>
      <c r="L58" s="37">
        <f>K58* (1 + Scenarios!$K$10)</f>
        <v>4609.4033585204388</v>
      </c>
      <c r="M58" s="37">
        <f>L58* (1 + Scenarios!$K$10)</f>
        <v>4724.6384424834496</v>
      </c>
      <c r="N58" s="37">
        <f>M58* (1 + Scenarios!$K$10)</f>
        <v>4842.7544035455358</v>
      </c>
      <c r="O58" s="37">
        <f>N58* (1 + Scenarios!$K$10)</f>
        <v>4963.8232636341736</v>
      </c>
      <c r="P58" s="37">
        <f>O58* (1 + Scenarios!$K$10)</f>
        <v>5087.9188452250273</v>
      </c>
      <c r="Q58" s="37">
        <f>P58* (1 + Scenarios!$K$10)</f>
        <v>5215.1168163556522</v>
      </c>
      <c r="R58" s="37">
        <f>Q58* (1 + Scenarios!$K$10)</f>
        <v>5345.4947367645427</v>
      </c>
      <c r="S58" s="37">
        <f>R58* (1 + Scenarios!$K$10)</f>
        <v>5479.1321051836558</v>
      </c>
      <c r="T58" s="37">
        <f>S58* (1 + Scenarios!$K$10)</f>
        <v>5616.1104078132466</v>
      </c>
      <c r="U58" s="37">
        <f>T58* (1 + Scenarios!$K$10)</f>
        <v>5756.5131680085769</v>
      </c>
      <c r="V58" s="37">
        <f>U58* (1 + Scenarios!$K$10)</f>
        <v>5900.4259972087912</v>
      </c>
      <c r="W58" s="37">
        <f>V58* (1 + Scenarios!$K$10)</f>
        <v>6047.9366471390103</v>
      </c>
      <c r="X58" s="37">
        <f>W58* (1 + Scenarios!$K$10)</f>
        <v>6199.1350633174852</v>
      </c>
      <c r="Y58" s="37">
        <f>X58* (1 + Scenarios!$K$10)</f>
        <v>6354.1134399004222</v>
      </c>
      <c r="Z58" s="37">
        <f>Y58* (1 + Scenarios!$K$10)</f>
        <v>6512.9662758979321</v>
      </c>
      <c r="AA58" s="37">
        <f>Z58* (1 + Scenarios!$K$10)</f>
        <v>6675.7904327953802</v>
      </c>
      <c r="AB58" s="37">
        <f>AA58* (1 + Scenarios!$K$10)</f>
        <v>6842.6851936152643</v>
      </c>
      <c r="AC58" s="37">
        <f>AB58* (1 + Scenarios!$K$10)</f>
        <v>7013.7523234556456</v>
      </c>
      <c r="AD58" s="37">
        <f>AC58* (1 + Scenarios!$K$10)</f>
        <v>7189.0961315420363</v>
      </c>
      <c r="AE58" s="37">
        <f>AD58* (1 + Scenarios!$K$10)</f>
        <v>7368.8235348305871</v>
      </c>
      <c r="AF58" s="37">
        <f>AE58* (1 + Scenarios!$K$10)</f>
        <v>7553.0441232013509</v>
      </c>
      <c r="AG58" s="37">
        <f>AF58* (1 + Scenarios!$K$10)</f>
        <v>7741.870226281384</v>
      </c>
      <c r="AH58" s="37">
        <f>AG58* (1 + Scenarios!$K$10)</f>
        <v>7935.4169819384178</v>
      </c>
      <c r="AI58" s="37">
        <f>AH58* (1 + Scenarios!$K$10)</f>
        <v>8133.8024064868778</v>
      </c>
      <c r="AJ58" s="37">
        <f>AI58* (1 + Scenarios!$K$10)</f>
        <v>8337.1474666490485</v>
      </c>
      <c r="AK58" s="37">
        <f>AJ58* (1 + Scenarios!$K$10)</f>
        <v>8545.5761533152745</v>
      </c>
      <c r="AL58" s="37">
        <f>AK58* (1 + Scenarios!$K$10)</f>
        <v>8759.2155571481562</v>
      </c>
      <c r="AM58" s="37">
        <f>AL58* (1 + Scenarios!$K$10)</f>
        <v>8978.1959460768594</v>
      </c>
      <c r="AN58" s="37">
        <f>AM58* (1 + Scenarios!$K$10)</f>
        <v>9202.6508447287797</v>
      </c>
      <c r="AO58" s="37">
        <f>AN58* (1 + Scenarios!$K$10)</f>
        <v>9432.7171158469991</v>
      </c>
      <c r="AP58" s="37">
        <f>AO58* (1 + Scenarios!$K$10)</f>
        <v>9668.5350437431734</v>
      </c>
      <c r="AQ58" s="37">
        <f>AP58* (1 + Scenarios!$K$10)</f>
        <v>9910.2484198367511</v>
      </c>
      <c r="AR58" s="37">
        <f>AQ58* (1 + Scenarios!$K$10)</f>
        <v>10158.004630332669</v>
      </c>
      <c r="AS58" s="37">
        <f>AR58* (1 + Scenarios!$K$10)</f>
        <v>10411.954746090985</v>
      </c>
      <c r="AT58" s="37">
        <f>AS58* (1 + Scenarios!$K$10)</f>
        <v>10672.253614743258</v>
      </c>
      <c r="AU58" s="37">
        <f>AT58* (1 + Scenarios!$K$10)</f>
        <v>10939.059955111839</v>
      </c>
      <c r="AV58" s="37">
        <f>AU58* (1 + Scenarios!$K$10)</f>
        <v>11212.536453989635</v>
      </c>
      <c r="AW58" s="37">
        <f>AV58* (1 + Scenarios!$K$10)</f>
        <v>11492.849865339374</v>
      </c>
      <c r="AX58" s="37">
        <f>AW58* (1 + Scenarios!$K$10)</f>
        <v>11780.171111972857</v>
      </c>
      <c r="AY58" s="37">
        <f>AX58* (1 + Scenarios!$K$10)</f>
        <v>12074.675389772177</v>
      </c>
      <c r="AZ58" s="37">
        <f>AY58* (1 + Scenarios!$K$10)</f>
        <v>12376.542274516481</v>
      </c>
    </row>
    <row r="59" spans="1:52" s="37" customFormat="1">
      <c r="A59" s="78" t="s">
        <v>317</v>
      </c>
      <c r="B59" s="88">
        <f>Properties!$C$22</f>
        <v>770</v>
      </c>
      <c r="C59" s="88">
        <f t="array" ref="C59">Properties!$D$22</f>
        <v>1262.8</v>
      </c>
      <c r="D59" s="37">
        <f t="array" ref="D59">Properties!$E$22</f>
        <v>1894.2000000000003</v>
      </c>
      <c r="E59" s="37">
        <f t="array" ref="E59">Properties!$F$22</f>
        <v>1969.94</v>
      </c>
      <c r="F59" s="37">
        <f t="array" ref="F59">Properties!$G$22</f>
        <v>2048.7600000000002</v>
      </c>
      <c r="G59" s="37">
        <f t="array" ref="G59">Properties!$H$22</f>
        <v>2130.73</v>
      </c>
      <c r="H59" s="37">
        <f t="array" ref="H59">Properties!$I$22</f>
        <v>3089.52</v>
      </c>
      <c r="I59" s="37">
        <f t="array" ref="I59">Properties!$J$22</f>
        <v>3213.14</v>
      </c>
      <c r="J59" s="37">
        <f t="array" ref="J59">Properties!$K$22</f>
        <v>3341.66</v>
      </c>
      <c r="K59" s="37">
        <f t="array" ref="K59">Properties!$L$22</f>
        <v>3475.29</v>
      </c>
      <c r="L59" s="37">
        <f t="array" ref="L59">Properties!$M$22</f>
        <v>3614.3100000000004</v>
      </c>
      <c r="M59" s="37">
        <f t="array" ref="M59">Properties!$N$22</f>
        <v>3758.9300000000003</v>
      </c>
      <c r="N59" s="37">
        <f t="array" ref="N59">Properties!$O$22</f>
        <v>3909.2200000000003</v>
      </c>
      <c r="O59" s="37">
        <f t="array" ref="O59">Properties!$P$22</f>
        <v>4065.5999999999995</v>
      </c>
      <c r="P59" s="37">
        <f t="array" ref="P59">Properties!$Q$22</f>
        <v>4228.28</v>
      </c>
      <c r="Q59" s="37">
        <f t="array" ref="Q59">P59*(1+Scenarios!$K$10)</f>
        <v>4333.9869999999992</v>
      </c>
      <c r="R59" s="37">
        <f t="array" ref="R59">Q59*(1+Scenarios!$K$10)</f>
        <v>4442.3366749999986</v>
      </c>
      <c r="S59" s="37">
        <f t="array" ref="S59">R59*(1+Scenarios!$K$10)</f>
        <v>4553.3950918749979</v>
      </c>
      <c r="T59" s="37">
        <f t="array" ref="T59">S59*(1+Scenarios!$K$10)</f>
        <v>4667.2299691718727</v>
      </c>
      <c r="U59" s="37">
        <f t="array" ref="U59">T59*(1+Scenarios!$K$10)</f>
        <v>4783.9107184011691</v>
      </c>
      <c r="V59" s="37">
        <f t="array" ref="V59">U59*(1+Scenarios!$K$10)</f>
        <v>4903.5084863611983</v>
      </c>
      <c r="W59" s="37">
        <f t="array" ref="W59">V59*(1+Scenarios!$K$10)</f>
        <v>5026.0961985202275</v>
      </c>
      <c r="X59" s="37">
        <f t="array" ref="X59">W59*(1+Scenarios!$K$10)</f>
        <v>5151.7486034832327</v>
      </c>
      <c r="Y59" s="37">
        <f t="array" ref="Y59">X59*(1+Scenarios!$K$10)</f>
        <v>5280.542318570313</v>
      </c>
      <c r="Z59" s="37">
        <f t="array" ref="Z59">Y59*(1+Scenarios!$K$10)</f>
        <v>5412.5558765345704</v>
      </c>
      <c r="AA59" s="37">
        <f t="array" ref="AA59">Z59*(1+Scenarios!$K$10)</f>
        <v>5547.8697734479338</v>
      </c>
      <c r="AB59" s="37">
        <f t="array" ref="AB59">AA59*(1+Scenarios!$K$10)</f>
        <v>5686.566517784132</v>
      </c>
      <c r="AC59" s="37">
        <f t="array" ref="AC59">AB59*(1+Scenarios!$K$10)</f>
        <v>5828.730680728735</v>
      </c>
      <c r="AD59" s="37">
        <f t="array" ref="AD59">AC59*(1+Scenarios!$K$10)</f>
        <v>5974.4489477469533</v>
      </c>
      <c r="AE59" s="37">
        <f t="array" ref="AE59">AD59*(1+Scenarios!$K$10)</f>
        <v>6123.8101714406266</v>
      </c>
      <c r="AF59" s="37">
        <f t="array" ref="AF59">AE59*(1+Scenarios!$K$10)</f>
        <v>6276.9054257266416</v>
      </c>
      <c r="AG59" s="37">
        <f t="array" ref="AG59">AF59*(1+Scenarios!$K$10)</f>
        <v>6433.8280613698071</v>
      </c>
      <c r="AH59" s="37">
        <f t="array" ref="AH59">AG59*(1+Scenarios!$K$10)</f>
        <v>6594.6737629040517</v>
      </c>
      <c r="AI59" s="37">
        <f t="array" ref="AI59">AH59*(1+Scenarios!$K$10)</f>
        <v>6759.5406069766523</v>
      </c>
      <c r="AJ59" s="37">
        <f t="array" ref="AJ59">AI59*(1+Scenarios!$K$10)</f>
        <v>6928.5291221510679</v>
      </c>
      <c r="AK59" s="37">
        <f t="array" ref="AK59">AJ59*(1+Scenarios!$K$10)</f>
        <v>7101.7423502048441</v>
      </c>
      <c r="AL59" s="37">
        <f t="array" ref="AL59">AK59*(1+Scenarios!$K$10)</f>
        <v>7279.2859089599642</v>
      </c>
      <c r="AM59" s="37">
        <f t="array" ref="AM59">AL59*(1+Scenarios!$K$10)</f>
        <v>7461.2680566839626</v>
      </c>
      <c r="AN59" s="37">
        <f t="array" ref="AN59">AM59*(1+Scenarios!$K$10)</f>
        <v>7647.7997581010613</v>
      </c>
      <c r="AO59" s="37">
        <f t="array" ref="AO59">AN59*(1+Scenarios!$K$10)</f>
        <v>7838.994752053587</v>
      </c>
      <c r="AP59" s="37">
        <f t="array" ref="AP59">AO59*(1+Scenarios!$K$10)</f>
        <v>8034.9696208549258</v>
      </c>
      <c r="AQ59" s="37">
        <f t="array" ref="AQ59">AP59*(1+Scenarios!$K$10)</f>
        <v>8235.8438613762974</v>
      </c>
      <c r="AR59" s="37">
        <f t="array" ref="AR59">AQ59*(1+Scenarios!$K$10)</f>
        <v>8441.7399579107041</v>
      </c>
      <c r="AS59" s="37">
        <f t="array" ref="AS59">AR59*(1+Scenarios!$K$10)</f>
        <v>8652.7834568584713</v>
      </c>
      <c r="AT59" s="37">
        <f t="array" ref="AT59">AS59*(1+Scenarios!$K$10)</f>
        <v>8869.1030432799325</v>
      </c>
      <c r="AU59" s="37">
        <f t="array" ref="AU59">AT59*(1+Scenarios!$K$10)</f>
        <v>9090.8306193619301</v>
      </c>
      <c r="AV59" s="37">
        <f t="array" ref="AV59">AU59*(1+Scenarios!$K$10)</f>
        <v>9318.101384845977</v>
      </c>
      <c r="AW59" s="37">
        <f t="array" ref="AW59">AV59*(1+Scenarios!$K$10)</f>
        <v>9551.0539194671255</v>
      </c>
      <c r="AX59" s="37">
        <f t="array" ref="AX59">AW59*(1+Scenarios!$K$10)</f>
        <v>9789.8302674538027</v>
      </c>
      <c r="AY59" s="37">
        <f t="array" ref="AY59">AX59*(1+Scenarios!$K$10)</f>
        <v>10034.576024140148</v>
      </c>
      <c r="AZ59" s="37">
        <f t="array" ref="AZ59">AY59*(1+Scenarios!$K$10)</f>
        <v>10285.440424743651</v>
      </c>
    </row>
    <row r="60" spans="1:52" s="79" customFormat="1">
      <c r="A60" s="79" t="s">
        <v>318</v>
      </c>
      <c r="B60" s="90"/>
      <c r="C60" s="90">
        <v>0</v>
      </c>
      <c r="D60" s="37">
        <f>C60* (1 + Scenarios!$K$10)</f>
        <v>0</v>
      </c>
      <c r="E60" s="37">
        <f>D60* (1 + Scenarios!$K$10)</f>
        <v>0</v>
      </c>
      <c r="F60" s="37">
        <f>E60* (1 + Scenarios!$K$10)</f>
        <v>0</v>
      </c>
      <c r="G60" s="37">
        <f>F60* (1 + Scenarios!$K$10)</f>
        <v>0</v>
      </c>
      <c r="H60" s="37">
        <f>G60* (1 + Scenarios!$K$10)</f>
        <v>0</v>
      </c>
      <c r="I60" s="37">
        <f>H60* (1 + Scenarios!$K$10)</f>
        <v>0</v>
      </c>
      <c r="J60" s="37">
        <f>I60* (1 + Scenarios!$K$10)</f>
        <v>0</v>
      </c>
      <c r="K60" s="37">
        <f>J60* (1 + Scenarios!$K$10)</f>
        <v>0</v>
      </c>
      <c r="L60" s="37">
        <f>K60* (1 + Scenarios!$K$10)</f>
        <v>0</v>
      </c>
      <c r="M60" s="37">
        <f>L60* (1 + Scenarios!$K$10)</f>
        <v>0</v>
      </c>
      <c r="N60" s="37">
        <f>M60* (1 + Scenarios!$K$10)</f>
        <v>0</v>
      </c>
      <c r="O60" s="37">
        <f>N60* (1 + Scenarios!$K$10)</f>
        <v>0</v>
      </c>
      <c r="P60" s="37">
        <f>O60* (1 + Scenarios!$K$10)</f>
        <v>0</v>
      </c>
      <c r="Q60" s="37">
        <f>P60* (1 + Scenarios!$K$10)</f>
        <v>0</v>
      </c>
      <c r="R60" s="37">
        <f>Q60* (1 + Scenarios!$K$10)</f>
        <v>0</v>
      </c>
      <c r="S60" s="37">
        <f>R60* (1 + Scenarios!$K$10)</f>
        <v>0</v>
      </c>
      <c r="T60" s="37">
        <f>S60* (1 + Scenarios!$K$10)</f>
        <v>0</v>
      </c>
      <c r="U60" s="37">
        <f>T60* (1 + Scenarios!$K$10)</f>
        <v>0</v>
      </c>
      <c r="V60" s="37">
        <f>U60* (1 + Scenarios!$K$10)</f>
        <v>0</v>
      </c>
      <c r="W60" s="37">
        <f>V60* (1 + Scenarios!$K$10)</f>
        <v>0</v>
      </c>
      <c r="X60" s="37">
        <f>W60* (1 + Scenarios!$K$10)</f>
        <v>0</v>
      </c>
      <c r="Y60" s="37">
        <f>X60* (1 + Scenarios!$K$10)</f>
        <v>0</v>
      </c>
      <c r="Z60" s="37">
        <f>Y60* (1 + Scenarios!$K$10)</f>
        <v>0</v>
      </c>
      <c r="AA60" s="37">
        <f>Z60* (1 + Scenarios!$K$10)</f>
        <v>0</v>
      </c>
      <c r="AB60" s="37">
        <f>AA60* (1 + Scenarios!$K$10)</f>
        <v>0</v>
      </c>
      <c r="AC60" s="37">
        <f>AB60* (1 + Scenarios!$K$10)</f>
        <v>0</v>
      </c>
      <c r="AD60" s="37">
        <f>AC60* (1 + Scenarios!$K$10)</f>
        <v>0</v>
      </c>
      <c r="AE60" s="37">
        <f>AD60* (1 + Scenarios!$K$10)</f>
        <v>0</v>
      </c>
      <c r="AF60" s="37">
        <f>AE60* (1 + Scenarios!$K$10)</f>
        <v>0</v>
      </c>
      <c r="AG60" s="37">
        <f>AF60* (1 + Scenarios!$K$10)</f>
        <v>0</v>
      </c>
      <c r="AH60" s="37">
        <f>AG60* (1 + Scenarios!$K$10)</f>
        <v>0</v>
      </c>
      <c r="AI60" s="37">
        <f>AH60* (1 + Scenarios!$K$10)</f>
        <v>0</v>
      </c>
      <c r="AJ60" s="37">
        <f>AI60* (1 + Scenarios!$K$10)</f>
        <v>0</v>
      </c>
      <c r="AK60" s="37">
        <f>AJ60* (1 + Scenarios!$K$10)</f>
        <v>0</v>
      </c>
      <c r="AL60" s="37">
        <f>AK60* (1 + Scenarios!$K$10)</f>
        <v>0</v>
      </c>
      <c r="AM60" s="37">
        <f>AL60* (1 + Scenarios!$K$10)</f>
        <v>0</v>
      </c>
      <c r="AN60" s="37">
        <f>AM60* (1 + Scenarios!$K$10)</f>
        <v>0</v>
      </c>
      <c r="AO60" s="37">
        <f>AN60* (1 + Scenarios!$K$10)</f>
        <v>0</v>
      </c>
      <c r="AP60" s="37">
        <f>AO60* (1 + Scenarios!$K$10)</f>
        <v>0</v>
      </c>
      <c r="AQ60" s="37">
        <f>AP60* (1 + Scenarios!$K$10)</f>
        <v>0</v>
      </c>
      <c r="AR60" s="37">
        <f>AQ60* (1 + Scenarios!$K$10)</f>
        <v>0</v>
      </c>
      <c r="AS60" s="37">
        <f>AR60* (1 + Scenarios!$K$10)</f>
        <v>0</v>
      </c>
      <c r="AT60" s="37">
        <f>AS60* (1 + Scenarios!$K$10)</f>
        <v>0</v>
      </c>
      <c r="AU60" s="37">
        <f>AT60* (1 + Scenarios!$K$10)</f>
        <v>0</v>
      </c>
      <c r="AV60" s="37">
        <f>AU60* (1 + Scenarios!$K$10)</f>
        <v>0</v>
      </c>
      <c r="AW60" s="37">
        <f>AV60* (1 + Scenarios!$K$10)</f>
        <v>0</v>
      </c>
      <c r="AX60" s="37">
        <f>AW60* (1 + Scenarios!$K$10)</f>
        <v>0</v>
      </c>
      <c r="AY60" s="37">
        <f>AX60* (1 + Scenarios!$K$10)</f>
        <v>0</v>
      </c>
      <c r="AZ60" s="37">
        <f>AY60* (1 + Scenarios!$K$10)</f>
        <v>0</v>
      </c>
    </row>
    <row r="61" spans="1:52" s="79" customFormat="1">
      <c r="A61" s="78" t="s">
        <v>319</v>
      </c>
      <c r="B61" s="90"/>
      <c r="C61" s="90">
        <v>0</v>
      </c>
      <c r="D61" s="37">
        <f>C61* (1 + Scenarios!$K$10)</f>
        <v>0</v>
      </c>
      <c r="E61" s="37">
        <f>D61* (1 + Scenarios!$K$10)</f>
        <v>0</v>
      </c>
      <c r="F61" s="37">
        <f>E61* (1 + Scenarios!$K$10)</f>
        <v>0</v>
      </c>
      <c r="G61" s="37">
        <f>F61* (1 + Scenarios!$K$10)</f>
        <v>0</v>
      </c>
      <c r="H61" s="37">
        <f>G61* (1 + Scenarios!$K$10)</f>
        <v>0</v>
      </c>
      <c r="I61" s="37">
        <f>H61* (1 + Scenarios!$K$10)</f>
        <v>0</v>
      </c>
      <c r="J61" s="37">
        <f>I61* (1 + Scenarios!$K$10)</f>
        <v>0</v>
      </c>
      <c r="K61" s="37">
        <f>J61* (1 + Scenarios!$K$10)</f>
        <v>0</v>
      </c>
      <c r="L61" s="37">
        <f>K61* (1 + Scenarios!$K$10)</f>
        <v>0</v>
      </c>
      <c r="M61" s="37">
        <f>L61* (1 + Scenarios!$K$10)</f>
        <v>0</v>
      </c>
      <c r="N61" s="37">
        <f>M61* (1 + Scenarios!$K$10)</f>
        <v>0</v>
      </c>
      <c r="O61" s="37">
        <f>N61* (1 + Scenarios!$K$10)</f>
        <v>0</v>
      </c>
      <c r="P61" s="37">
        <f>O61* (1 + Scenarios!$K$10)</f>
        <v>0</v>
      </c>
      <c r="Q61" s="37">
        <f>P61* (1 + Scenarios!$K$10)</f>
        <v>0</v>
      </c>
      <c r="R61" s="37">
        <f>Q61* (1 + Scenarios!$K$10)</f>
        <v>0</v>
      </c>
      <c r="S61" s="37">
        <f>R61* (1 + Scenarios!$K$10)</f>
        <v>0</v>
      </c>
      <c r="T61" s="37">
        <f>S61* (1 + Scenarios!$K$10)</f>
        <v>0</v>
      </c>
      <c r="U61" s="37">
        <f>T61* (1 + Scenarios!$K$10)</f>
        <v>0</v>
      </c>
      <c r="V61" s="37">
        <f>U61* (1 + Scenarios!$K$10)</f>
        <v>0</v>
      </c>
      <c r="W61" s="37">
        <f>V61* (1 + Scenarios!$K$10)</f>
        <v>0</v>
      </c>
      <c r="X61" s="37">
        <f>W61* (1 + Scenarios!$K$10)</f>
        <v>0</v>
      </c>
      <c r="Y61" s="37">
        <f>X61* (1 + Scenarios!$K$10)</f>
        <v>0</v>
      </c>
      <c r="Z61" s="37">
        <f>Y61* (1 + Scenarios!$K$10)</f>
        <v>0</v>
      </c>
      <c r="AA61" s="37">
        <f>Z61* (1 + Scenarios!$K$10)</f>
        <v>0</v>
      </c>
      <c r="AB61" s="37">
        <f>AA61* (1 + Scenarios!$K$10)</f>
        <v>0</v>
      </c>
      <c r="AC61" s="37">
        <f>AB61* (1 + Scenarios!$K$10)</f>
        <v>0</v>
      </c>
      <c r="AD61" s="37">
        <f>AC61* (1 + Scenarios!$K$10)</f>
        <v>0</v>
      </c>
      <c r="AE61" s="37">
        <f>AD61* (1 + Scenarios!$K$10)</f>
        <v>0</v>
      </c>
      <c r="AF61" s="37">
        <f>AE61* (1 + Scenarios!$K$10)</f>
        <v>0</v>
      </c>
      <c r="AG61" s="37">
        <f>AF61* (1 + Scenarios!$K$10)</f>
        <v>0</v>
      </c>
      <c r="AH61" s="37">
        <f>AG61* (1 + Scenarios!$K$10)</f>
        <v>0</v>
      </c>
      <c r="AI61" s="37">
        <f>AH61* (1 + Scenarios!$K$10)</f>
        <v>0</v>
      </c>
      <c r="AJ61" s="37">
        <f>AI61* (1 + Scenarios!$K$10)</f>
        <v>0</v>
      </c>
      <c r="AK61" s="37">
        <f>AJ61* (1 + Scenarios!$K$10)</f>
        <v>0</v>
      </c>
      <c r="AL61" s="37">
        <f>AK61* (1 + Scenarios!$K$10)</f>
        <v>0</v>
      </c>
      <c r="AM61" s="37">
        <f>AL61* (1 + Scenarios!$K$10)</f>
        <v>0</v>
      </c>
      <c r="AN61" s="37">
        <f>AM61* (1 + Scenarios!$K$10)</f>
        <v>0</v>
      </c>
      <c r="AO61" s="37">
        <f>AN61* (1 + Scenarios!$K$10)</f>
        <v>0</v>
      </c>
      <c r="AP61" s="37">
        <f>AO61* (1 + Scenarios!$K$10)</f>
        <v>0</v>
      </c>
      <c r="AQ61" s="37">
        <f>AP61* (1 + Scenarios!$K$10)</f>
        <v>0</v>
      </c>
      <c r="AR61" s="37">
        <f>AQ61* (1 + Scenarios!$K$10)</f>
        <v>0</v>
      </c>
      <c r="AS61" s="37">
        <f>AR61* (1 + Scenarios!$K$10)</f>
        <v>0</v>
      </c>
      <c r="AT61" s="37">
        <f>AS61* (1 + Scenarios!$K$10)</f>
        <v>0</v>
      </c>
      <c r="AU61" s="37">
        <f>AT61* (1 + Scenarios!$K$10)</f>
        <v>0</v>
      </c>
      <c r="AV61" s="37">
        <f>AU61* (1 + Scenarios!$K$10)</f>
        <v>0</v>
      </c>
      <c r="AW61" s="37">
        <f>AV61* (1 + Scenarios!$K$10)</f>
        <v>0</v>
      </c>
      <c r="AX61" s="37">
        <f>AW61* (1 + Scenarios!$K$10)</f>
        <v>0</v>
      </c>
      <c r="AY61" s="37">
        <f>AX61* (1 + Scenarios!$K$10)</f>
        <v>0</v>
      </c>
      <c r="AZ61" s="37">
        <f>AY61* (1 + Scenarios!$K$10)</f>
        <v>0</v>
      </c>
    </row>
    <row r="62" spans="1:52" s="79" customFormat="1">
      <c r="A62" s="78" t="s">
        <v>320</v>
      </c>
      <c r="B62" s="88">
        <v>700</v>
      </c>
      <c r="C62" s="88">
        <f>B62</f>
        <v>700</v>
      </c>
      <c r="D62" s="37">
        <f>C62* (1 + Scenarios!$K$10)</f>
        <v>717.49999999999989</v>
      </c>
      <c r="E62" s="37">
        <f>D62* (1 + Scenarios!$K$10)</f>
        <v>735.43749999999977</v>
      </c>
      <c r="F62" s="37">
        <f>E62* (1 + Scenarios!$K$10)</f>
        <v>753.82343749999973</v>
      </c>
      <c r="G62" s="37">
        <f>F62* (1 + Scenarios!$K$10)</f>
        <v>772.66902343749962</v>
      </c>
      <c r="H62" s="37">
        <f>G62* (1 + Scenarios!$K$10)</f>
        <v>791.98574902343705</v>
      </c>
      <c r="I62" s="37">
        <f>H62* (1 + Scenarios!$K$10)</f>
        <v>811.78539274902289</v>
      </c>
      <c r="J62" s="37">
        <f>I62* (1 + Scenarios!$K$10)</f>
        <v>832.0800275677484</v>
      </c>
      <c r="K62" s="37">
        <f>J62* (1 + Scenarios!$K$10)</f>
        <v>852.88202825694202</v>
      </c>
      <c r="L62" s="37">
        <f>K62* (1 + Scenarios!$K$10)</f>
        <v>874.20407896336553</v>
      </c>
      <c r="M62" s="37">
        <f>L62* (1 + Scenarios!$K$10)</f>
        <v>896.05918093744958</v>
      </c>
      <c r="N62" s="37">
        <f>M62* (1 + Scenarios!$K$10)</f>
        <v>918.46066046088572</v>
      </c>
      <c r="O62" s="37">
        <f>N62* (1 + Scenarios!$K$10)</f>
        <v>941.42217697240778</v>
      </c>
      <c r="P62" s="37">
        <f>O62* (1 + Scenarios!$K$10)</f>
        <v>964.95773139671792</v>
      </c>
      <c r="Q62" s="37">
        <f>P62* (1 + Scenarios!$K$10)</f>
        <v>989.08167468163583</v>
      </c>
      <c r="R62" s="37">
        <f>Q62* (1 + Scenarios!$K$10)</f>
        <v>1013.8087165486767</v>
      </c>
      <c r="S62" s="37">
        <f>R62* (1 + Scenarios!$K$10)</f>
        <v>1039.1539344623934</v>
      </c>
      <c r="T62" s="37">
        <f>S62* (1 + Scenarios!$K$10)</f>
        <v>1065.1327828239532</v>
      </c>
      <c r="U62" s="37">
        <f>T62* (1 + Scenarios!$K$10)</f>
        <v>1091.7611023945519</v>
      </c>
      <c r="V62" s="37">
        <f>U62* (1 + Scenarios!$K$10)</f>
        <v>1119.0551299544156</v>
      </c>
      <c r="W62" s="37">
        <f>V62* (1 + Scenarios!$K$10)</f>
        <v>1147.031508203276</v>
      </c>
      <c r="X62" s="37">
        <f>W62* (1 + Scenarios!$K$10)</f>
        <v>1175.7072959083578</v>
      </c>
      <c r="Y62" s="37">
        <f>X62* (1 + Scenarios!$K$10)</f>
        <v>1205.0999783060665</v>
      </c>
      <c r="Z62" s="37">
        <f>Y62* (1 + Scenarios!$K$10)</f>
        <v>1235.2274777637181</v>
      </c>
      <c r="AA62" s="37">
        <f>Z62* (1 + Scenarios!$K$10)</f>
        <v>1266.1081647078108</v>
      </c>
      <c r="AB62" s="37">
        <f>AA62* (1 + Scenarios!$K$10)</f>
        <v>1297.7608688255059</v>
      </c>
      <c r="AC62" s="37">
        <f>AB62* (1 + Scenarios!$K$10)</f>
        <v>1330.2048905461434</v>
      </c>
      <c r="AD62" s="37">
        <f>AC62* (1 + Scenarios!$K$10)</f>
        <v>1363.4600128097968</v>
      </c>
      <c r="AE62" s="37">
        <f>AD62* (1 + Scenarios!$K$10)</f>
        <v>1397.5465131300416</v>
      </c>
      <c r="AF62" s="37">
        <f>AE62* (1 + Scenarios!$K$10)</f>
        <v>1432.4851759582925</v>
      </c>
      <c r="AG62" s="37">
        <f>AF62* (1 + Scenarios!$K$10)</f>
        <v>1468.2973053572498</v>
      </c>
      <c r="AH62" s="37">
        <f>AG62* (1 + Scenarios!$K$10)</f>
        <v>1505.0047379911809</v>
      </c>
      <c r="AI62" s="37">
        <f>AH62* (1 + Scenarios!$K$10)</f>
        <v>1542.6298564409603</v>
      </c>
      <c r="AJ62" s="37">
        <f>AI62* (1 + Scenarios!$K$10)</f>
        <v>1581.1956028519842</v>
      </c>
      <c r="AK62" s="37">
        <f>AJ62* (1 + Scenarios!$K$10)</f>
        <v>1620.7254929232836</v>
      </c>
      <c r="AL62" s="37">
        <f>AK62* (1 + Scenarios!$K$10)</f>
        <v>1661.2436302463655</v>
      </c>
      <c r="AM62" s="37">
        <f>AL62* (1 + Scenarios!$K$10)</f>
        <v>1702.7747210025245</v>
      </c>
      <c r="AN62" s="37">
        <f>AM62* (1 + Scenarios!$K$10)</f>
        <v>1745.3440890275874</v>
      </c>
      <c r="AO62" s="37">
        <f>AN62* (1 + Scenarios!$K$10)</f>
        <v>1788.977691253277</v>
      </c>
      <c r="AP62" s="37">
        <f>AO62* (1 + Scenarios!$K$10)</f>
        <v>1833.7021335346087</v>
      </c>
      <c r="AQ62" s="37">
        <f>AP62* (1 + Scenarios!$K$10)</f>
        <v>1879.5446868729737</v>
      </c>
      <c r="AR62" s="37">
        <f>AQ62* (1 + Scenarios!$K$10)</f>
        <v>1926.5333040447979</v>
      </c>
      <c r="AS62" s="37">
        <f>AR62* (1 + Scenarios!$K$10)</f>
        <v>1974.6966366459176</v>
      </c>
      <c r="AT62" s="37">
        <f>AS62* (1 + Scenarios!$K$10)</f>
        <v>2024.0640525620654</v>
      </c>
      <c r="AU62" s="37">
        <f>AT62* (1 + Scenarios!$K$10)</f>
        <v>2074.6656538761167</v>
      </c>
      <c r="AV62" s="37">
        <f>AU62* (1 + Scenarios!$K$10)</f>
        <v>2126.5322952230194</v>
      </c>
      <c r="AW62" s="37">
        <f>AV62* (1 + Scenarios!$K$10)</f>
        <v>2179.6956026035946</v>
      </c>
      <c r="AX62" s="37">
        <f>AW62* (1 + Scenarios!$K$10)</f>
        <v>2234.1879926686843</v>
      </c>
      <c r="AY62" s="37">
        <f>AX62* (1 + Scenarios!$K$10)</f>
        <v>2290.0426924854014</v>
      </c>
      <c r="AZ62" s="37">
        <f>AY62* (1 + Scenarios!$K$10)</f>
        <v>2347.293759797536</v>
      </c>
    </row>
    <row r="63" spans="1:52">
      <c r="A63" s="77" t="s">
        <v>321</v>
      </c>
    </row>
    <row r="64" spans="1:52" s="73" customFormat="1">
      <c r="A64" s="86" t="s">
        <v>322</v>
      </c>
      <c r="B64" s="89">
        <v>6.6000000000000003E-2</v>
      </c>
      <c r="C64" s="89">
        <f>B64</f>
        <v>6.6000000000000003E-2</v>
      </c>
      <c r="D64" s="80">
        <f t="shared" ref="D64:AI64" si="4">C64</f>
        <v>6.6000000000000003E-2</v>
      </c>
      <c r="E64" s="80">
        <f t="shared" si="4"/>
        <v>6.6000000000000003E-2</v>
      </c>
      <c r="F64" s="80">
        <f t="shared" si="4"/>
        <v>6.6000000000000003E-2</v>
      </c>
      <c r="G64" s="80">
        <f t="shared" si="4"/>
        <v>6.6000000000000003E-2</v>
      </c>
      <c r="H64" s="80">
        <f t="shared" si="4"/>
        <v>6.6000000000000003E-2</v>
      </c>
      <c r="I64" s="80">
        <f t="shared" si="4"/>
        <v>6.6000000000000003E-2</v>
      </c>
      <c r="J64" s="80">
        <f t="shared" si="4"/>
        <v>6.6000000000000003E-2</v>
      </c>
      <c r="K64" s="80">
        <f t="shared" si="4"/>
        <v>6.6000000000000003E-2</v>
      </c>
      <c r="L64" s="80">
        <f t="shared" si="4"/>
        <v>6.6000000000000003E-2</v>
      </c>
      <c r="M64" s="80">
        <f t="shared" si="4"/>
        <v>6.6000000000000003E-2</v>
      </c>
      <c r="N64" s="80">
        <f t="shared" si="4"/>
        <v>6.6000000000000003E-2</v>
      </c>
      <c r="O64" s="80">
        <f t="shared" si="4"/>
        <v>6.6000000000000003E-2</v>
      </c>
      <c r="P64" s="80">
        <f t="shared" si="4"/>
        <v>6.6000000000000003E-2</v>
      </c>
      <c r="Q64" s="80">
        <f t="shared" si="4"/>
        <v>6.6000000000000003E-2</v>
      </c>
      <c r="R64" s="80">
        <f t="shared" si="4"/>
        <v>6.6000000000000003E-2</v>
      </c>
      <c r="S64" s="80">
        <f t="shared" si="4"/>
        <v>6.6000000000000003E-2</v>
      </c>
      <c r="T64" s="80">
        <f t="shared" si="4"/>
        <v>6.6000000000000003E-2</v>
      </c>
      <c r="U64" s="80">
        <f t="shared" si="4"/>
        <v>6.6000000000000003E-2</v>
      </c>
      <c r="V64" s="80">
        <f t="shared" si="4"/>
        <v>6.6000000000000003E-2</v>
      </c>
      <c r="W64" s="80">
        <f t="shared" si="4"/>
        <v>6.6000000000000003E-2</v>
      </c>
      <c r="X64" s="80">
        <f t="shared" si="4"/>
        <v>6.6000000000000003E-2</v>
      </c>
      <c r="Y64" s="80">
        <f t="shared" si="4"/>
        <v>6.6000000000000003E-2</v>
      </c>
      <c r="Z64" s="80">
        <f t="shared" si="4"/>
        <v>6.6000000000000003E-2</v>
      </c>
      <c r="AA64" s="80">
        <f t="shared" si="4"/>
        <v>6.6000000000000003E-2</v>
      </c>
      <c r="AB64" s="80">
        <f t="shared" si="4"/>
        <v>6.6000000000000003E-2</v>
      </c>
      <c r="AC64" s="80">
        <f t="shared" si="4"/>
        <v>6.6000000000000003E-2</v>
      </c>
      <c r="AD64" s="80">
        <f t="shared" si="4"/>
        <v>6.6000000000000003E-2</v>
      </c>
      <c r="AE64" s="80">
        <f t="shared" si="4"/>
        <v>6.6000000000000003E-2</v>
      </c>
      <c r="AF64" s="80">
        <f t="shared" si="4"/>
        <v>6.6000000000000003E-2</v>
      </c>
      <c r="AG64" s="80">
        <f t="shared" si="4"/>
        <v>6.6000000000000003E-2</v>
      </c>
      <c r="AH64" s="80">
        <f t="shared" si="4"/>
        <v>6.6000000000000003E-2</v>
      </c>
      <c r="AI64" s="80">
        <f t="shared" si="4"/>
        <v>6.6000000000000003E-2</v>
      </c>
      <c r="AJ64" s="80">
        <f t="shared" ref="AJ64:AZ64" si="5">AI64</f>
        <v>6.6000000000000003E-2</v>
      </c>
      <c r="AK64" s="80">
        <f t="shared" si="5"/>
        <v>6.6000000000000003E-2</v>
      </c>
      <c r="AL64" s="80">
        <f t="shared" si="5"/>
        <v>6.6000000000000003E-2</v>
      </c>
      <c r="AM64" s="80">
        <f t="shared" si="5"/>
        <v>6.6000000000000003E-2</v>
      </c>
      <c r="AN64" s="80">
        <f t="shared" si="5"/>
        <v>6.6000000000000003E-2</v>
      </c>
      <c r="AO64" s="80">
        <f t="shared" si="5"/>
        <v>6.6000000000000003E-2</v>
      </c>
      <c r="AP64" s="80">
        <f t="shared" si="5"/>
        <v>6.6000000000000003E-2</v>
      </c>
      <c r="AQ64" s="80">
        <f t="shared" si="5"/>
        <v>6.6000000000000003E-2</v>
      </c>
      <c r="AR64" s="80">
        <f t="shared" si="5"/>
        <v>6.6000000000000003E-2</v>
      </c>
      <c r="AS64" s="80">
        <f t="shared" si="5"/>
        <v>6.6000000000000003E-2</v>
      </c>
      <c r="AT64" s="80">
        <f t="shared" si="5"/>
        <v>6.6000000000000003E-2</v>
      </c>
      <c r="AU64" s="80">
        <f t="shared" si="5"/>
        <v>6.6000000000000003E-2</v>
      </c>
      <c r="AV64" s="80">
        <f t="shared" si="5"/>
        <v>6.6000000000000003E-2</v>
      </c>
      <c r="AW64" s="80">
        <f t="shared" si="5"/>
        <v>6.6000000000000003E-2</v>
      </c>
      <c r="AX64" s="80">
        <f t="shared" si="5"/>
        <v>6.6000000000000003E-2</v>
      </c>
      <c r="AY64" s="80">
        <f t="shared" si="5"/>
        <v>6.6000000000000003E-2</v>
      </c>
      <c r="AZ64" s="80">
        <f t="shared" si="5"/>
        <v>6.6000000000000003E-2</v>
      </c>
    </row>
    <row r="65" spans="1:52" s="37" customFormat="1">
      <c r="A65" s="78" t="s">
        <v>323</v>
      </c>
      <c r="B65" s="88">
        <f>B54*B64</f>
        <v>2814.2400000000002</v>
      </c>
      <c r="C65" s="37">
        <f>C54*C64</f>
        <v>2814.2400000000002</v>
      </c>
      <c r="D65" s="37">
        <f>D54*D64</f>
        <v>2898.6672000000003</v>
      </c>
      <c r="E65" s="37">
        <f t="shared" ref="E65:J65" si="6">E54*E64</f>
        <v>2985.6272160000003</v>
      </c>
      <c r="F65" s="37">
        <f t="shared" si="6"/>
        <v>3075.1960324800007</v>
      </c>
      <c r="G65" s="37">
        <f t="shared" si="6"/>
        <v>3167.4519134544007</v>
      </c>
      <c r="H65" s="37">
        <f t="shared" si="6"/>
        <v>3262.4754708580326</v>
      </c>
      <c r="I65" s="37">
        <f t="shared" si="6"/>
        <v>3360.3497349837735</v>
      </c>
      <c r="J65" s="37">
        <f t="shared" si="6"/>
        <v>3461.1602270332869</v>
      </c>
      <c r="K65" s="37">
        <f>'Property Expenses (Detail)'!$C$7*Property_CF!K54</f>
        <v>3564.6656736231253</v>
      </c>
      <c r="L65" s="37">
        <f>'Property Expenses (Detail)'!$C$7*Property_CF!L54</f>
        <v>3671.6056438318187</v>
      </c>
      <c r="M65" s="37">
        <f>'Property Expenses (Detail)'!$C$7*Property_CF!M54</f>
        <v>3781.7538131467736</v>
      </c>
      <c r="N65" s="37">
        <f>'Property Expenses (Detail)'!$C$7*Property_CF!N54</f>
        <v>3895.2064275411767</v>
      </c>
      <c r="O65" s="37">
        <f>'Property Expenses (Detail)'!$C$7*Property_CF!O54</f>
        <v>4012.0626203674119</v>
      </c>
      <c r="P65" s="37">
        <f>'Property Expenses (Detail)'!$C$7*Property_CF!P54</f>
        <v>4132.4244989784347</v>
      </c>
      <c r="Q65" s="37">
        <f>'Property Expenses (Detail)'!$C$7*Property_CF!Q54</f>
        <v>4256.3972339477878</v>
      </c>
      <c r="R65" s="37">
        <f>'Property Expenses (Detail)'!$C$7*Property_CF!R54</f>
        <v>4384.0891509662215</v>
      </c>
      <c r="S65" s="37">
        <f>'Property Expenses (Detail)'!$C$7*Property_CF!S54</f>
        <v>4515.6118254952089</v>
      </c>
      <c r="T65" s="37">
        <f>'Property Expenses (Detail)'!$C$7*Property_CF!T54</f>
        <v>4651.0801802600645</v>
      </c>
      <c r="U65" s="37">
        <f>'Property Expenses (Detail)'!$C$7*Property_CF!U54</f>
        <v>4790.6125856678673</v>
      </c>
      <c r="V65" s="37">
        <f>'Property Expenses (Detail)'!$C$7*Property_CF!V54</f>
        <v>4934.3309632379032</v>
      </c>
      <c r="W65" s="37">
        <f>'Property Expenses (Detail)'!$C$7*Property_CF!W54</f>
        <v>5082.3608921350396</v>
      </c>
      <c r="X65" s="37">
        <f>'Property Expenses (Detail)'!$C$7*Property_CF!X54</f>
        <v>5234.8317188990904</v>
      </c>
      <c r="Y65" s="37">
        <f>'Property Expenses (Detail)'!$C$7*Property_CF!Y54</f>
        <v>5391.8766704660629</v>
      </c>
      <c r="Z65" s="37">
        <f>'Property Expenses (Detail)'!$C$7*Property_CF!Z54</f>
        <v>5553.6329705800454</v>
      </c>
      <c r="AA65" s="37">
        <f>'Property Expenses (Detail)'!$C$7*Property_CF!AA54</f>
        <v>5720.2419596974478</v>
      </c>
      <c r="AB65" s="37">
        <f>'Property Expenses (Detail)'!$C$7*Property_CF!AB54</f>
        <v>5891.8492184883717</v>
      </c>
      <c r="AC65" s="37">
        <f>'Property Expenses (Detail)'!$C$7*Property_CF!AC54</f>
        <v>6068.6046950430227</v>
      </c>
      <c r="AD65" s="37">
        <f>'Property Expenses (Detail)'!$C$7*Property_CF!AD54</f>
        <v>6250.6628358943135</v>
      </c>
      <c r="AE65" s="37">
        <f>'Property Expenses (Detail)'!$C$7*Property_CF!AE54</f>
        <v>6438.1827209711437</v>
      </c>
      <c r="AF65" s="37">
        <f>'Property Expenses (Detail)'!$C$7*Property_CF!AF54</f>
        <v>6631.328202600278</v>
      </c>
      <c r="AG65" s="37">
        <f>'Property Expenses (Detail)'!$C$7*Property_CF!AG54</f>
        <v>6830.2680486782865</v>
      </c>
      <c r="AH65" s="37">
        <f>'Property Expenses (Detail)'!$C$7*Property_CF!AH54</f>
        <v>7035.1760901386351</v>
      </c>
      <c r="AI65" s="37">
        <f>'Property Expenses (Detail)'!$C$7*Property_CF!AI54</f>
        <v>7246.2313728427944</v>
      </c>
      <c r="AJ65" s="37">
        <f>'Property Expenses (Detail)'!$C$7*Property_CF!AJ54</f>
        <v>7463.6183140280782</v>
      </c>
      <c r="AK65" s="37">
        <f>'Property Expenses (Detail)'!$C$7*Property_CF!AK54</f>
        <v>7687.5268634489203</v>
      </c>
      <c r="AL65" s="37">
        <f>'Property Expenses (Detail)'!$C$7*Property_CF!AL54</f>
        <v>7918.1526693523883</v>
      </c>
      <c r="AM65" s="37">
        <f>'Property Expenses (Detail)'!$C$7*Property_CF!AM54</f>
        <v>8155.6972494329602</v>
      </c>
      <c r="AN65" s="37">
        <f>'Property Expenses (Detail)'!$C$7*Property_CF!AN54</f>
        <v>8400.3681669159487</v>
      </c>
      <c r="AO65" s="37">
        <f>'Property Expenses (Detail)'!$C$7*Property_CF!AO54</f>
        <v>8652.3792119234276</v>
      </c>
      <c r="AP65" s="37">
        <f>'Property Expenses (Detail)'!$C$7*Property_CF!AP54</f>
        <v>8911.9505882811318</v>
      </c>
      <c r="AQ65" s="37">
        <f>'Property Expenses (Detail)'!$C$7*Property_CF!AQ54</f>
        <v>9179.3091059295657</v>
      </c>
      <c r="AR65" s="37">
        <f>'Property Expenses (Detail)'!$C$7*Property_CF!AR54</f>
        <v>9454.6883791074524</v>
      </c>
      <c r="AS65" s="37">
        <f>'Property Expenses (Detail)'!$C$7*Property_CF!AS54</f>
        <v>9738.329030480676</v>
      </c>
      <c r="AT65" s="37">
        <f>'Property Expenses (Detail)'!$C$7*Property_CF!AT54</f>
        <v>10030.478901395096</v>
      </c>
      <c r="AU65" s="37">
        <f>'Property Expenses (Detail)'!$C$7*Property_CF!AU54</f>
        <v>10331.39326843695</v>
      </c>
      <c r="AV65" s="37">
        <f>'Property Expenses (Detail)'!$C$7*Property_CF!AV54</f>
        <v>10641.335066490057</v>
      </c>
      <c r="AW65" s="37">
        <f>'Property Expenses (Detail)'!$C$7*Property_CF!AW54</f>
        <v>10960.57511848476</v>
      </c>
      <c r="AX65" s="37">
        <f>'Property Expenses (Detail)'!$C$7*Property_CF!AX54</f>
        <v>11289.392372039301</v>
      </c>
      <c r="AY65" s="37">
        <f>'Property Expenses (Detail)'!$C$7*Property_CF!AY54</f>
        <v>11628.07414320048</v>
      </c>
      <c r="AZ65" s="37">
        <f>'Property Expenses (Detail)'!$C$7*Property_CF!AZ54</f>
        <v>11976.916367496495</v>
      </c>
    </row>
    <row r="66" spans="1:52" s="37" customFormat="1">
      <c r="A66" s="78" t="s">
        <v>324</v>
      </c>
      <c r="B66" s="88"/>
      <c r="C66" s="88"/>
      <c r="D66" s="37">
        <f>C66* (1 + Scenarios!$K$10)</f>
        <v>0</v>
      </c>
      <c r="E66" s="37">
        <f>D66* (1 + Scenarios!$K$10)</f>
        <v>0</v>
      </c>
      <c r="F66" s="37">
        <f>E66* (1 + Scenarios!$K$10)</f>
        <v>0</v>
      </c>
      <c r="G66" s="37">
        <f>F66* (1 + Scenarios!$K$10)</f>
        <v>0</v>
      </c>
      <c r="H66" s="37">
        <f>G66* (1 + Scenarios!$K$10)</f>
        <v>0</v>
      </c>
      <c r="I66" s="37">
        <f>H66* (1 + Scenarios!$K$10)</f>
        <v>0</v>
      </c>
      <c r="J66" s="37">
        <f>I66* (1 + Scenarios!$K$10)</f>
        <v>0</v>
      </c>
      <c r="K66" s="37">
        <f>J66* (1 + Scenarios!$K$10)</f>
        <v>0</v>
      </c>
      <c r="L66" s="37">
        <f>K66* (1 + Scenarios!$K$10)</f>
        <v>0</v>
      </c>
      <c r="M66" s="37">
        <f>L66* (1 + Scenarios!$K$10)</f>
        <v>0</v>
      </c>
      <c r="N66" s="37">
        <f>M66* (1 + Scenarios!$K$10)</f>
        <v>0</v>
      </c>
      <c r="O66" s="37">
        <f>N66* (1 + Scenarios!$K$10)</f>
        <v>0</v>
      </c>
      <c r="P66" s="37">
        <f>O66* (1 + Scenarios!$K$10)</f>
        <v>0</v>
      </c>
      <c r="Q66" s="37">
        <f>P66* (1 + Scenarios!$K$10)</f>
        <v>0</v>
      </c>
      <c r="R66" s="37">
        <f>Q66* (1 + Scenarios!$K$10)</f>
        <v>0</v>
      </c>
      <c r="S66" s="37">
        <f>R66* (1 + Scenarios!$K$10)</f>
        <v>0</v>
      </c>
      <c r="T66" s="37">
        <f>S66* (1 + Scenarios!$K$10)</f>
        <v>0</v>
      </c>
      <c r="U66" s="37">
        <f>T66* (1 + Scenarios!$K$10)</f>
        <v>0</v>
      </c>
      <c r="V66" s="37">
        <f>U66* (1 + Scenarios!$K$10)</f>
        <v>0</v>
      </c>
      <c r="W66" s="37">
        <f>V66* (1 + Scenarios!$K$10)</f>
        <v>0</v>
      </c>
      <c r="X66" s="37">
        <f>W66* (1 + Scenarios!$K$10)</f>
        <v>0</v>
      </c>
      <c r="Y66" s="37">
        <f>X66* (1 + Scenarios!$K$10)</f>
        <v>0</v>
      </c>
      <c r="Z66" s="37">
        <f>Y66* (1 + Scenarios!$K$10)</f>
        <v>0</v>
      </c>
      <c r="AA66" s="37">
        <f>Z66* (1 + Scenarios!$K$10)</f>
        <v>0</v>
      </c>
      <c r="AB66" s="37">
        <f>AA66* (1 + Scenarios!$K$10)</f>
        <v>0</v>
      </c>
      <c r="AC66" s="37">
        <f>AB66* (1 + Scenarios!$K$10)</f>
        <v>0</v>
      </c>
      <c r="AD66" s="37">
        <f>AC66* (1 + Scenarios!$K$10)</f>
        <v>0</v>
      </c>
      <c r="AE66" s="37">
        <f>AD66* (1 + Scenarios!$K$10)</f>
        <v>0</v>
      </c>
      <c r="AF66" s="37">
        <f>AE66* (1 + Scenarios!$K$10)</f>
        <v>0</v>
      </c>
      <c r="AG66" s="37">
        <f>AF66* (1 + Scenarios!$K$10)</f>
        <v>0</v>
      </c>
      <c r="AH66" s="37">
        <f>AG66* (1 + Scenarios!$K$10)</f>
        <v>0</v>
      </c>
      <c r="AI66" s="37">
        <f>AH66* (1 + Scenarios!$K$10)</f>
        <v>0</v>
      </c>
      <c r="AJ66" s="37">
        <f>AI66* (1 + Scenarios!$K$10)</f>
        <v>0</v>
      </c>
      <c r="AK66" s="37">
        <f>AJ66* (1 + Scenarios!$K$10)</f>
        <v>0</v>
      </c>
      <c r="AL66" s="37">
        <f>AK66* (1 + Scenarios!$K$10)</f>
        <v>0</v>
      </c>
      <c r="AM66" s="37">
        <f>AL66* (1 + Scenarios!$K$10)</f>
        <v>0</v>
      </c>
      <c r="AN66" s="37">
        <f>AM66* (1 + Scenarios!$K$10)</f>
        <v>0</v>
      </c>
      <c r="AO66" s="37">
        <f>AN66* (1 + Scenarios!$K$10)</f>
        <v>0</v>
      </c>
      <c r="AP66" s="37">
        <f>AO66* (1 + Scenarios!$K$10)</f>
        <v>0</v>
      </c>
      <c r="AQ66" s="37">
        <f>AP66* (1 + Scenarios!$K$10)</f>
        <v>0</v>
      </c>
      <c r="AR66" s="37">
        <f>AQ66* (1 + Scenarios!$K$10)</f>
        <v>0</v>
      </c>
      <c r="AS66" s="37">
        <f>AR66* (1 + Scenarios!$K$10)</f>
        <v>0</v>
      </c>
      <c r="AT66" s="37">
        <f>AS66* (1 + Scenarios!$K$10)</f>
        <v>0</v>
      </c>
      <c r="AU66" s="37">
        <f>AT66* (1 + Scenarios!$K$10)</f>
        <v>0</v>
      </c>
      <c r="AV66" s="37">
        <f>AU66* (1 + Scenarios!$K$10)</f>
        <v>0</v>
      </c>
      <c r="AW66" s="37">
        <f>AV66* (1 + Scenarios!$K$10)</f>
        <v>0</v>
      </c>
      <c r="AX66" s="37">
        <f>AW66* (1 + Scenarios!$K$10)</f>
        <v>0</v>
      </c>
      <c r="AY66" s="37">
        <f>AX66* (1 + Scenarios!$K$10)</f>
        <v>0</v>
      </c>
      <c r="AZ66" s="37">
        <f>AY66* (1 + Scenarios!$K$10)</f>
        <v>0</v>
      </c>
    </row>
    <row r="67" spans="1:52" s="37" customFormat="1">
      <c r="A67" s="78" t="s">
        <v>325</v>
      </c>
      <c r="B67" s="90"/>
      <c r="C67" s="90">
        <v>0</v>
      </c>
      <c r="D67" s="37">
        <f>C67* (1 + Scenarios!$K$10)</f>
        <v>0</v>
      </c>
      <c r="E67" s="37">
        <f>D67* (1 + Scenarios!$K$10)</f>
        <v>0</v>
      </c>
      <c r="F67" s="37">
        <f>E67* (1 + Scenarios!$K$10)</f>
        <v>0</v>
      </c>
      <c r="G67" s="37">
        <f>F67* (1 + Scenarios!$K$10)</f>
        <v>0</v>
      </c>
      <c r="H67" s="37">
        <f>G67* (1 + Scenarios!$K$10)</f>
        <v>0</v>
      </c>
      <c r="I67" s="37">
        <f>H67* (1 + Scenarios!$K$10)</f>
        <v>0</v>
      </c>
      <c r="J67" s="37">
        <f>I67* (1 + Scenarios!$K$10)</f>
        <v>0</v>
      </c>
      <c r="K67" s="37">
        <f>J67* (1 + Scenarios!$K$10)</f>
        <v>0</v>
      </c>
      <c r="L67" s="37">
        <f>K67* (1 + Scenarios!$K$10)</f>
        <v>0</v>
      </c>
      <c r="M67" s="37">
        <f>L67* (1 + Scenarios!$K$10)</f>
        <v>0</v>
      </c>
      <c r="N67" s="37">
        <f>M67* (1 + Scenarios!$K$10)</f>
        <v>0</v>
      </c>
      <c r="O67" s="37">
        <f>N67* (1 + Scenarios!$K$10)</f>
        <v>0</v>
      </c>
      <c r="P67" s="37">
        <f>O67* (1 + Scenarios!$K$10)</f>
        <v>0</v>
      </c>
      <c r="Q67" s="37">
        <f>P67* (1 + Scenarios!$K$10)</f>
        <v>0</v>
      </c>
      <c r="R67" s="37">
        <f>Q67* (1 + Scenarios!$K$10)</f>
        <v>0</v>
      </c>
      <c r="S67" s="37">
        <f>R67* (1 + Scenarios!$K$10)</f>
        <v>0</v>
      </c>
      <c r="T67" s="37">
        <f>S67* (1 + Scenarios!$K$10)</f>
        <v>0</v>
      </c>
      <c r="U67" s="37">
        <f>T67* (1 + Scenarios!$K$10)</f>
        <v>0</v>
      </c>
      <c r="V67" s="37">
        <f>U67* (1 + Scenarios!$K$10)</f>
        <v>0</v>
      </c>
      <c r="W67" s="37">
        <f>V67* (1 + Scenarios!$K$10)</f>
        <v>0</v>
      </c>
      <c r="X67" s="37">
        <f>W67* (1 + Scenarios!$K$10)</f>
        <v>0</v>
      </c>
      <c r="Y67" s="37">
        <f>X67* (1 + Scenarios!$K$10)</f>
        <v>0</v>
      </c>
      <c r="Z67" s="37">
        <f>Y67* (1 + Scenarios!$K$10)</f>
        <v>0</v>
      </c>
      <c r="AA67" s="37">
        <f>Z67* (1 + Scenarios!$K$10)</f>
        <v>0</v>
      </c>
      <c r="AB67" s="37">
        <f>AA67* (1 + Scenarios!$K$10)</f>
        <v>0</v>
      </c>
      <c r="AC67" s="37">
        <f>AB67* (1 + Scenarios!$K$10)</f>
        <v>0</v>
      </c>
      <c r="AD67" s="37">
        <f>AC67* (1 + Scenarios!$K$10)</f>
        <v>0</v>
      </c>
      <c r="AE67" s="37">
        <f>AD67* (1 + Scenarios!$K$10)</f>
        <v>0</v>
      </c>
      <c r="AF67" s="37">
        <f>AE67* (1 + Scenarios!$K$10)</f>
        <v>0</v>
      </c>
      <c r="AG67" s="37">
        <f>AF67* (1 + Scenarios!$K$10)</f>
        <v>0</v>
      </c>
      <c r="AH67" s="37">
        <f>AG67* (1 + Scenarios!$K$10)</f>
        <v>0</v>
      </c>
      <c r="AI67" s="37">
        <f>AH67* (1 + Scenarios!$K$10)</f>
        <v>0</v>
      </c>
      <c r="AJ67" s="37">
        <f>AI67* (1 + Scenarios!$K$10)</f>
        <v>0</v>
      </c>
      <c r="AK67" s="37">
        <f>AJ67* (1 + Scenarios!$K$10)</f>
        <v>0</v>
      </c>
      <c r="AL67" s="37">
        <f>AK67* (1 + Scenarios!$K$10)</f>
        <v>0</v>
      </c>
      <c r="AM67" s="37">
        <f>AL67* (1 + Scenarios!$K$10)</f>
        <v>0</v>
      </c>
      <c r="AN67" s="37">
        <f>AM67* (1 + Scenarios!$K$10)</f>
        <v>0</v>
      </c>
      <c r="AO67" s="37">
        <f>AN67* (1 + Scenarios!$K$10)</f>
        <v>0</v>
      </c>
      <c r="AP67" s="37">
        <f>AO67* (1 + Scenarios!$K$10)</f>
        <v>0</v>
      </c>
      <c r="AQ67" s="37">
        <f>AP67* (1 + Scenarios!$K$10)</f>
        <v>0</v>
      </c>
      <c r="AR67" s="37">
        <f>AQ67* (1 + Scenarios!$K$10)</f>
        <v>0</v>
      </c>
      <c r="AS67" s="37">
        <f>AR67* (1 + Scenarios!$K$10)</f>
        <v>0</v>
      </c>
      <c r="AT67" s="37">
        <f>AS67* (1 + Scenarios!$K$10)</f>
        <v>0</v>
      </c>
      <c r="AU67" s="37">
        <f>AT67* (1 + Scenarios!$K$10)</f>
        <v>0</v>
      </c>
      <c r="AV67" s="37">
        <f>AU67* (1 + Scenarios!$K$10)</f>
        <v>0</v>
      </c>
      <c r="AW67" s="37">
        <f>AV67* (1 + Scenarios!$K$10)</f>
        <v>0</v>
      </c>
      <c r="AX67" s="37">
        <f>AW67* (1 + Scenarios!$K$10)</f>
        <v>0</v>
      </c>
      <c r="AY67" s="37">
        <f>AX67* (1 + Scenarios!$K$10)</f>
        <v>0</v>
      </c>
      <c r="AZ67" s="37">
        <f>AY67* (1 + Scenarios!$K$10)</f>
        <v>0</v>
      </c>
    </row>
    <row r="68" spans="1:52" s="37" customFormat="1">
      <c r="A68" s="78" t="s">
        <v>326</v>
      </c>
      <c r="B68" s="90"/>
      <c r="C68" s="90">
        <v>0</v>
      </c>
      <c r="D68" s="37">
        <f>C68* (1 + Scenarios!$K$10)</f>
        <v>0</v>
      </c>
      <c r="E68" s="37">
        <f>D68* (1 + Scenarios!$K$10)</f>
        <v>0</v>
      </c>
      <c r="F68" s="37">
        <f>E68* (1 + Scenarios!$K$10)</f>
        <v>0</v>
      </c>
      <c r="G68" s="37">
        <f>F68* (1 + Scenarios!$K$10)</f>
        <v>0</v>
      </c>
      <c r="H68" s="37">
        <f>G68* (1 + Scenarios!$K$10)</f>
        <v>0</v>
      </c>
      <c r="I68" s="37">
        <f>H68* (1 + Scenarios!$K$10)</f>
        <v>0</v>
      </c>
      <c r="J68" s="37">
        <f>I68* (1 + Scenarios!$K$10)</f>
        <v>0</v>
      </c>
      <c r="K68" s="37">
        <f>J68* (1 + Scenarios!$K$10)</f>
        <v>0</v>
      </c>
      <c r="L68" s="37">
        <f>K68* (1 + Scenarios!$K$10)</f>
        <v>0</v>
      </c>
      <c r="M68" s="37">
        <f>L68* (1 + Scenarios!$K$10)</f>
        <v>0</v>
      </c>
      <c r="N68" s="37">
        <f>M68* (1 + Scenarios!$K$10)</f>
        <v>0</v>
      </c>
      <c r="O68" s="37">
        <f>N68* (1 + Scenarios!$K$10)</f>
        <v>0</v>
      </c>
      <c r="P68" s="37">
        <f>O68* (1 + Scenarios!$K$10)</f>
        <v>0</v>
      </c>
      <c r="Q68" s="37">
        <f>P68* (1 + Scenarios!$K$10)</f>
        <v>0</v>
      </c>
      <c r="R68" s="37">
        <f>Q68* (1 + Scenarios!$K$10)</f>
        <v>0</v>
      </c>
      <c r="S68" s="37">
        <f>R68* (1 + Scenarios!$K$10)</f>
        <v>0</v>
      </c>
      <c r="T68" s="37">
        <f>S68* (1 + Scenarios!$K$10)</f>
        <v>0</v>
      </c>
      <c r="U68" s="37">
        <f>T68* (1 + Scenarios!$K$10)</f>
        <v>0</v>
      </c>
      <c r="V68" s="37">
        <f>U68* (1 + Scenarios!$K$10)</f>
        <v>0</v>
      </c>
      <c r="W68" s="37">
        <f>V68* (1 + Scenarios!$K$10)</f>
        <v>0</v>
      </c>
      <c r="X68" s="37">
        <f>W68* (1 + Scenarios!$K$10)</f>
        <v>0</v>
      </c>
      <c r="Y68" s="37">
        <f>X68* (1 + Scenarios!$K$10)</f>
        <v>0</v>
      </c>
      <c r="Z68" s="37">
        <f>Y68* (1 + Scenarios!$K$10)</f>
        <v>0</v>
      </c>
      <c r="AA68" s="37">
        <f>Z68* (1 + Scenarios!$K$10)</f>
        <v>0</v>
      </c>
      <c r="AB68" s="37">
        <f>AA68* (1 + Scenarios!$K$10)</f>
        <v>0</v>
      </c>
      <c r="AC68" s="37">
        <f>AB68* (1 + Scenarios!$K$10)</f>
        <v>0</v>
      </c>
      <c r="AD68" s="37">
        <f>AC68* (1 + Scenarios!$K$10)</f>
        <v>0</v>
      </c>
      <c r="AE68" s="37">
        <f>AD68* (1 + Scenarios!$K$10)</f>
        <v>0</v>
      </c>
      <c r="AF68" s="37">
        <f>AE68* (1 + Scenarios!$K$10)</f>
        <v>0</v>
      </c>
      <c r="AG68" s="37">
        <f>AF68* (1 + Scenarios!$K$10)</f>
        <v>0</v>
      </c>
      <c r="AH68" s="37">
        <f>AG68* (1 + Scenarios!$K$10)</f>
        <v>0</v>
      </c>
      <c r="AI68" s="37">
        <f>AH68* (1 + Scenarios!$K$10)</f>
        <v>0</v>
      </c>
      <c r="AJ68" s="37">
        <f>AI68* (1 + Scenarios!$K$10)</f>
        <v>0</v>
      </c>
      <c r="AK68" s="37">
        <f>AJ68* (1 + Scenarios!$K$10)</f>
        <v>0</v>
      </c>
      <c r="AL68" s="37">
        <f>AK68* (1 + Scenarios!$K$10)</f>
        <v>0</v>
      </c>
      <c r="AM68" s="37">
        <f>AL68* (1 + Scenarios!$K$10)</f>
        <v>0</v>
      </c>
      <c r="AN68" s="37">
        <f>AM68* (1 + Scenarios!$K$10)</f>
        <v>0</v>
      </c>
      <c r="AO68" s="37">
        <f>AN68* (1 + Scenarios!$K$10)</f>
        <v>0</v>
      </c>
      <c r="AP68" s="37">
        <f>AO68* (1 + Scenarios!$K$10)</f>
        <v>0</v>
      </c>
      <c r="AQ68" s="37">
        <f>AP68* (1 + Scenarios!$K$10)</f>
        <v>0</v>
      </c>
      <c r="AR68" s="37">
        <f>AQ68* (1 + Scenarios!$K$10)</f>
        <v>0</v>
      </c>
      <c r="AS68" s="37">
        <f>AR68* (1 + Scenarios!$K$10)</f>
        <v>0</v>
      </c>
      <c r="AT68" s="37">
        <f>AS68* (1 + Scenarios!$K$10)</f>
        <v>0</v>
      </c>
      <c r="AU68" s="37">
        <f>AT68* (1 + Scenarios!$K$10)</f>
        <v>0</v>
      </c>
      <c r="AV68" s="37">
        <f>AU68* (1 + Scenarios!$K$10)</f>
        <v>0</v>
      </c>
      <c r="AW68" s="37">
        <f>AV68* (1 + Scenarios!$K$10)</f>
        <v>0</v>
      </c>
      <c r="AX68" s="37">
        <f>AW68* (1 + Scenarios!$K$10)</f>
        <v>0</v>
      </c>
      <c r="AY68" s="37">
        <f>AX68* (1 + Scenarios!$K$10)</f>
        <v>0</v>
      </c>
      <c r="AZ68" s="37">
        <f>AY68* (1 + Scenarios!$K$10)</f>
        <v>0</v>
      </c>
    </row>
    <row r="69" spans="1:52" s="37" customFormat="1">
      <c r="A69" s="78" t="s">
        <v>327</v>
      </c>
      <c r="B69" s="90"/>
      <c r="C69" s="90">
        <v>0</v>
      </c>
      <c r="D69" s="37">
        <f>C69* (1 + Scenarios!$K$10)</f>
        <v>0</v>
      </c>
      <c r="E69" s="37">
        <f>D69* (1 + Scenarios!$K$10)</f>
        <v>0</v>
      </c>
      <c r="F69" s="37">
        <f>E69* (1 + Scenarios!$K$10)</f>
        <v>0</v>
      </c>
      <c r="G69" s="37">
        <f>F69* (1 + Scenarios!$K$10)</f>
        <v>0</v>
      </c>
      <c r="H69" s="37">
        <f>G69* (1 + Scenarios!$K$10)</f>
        <v>0</v>
      </c>
      <c r="I69" s="37">
        <f>H69* (1 + Scenarios!$K$10)</f>
        <v>0</v>
      </c>
      <c r="J69" s="37">
        <f>I69* (1 + Scenarios!$K$10)</f>
        <v>0</v>
      </c>
      <c r="K69" s="37">
        <f>J69* (1 + Scenarios!$K$10)</f>
        <v>0</v>
      </c>
      <c r="L69" s="37">
        <f>K69* (1 + Scenarios!$K$10)</f>
        <v>0</v>
      </c>
      <c r="M69" s="37">
        <f>L69* (1 + Scenarios!$K$10)</f>
        <v>0</v>
      </c>
      <c r="N69" s="37">
        <f>M69* (1 + Scenarios!$K$10)</f>
        <v>0</v>
      </c>
      <c r="O69" s="37">
        <f>N69* (1 + Scenarios!$K$10)</f>
        <v>0</v>
      </c>
      <c r="P69" s="37">
        <f>O69* (1 + Scenarios!$K$10)</f>
        <v>0</v>
      </c>
      <c r="Q69" s="37">
        <f>P69* (1 + Scenarios!$K$10)</f>
        <v>0</v>
      </c>
      <c r="R69" s="37">
        <f>Q69* (1 + Scenarios!$K$10)</f>
        <v>0</v>
      </c>
      <c r="S69" s="37">
        <f>R69* (1 + Scenarios!$K$10)</f>
        <v>0</v>
      </c>
      <c r="T69" s="37">
        <f>S69* (1 + Scenarios!$K$10)</f>
        <v>0</v>
      </c>
      <c r="U69" s="37">
        <f>T69* (1 + Scenarios!$K$10)</f>
        <v>0</v>
      </c>
      <c r="V69" s="37">
        <f>U69* (1 + Scenarios!$K$10)</f>
        <v>0</v>
      </c>
      <c r="W69" s="37">
        <f>V69* (1 + Scenarios!$K$10)</f>
        <v>0</v>
      </c>
      <c r="X69" s="37">
        <f>W69* (1 + Scenarios!$K$10)</f>
        <v>0</v>
      </c>
      <c r="Y69" s="37">
        <f>X69* (1 + Scenarios!$K$10)</f>
        <v>0</v>
      </c>
      <c r="Z69" s="37">
        <f>Y69* (1 + Scenarios!$K$10)</f>
        <v>0</v>
      </c>
      <c r="AA69" s="37">
        <f>Z69* (1 + Scenarios!$K$10)</f>
        <v>0</v>
      </c>
      <c r="AB69" s="37">
        <f>AA69* (1 + Scenarios!$K$10)</f>
        <v>0</v>
      </c>
      <c r="AC69" s="37">
        <f>AB69* (1 + Scenarios!$K$10)</f>
        <v>0</v>
      </c>
      <c r="AD69" s="37">
        <f>AC69* (1 + Scenarios!$K$10)</f>
        <v>0</v>
      </c>
      <c r="AE69" s="37">
        <f>AD69* (1 + Scenarios!$K$10)</f>
        <v>0</v>
      </c>
      <c r="AF69" s="37">
        <f>AE69* (1 + Scenarios!$K$10)</f>
        <v>0</v>
      </c>
      <c r="AG69" s="37">
        <f>AF69* (1 + Scenarios!$K$10)</f>
        <v>0</v>
      </c>
      <c r="AH69" s="37">
        <f>AG69* (1 + Scenarios!$K$10)</f>
        <v>0</v>
      </c>
      <c r="AI69" s="37">
        <f>AH69* (1 + Scenarios!$K$10)</f>
        <v>0</v>
      </c>
      <c r="AJ69" s="37">
        <f>AI69* (1 + Scenarios!$K$10)</f>
        <v>0</v>
      </c>
      <c r="AK69" s="37">
        <f>AJ69* (1 + Scenarios!$K$10)</f>
        <v>0</v>
      </c>
      <c r="AL69" s="37">
        <f>AK69* (1 + Scenarios!$K$10)</f>
        <v>0</v>
      </c>
      <c r="AM69" s="37">
        <f>AL69* (1 + Scenarios!$K$10)</f>
        <v>0</v>
      </c>
      <c r="AN69" s="37">
        <f>AM69* (1 + Scenarios!$K$10)</f>
        <v>0</v>
      </c>
      <c r="AO69" s="37">
        <f>AN69* (1 + Scenarios!$K$10)</f>
        <v>0</v>
      </c>
      <c r="AP69" s="37">
        <f>AO69* (1 + Scenarios!$K$10)</f>
        <v>0</v>
      </c>
      <c r="AQ69" s="37">
        <f>AP69* (1 + Scenarios!$K$10)</f>
        <v>0</v>
      </c>
      <c r="AR69" s="37">
        <f>AQ69* (1 + Scenarios!$K$10)</f>
        <v>0</v>
      </c>
      <c r="AS69" s="37">
        <f>AR69* (1 + Scenarios!$K$10)</f>
        <v>0</v>
      </c>
      <c r="AT69" s="37">
        <f>AS69* (1 + Scenarios!$K$10)</f>
        <v>0</v>
      </c>
      <c r="AU69" s="37">
        <f>AT69* (1 + Scenarios!$K$10)</f>
        <v>0</v>
      </c>
      <c r="AV69" s="37">
        <f>AU69* (1 + Scenarios!$K$10)</f>
        <v>0</v>
      </c>
      <c r="AW69" s="37">
        <f>AV69* (1 + Scenarios!$K$10)</f>
        <v>0</v>
      </c>
      <c r="AX69" s="37">
        <f>AW69* (1 + Scenarios!$K$10)</f>
        <v>0</v>
      </c>
      <c r="AY69" s="37">
        <f>AX69* (1 + Scenarios!$K$10)</f>
        <v>0</v>
      </c>
      <c r="AZ69" s="37">
        <f>AY69* (1 + Scenarios!$K$10)</f>
        <v>0</v>
      </c>
    </row>
    <row r="70" spans="1:52" s="37" customFormat="1">
      <c r="A70" s="77" t="s">
        <v>328</v>
      </c>
    </row>
    <row r="71" spans="1:52" s="37" customFormat="1">
      <c r="A71" s="78" t="s">
        <v>329</v>
      </c>
      <c r="C71" s="37">
        <f>Loan_IO_to_PI!N26</f>
        <v>27444.211490999998</v>
      </c>
      <c r="D71" s="37">
        <f>Loan_IO_to_PI!O26</f>
        <v>27444.211490999998</v>
      </c>
      <c r="E71" s="37">
        <f>Loan_IO_to_PI!P26</f>
        <v>27444.211490999998</v>
      </c>
      <c r="F71" s="37">
        <f>Loan_IO_to_PI!Q26</f>
        <v>27444.211490999998</v>
      </c>
      <c r="G71" s="37">
        <f>Loan_IO_to_PI!R26</f>
        <v>27444.211490999998</v>
      </c>
      <c r="H71" s="37">
        <f>Loan_IO_to_PI!S26</f>
        <v>25341.452433687944</v>
      </c>
      <c r="I71" s="37">
        <f>Loan_IO_to_PI!T26</f>
        <v>23116.943626957524</v>
      </c>
      <c r="J71" s="37">
        <f>Loan_IO_to_PI!U26</f>
        <v>20763.635760317407</v>
      </c>
      <c r="K71" s="37">
        <f>Loan_IO_to_PI!V26</f>
        <v>18274.071368198831</v>
      </c>
      <c r="L71" s="37">
        <f>Loan_IO_to_PI!W26</f>
        <v>15640.361197776592</v>
      </c>
      <c r="M71" s="37">
        <f>Loan_IO_to_PI!X26</f>
        <v>12854.159208486903</v>
      </c>
      <c r="N71" s="37">
        <f>Loan_IO_to_PI!Y26</f>
        <v>9906.636124017341</v>
      </c>
      <c r="O71" s="37">
        <f>Loan_IO_to_PI!Z26</f>
        <v>6788.4514529569924</v>
      </c>
      <c r="P71" s="37">
        <f>Loan_IO_to_PI!AA26</f>
        <v>3489.7238894422485</v>
      </c>
      <c r="Q71" s="37">
        <f>Loan_IO_to_PI!AB26</f>
        <v>0</v>
      </c>
      <c r="R71" s="37">
        <f>Loan_IO_to_PI!AC26</f>
        <v>0</v>
      </c>
      <c r="S71" s="37">
        <f>Loan_IO_to_PI!AD26</f>
        <v>0</v>
      </c>
      <c r="T71" s="37">
        <f>Loan_IO_to_PI!AE26</f>
        <v>0</v>
      </c>
      <c r="U71" s="37">
        <f>Loan_IO_to_PI!AF26</f>
        <v>0</v>
      </c>
      <c r="V71" s="37">
        <f>Loan_IO_to_PI!AG26</f>
        <v>0</v>
      </c>
      <c r="W71" s="37">
        <f>Loan_IO_to_PI!AH26</f>
        <v>0</v>
      </c>
      <c r="X71" s="37">
        <f>Loan_IO_to_PI!AI26</f>
        <v>0</v>
      </c>
      <c r="Y71" s="37">
        <f>Loan_IO_to_PI!AJ26</f>
        <v>0</v>
      </c>
      <c r="Z71" s="37">
        <f>Loan_IO_to_PI!AK26</f>
        <v>0</v>
      </c>
      <c r="AA71" s="37">
        <f>Loan_IO_to_PI!AL26</f>
        <v>0</v>
      </c>
      <c r="AB71" s="37">
        <f>Loan_IO_to_PI!AM26</f>
        <v>0</v>
      </c>
      <c r="AC71" s="37">
        <f>Loan_IO_to_PI!AN26</f>
        <v>0</v>
      </c>
      <c r="AD71" s="37">
        <f>Loan_IO_to_PI!AO26</f>
        <v>0</v>
      </c>
      <c r="AE71" s="37">
        <f>Loan_IO_to_PI!AP26</f>
        <v>0</v>
      </c>
      <c r="AF71" s="37">
        <f>Loan_IO_to_PI!AQ26</f>
        <v>0</v>
      </c>
      <c r="AG71" s="37">
        <f>Loan_IO_to_PI!AR26</f>
        <v>0</v>
      </c>
      <c r="AH71" s="37">
        <f>Loan_IO_to_PI!AS26</f>
        <v>0</v>
      </c>
      <c r="AI71" s="37">
        <f>Loan_IO_to_PI!AT26</f>
        <v>0</v>
      </c>
      <c r="AJ71" s="37">
        <f>Loan_IO_to_PI!AU26</f>
        <v>0</v>
      </c>
      <c r="AK71" s="37">
        <f>Loan_IO_to_PI!AV26</f>
        <v>0</v>
      </c>
      <c r="AL71" s="37">
        <f>Loan_IO_to_PI!AW26</f>
        <v>0</v>
      </c>
      <c r="AM71" s="37">
        <f>Loan_IO_to_PI!AX26</f>
        <v>0</v>
      </c>
      <c r="AN71" s="37">
        <f>Loan_IO_to_PI!AY26</f>
        <v>0</v>
      </c>
      <c r="AO71" s="37">
        <f>Loan_IO_to_PI!AZ26</f>
        <v>0</v>
      </c>
      <c r="AP71" s="37">
        <f>Loan_IO_to_PI!BA26</f>
        <v>0</v>
      </c>
      <c r="AQ71" s="37">
        <f>Loan_IO_to_PI!BB26</f>
        <v>0</v>
      </c>
      <c r="AR71" s="37">
        <f>Loan_IO_to_PI!BC26</f>
        <v>0</v>
      </c>
      <c r="AS71" s="37">
        <f>Loan_IO_to_PI!BD26</f>
        <v>0</v>
      </c>
      <c r="AT71" s="37">
        <f>Loan_IO_to_PI!BE26</f>
        <v>0</v>
      </c>
      <c r="AU71" s="37">
        <f>Loan_IO_to_PI!BF26</f>
        <v>0</v>
      </c>
      <c r="AV71" s="37">
        <f>Loan_IO_to_PI!BG26</f>
        <v>0</v>
      </c>
      <c r="AW71" s="37">
        <f>Loan_IO_to_PI!BH26</f>
        <v>0</v>
      </c>
      <c r="AX71" s="37">
        <f>Loan_IO_to_PI!BI26</f>
        <v>0</v>
      </c>
      <c r="AY71" s="37">
        <f>Loan_IO_to_PI!BJ26</f>
        <v>0</v>
      </c>
      <c r="AZ71" s="37">
        <f>Loan_IO_to_PI!BK26</f>
        <v>0</v>
      </c>
    </row>
    <row r="72" spans="1:52" s="37" customFormat="1">
      <c r="A72" s="78" t="s">
        <v>330</v>
      </c>
      <c r="C72" s="37">
        <f>Loan_IO_to_PI!C28</f>
        <v>0</v>
      </c>
      <c r="D72" s="37">
        <f>Loan_IO_to_PI!D28</f>
        <v>0</v>
      </c>
      <c r="E72" s="37">
        <f>Loan_IO_to_PI!E28</f>
        <v>0</v>
      </c>
      <c r="F72" s="37">
        <f>Loan_IO_to_PI!F28</f>
        <v>0</v>
      </c>
      <c r="G72" s="37">
        <f>Loan_IO_to_PI!G28</f>
        <v>0</v>
      </c>
      <c r="H72" s="37">
        <f>Loan_IO_to_PI!H28</f>
        <v>0</v>
      </c>
      <c r="I72" s="37">
        <f>Loan_IO_to_PI!I28</f>
        <v>0</v>
      </c>
      <c r="J72" s="37">
        <f>Loan_IO_to_PI!J28</f>
        <v>0</v>
      </c>
      <c r="K72" s="37">
        <f>Loan_IO_to_PI!K28</f>
        <v>0</v>
      </c>
      <c r="L72" s="37">
        <f>Loan_IO_to_PI!L28</f>
        <v>0</v>
      </c>
      <c r="M72" s="37">
        <f>Loan_IO_to_PI!M28</f>
        <v>0</v>
      </c>
      <c r="N72" s="37">
        <f>Loan_IO_to_PI!N28</f>
        <v>0</v>
      </c>
      <c r="O72" s="37">
        <f>Loan_IO_to_PI!O28</f>
        <v>0</v>
      </c>
      <c r="P72" s="37">
        <f>Loan_IO_to_PI!P28</f>
        <v>0</v>
      </c>
      <c r="Q72" s="37">
        <f>Loan_IO_to_PI!Q28</f>
        <v>0</v>
      </c>
      <c r="R72" s="37">
        <f>Loan_IO_to_PI!R28</f>
        <v>36317.082164284177</v>
      </c>
      <c r="S72" s="37">
        <f>Loan_IO_to_PI!S28</f>
        <v>38419.841221596231</v>
      </c>
      <c r="T72" s="37">
        <f>Loan_IO_to_PI!T28</f>
        <v>40644.350028326662</v>
      </c>
      <c r="U72" s="37">
        <f>Loan_IO_to_PI!U28</f>
        <v>42997.65789496676</v>
      </c>
      <c r="V72" s="37">
        <f>Loan_IO_to_PI!V28</f>
        <v>45487.222287085329</v>
      </c>
      <c r="W72" s="37">
        <f>Loan_IO_to_PI!W28</f>
        <v>48120.932457507573</v>
      </c>
      <c r="X72" s="37">
        <f>Loan_IO_to_PI!X28</f>
        <v>50907.134446797267</v>
      </c>
      <c r="Y72" s="37">
        <f>Loan_IO_to_PI!Y28</f>
        <v>53854.657531266828</v>
      </c>
      <c r="Z72" s="37">
        <f>Loan_IO_to_PI!Z28</f>
        <v>56972.842202327178</v>
      </c>
      <c r="AA72" s="37">
        <f>Loan_IO_to_PI!AA28</f>
        <v>60271.569765841952</v>
      </c>
      <c r="AB72" s="37">
        <f>Loan_IO_to_PI!AB28</f>
        <v>0</v>
      </c>
      <c r="AC72" s="37">
        <f>Loan_IO_to_PI!AC28</f>
        <v>0</v>
      </c>
      <c r="AD72" s="37">
        <f>Loan_IO_to_PI!AD28</f>
        <v>0</v>
      </c>
      <c r="AE72" s="37">
        <f>Loan_IO_to_PI!AE28</f>
        <v>0</v>
      </c>
      <c r="AF72" s="37">
        <f>Loan_IO_to_PI!AF28</f>
        <v>0</v>
      </c>
      <c r="AG72" s="37">
        <f>Loan_IO_to_PI!AG28</f>
        <v>0</v>
      </c>
      <c r="AH72" s="37">
        <f>Loan_IO_to_PI!AH28</f>
        <v>0</v>
      </c>
      <c r="AI72" s="37">
        <f>Loan_IO_to_PI!AI28</f>
        <v>0</v>
      </c>
      <c r="AJ72" s="37">
        <f>Loan_IO_to_PI!AJ28</f>
        <v>0</v>
      </c>
      <c r="AK72" s="37">
        <f>Loan_IO_to_PI!AK28</f>
        <v>0</v>
      </c>
      <c r="AL72" s="37">
        <f>Loan_IO_to_PI!AL28</f>
        <v>0</v>
      </c>
      <c r="AM72" s="37">
        <f>Loan_IO_to_PI!AM28</f>
        <v>0</v>
      </c>
      <c r="AN72" s="37">
        <f>Loan_IO_to_PI!AN28</f>
        <v>0</v>
      </c>
      <c r="AO72" s="37">
        <f>Loan_IO_to_PI!AO28</f>
        <v>0</v>
      </c>
      <c r="AP72" s="37">
        <f>Loan_IO_to_PI!AP28</f>
        <v>0</v>
      </c>
      <c r="AQ72" s="37">
        <f>Loan_IO_to_PI!AQ28</f>
        <v>0</v>
      </c>
      <c r="AR72" s="37">
        <f>Loan_IO_to_PI!AR28</f>
        <v>0</v>
      </c>
      <c r="AS72" s="37">
        <f>Loan_IO_to_PI!AS28</f>
        <v>0</v>
      </c>
      <c r="AT72" s="37">
        <f>Loan_IO_to_PI!AT28</f>
        <v>0</v>
      </c>
      <c r="AU72" s="37">
        <f>Loan_IO_to_PI!AU28</f>
        <v>0</v>
      </c>
      <c r="AV72" s="37">
        <f>Loan_IO_to_PI!AV28</f>
        <v>0</v>
      </c>
      <c r="AW72" s="37">
        <f>Loan_IO_to_PI!AW28</f>
        <v>0</v>
      </c>
      <c r="AX72" s="37">
        <f>Loan_IO_to_PI!AX28</f>
        <v>0</v>
      </c>
      <c r="AY72" s="37">
        <f>Loan_IO_to_PI!AY28</f>
        <v>0</v>
      </c>
      <c r="AZ72" s="37">
        <f>Loan_IO_to_PI!AZ28</f>
        <v>0</v>
      </c>
    </row>
    <row r="73" spans="1:52" s="37" customFormat="1">
      <c r="A73" s="78" t="s">
        <v>331</v>
      </c>
      <c r="B73" s="88"/>
      <c r="C73" s="88">
        <f>IF(
  AND(
    Loan_IO_to_PI!N$24="P&amp;I",
    Loan_IO_to_PI!M$24="IO",
    Loan_IO_to_PI!N$28&gt;0
  ),
  Loan_IO_to_PI!$B$8,
  0
)</f>
        <v>0</v>
      </c>
      <c r="D73" s="37">
        <f>IF(
  AND(
    Loan_IO_to_PI!O$24="P&amp;I",
    Loan_IO_to_PI!N$24="IO",
    Loan_IO_to_PI!O$28&gt;0
  ),
  Loan_IO_to_PI!$B$8,
  0
)</f>
        <v>0</v>
      </c>
      <c r="E73" s="37">
        <f>IF(
  AND(
    Loan_IO_to_PI!P$24="P&amp;I",
    Loan_IO_to_PI!O$24="IO",
    Loan_IO_to_PI!P$28&gt;0
  ),
  Loan_IO_to_PI!$B$8,
  0
)</f>
        <v>0</v>
      </c>
      <c r="F73" s="37">
        <f>IF(
  AND(
    Loan_IO_to_PI!Q$24="P&amp;I",
    Loan_IO_to_PI!P$24="IO",
    Loan_IO_to_PI!Q$28&gt;0
  ),
  Loan_IO_to_PI!$B$8,
  0
)</f>
        <v>0</v>
      </c>
      <c r="G73" s="37">
        <f>IF(
  AND(
    Loan_IO_to_PI!R$24="P&amp;I",
    Loan_IO_to_PI!Q$24="IO",
    Loan_IO_to_PI!R$28&gt;0
  ),
  Loan_IO_to_PI!$B$8,
  0
)</f>
        <v>650</v>
      </c>
      <c r="H73" s="37">
        <f>IF(
  AND(
    Loan_IO_to_PI!S$24="P&amp;I",
    Loan_IO_to_PI!R$24="IO",
    Loan_IO_to_PI!S$28&gt;0
  ),
  Loan_IO_to_PI!$B$8,
  0
)</f>
        <v>0</v>
      </c>
      <c r="I73" s="37">
        <f>IF(
  AND(
    Loan_IO_to_PI!T$24="P&amp;I",
    Loan_IO_to_PI!S$24="IO",
    Loan_IO_to_PI!T$28&gt;0
  ),
  Loan_IO_to_PI!$B$8,
  0
)</f>
        <v>0</v>
      </c>
      <c r="J73" s="37">
        <f>IF(
  AND(
    Loan_IO_to_PI!U$24="P&amp;I",
    Loan_IO_to_PI!T$24="IO",
    Loan_IO_to_PI!U$28&gt;0
  ),
  Loan_IO_to_PI!$B$8,
  0
)</f>
        <v>0</v>
      </c>
      <c r="K73" s="37">
        <f>IF(
  AND(
    Loan_IO_to_PI!V$24="P&amp;I",
    Loan_IO_to_PI!U$24="IO",
    Loan_IO_to_PI!V$28&gt;0
  ),
  Loan_IO_to_PI!$B$8,
  0
)</f>
        <v>0</v>
      </c>
      <c r="L73" s="37">
        <f>IF(
  AND(
    Loan_IO_to_PI!W$24="P&amp;I",
    Loan_IO_to_PI!V$24="IO",
    Loan_IO_to_PI!W$28&gt;0
  ),
  Loan_IO_to_PI!$B$8,
  0
)</f>
        <v>0</v>
      </c>
      <c r="M73" s="37">
        <f>IF(
  AND(
    Loan_IO_to_PI!X$24="P&amp;I",
    Loan_IO_to_PI!W$24="IO",
    Loan_IO_to_PI!X$28&gt;0
  ),
  Loan_IO_to_PI!$B$8,
  0
)</f>
        <v>0</v>
      </c>
      <c r="N73" s="37">
        <f>IF(
  AND(
    Loan_IO_to_PI!Y$24="P&amp;I",
    Loan_IO_to_PI!X$24="IO",
    Loan_IO_to_PI!Y$28&gt;0
  ),
  Loan_IO_to_PI!$B$8,
  0
)</f>
        <v>0</v>
      </c>
      <c r="O73" s="37">
        <f>IF(
  AND(
    Loan_IO_to_PI!Z$24="P&amp;I",
    Loan_IO_to_PI!Y$24="IO",
    Loan_IO_to_PI!Z$28&gt;0
  ),
  Loan_IO_to_PI!$B$8,
  0
)</f>
        <v>0</v>
      </c>
      <c r="P73" s="37">
        <f>IF(
  AND(
    Loan_IO_to_PI!AA$24="P&amp;I",
    Loan_IO_to_PI!Z$24="IO",
    Loan_IO_to_PI!AA$28&gt;0
  ),
  Loan_IO_to_PI!$B$8,
  0
)</f>
        <v>0</v>
      </c>
      <c r="Q73" s="37">
        <f>IF(
  AND(
    Loan_IO_to_PI!AB$24="P&amp;I",
    Loan_IO_to_PI!AA$24="IO",
    Loan_IO_to_PI!AB$28&gt;0
  ),
  Loan_IO_to_PI!$B$8,
  0
)</f>
        <v>0</v>
      </c>
      <c r="R73" s="37">
        <f>IF(
  AND(
    Loan_IO_to_PI!AC$24="P&amp;I",
    Loan_IO_to_PI!AB$24="IO",
    Loan_IO_to_PI!AC$28&gt;0
  ),
  Loan_IO_to_PI!$B$8,
  0
)</f>
        <v>0</v>
      </c>
      <c r="S73" s="37">
        <f>IF(
  AND(
    Loan_IO_to_PI!AD$24="P&amp;I",
    Loan_IO_to_PI!AC$24="IO",
    Loan_IO_to_PI!AD$28&gt;0
  ),
  Loan_IO_to_PI!$B$8,
  0
)</f>
        <v>0</v>
      </c>
      <c r="T73" s="37">
        <f>IF(
  AND(
    Loan_IO_to_PI!AE$24="P&amp;I",
    Loan_IO_to_PI!AD$24="IO",
    Loan_IO_to_PI!AE$28&gt;0
  ),
  Loan_IO_to_PI!$B$8,
  0
)</f>
        <v>0</v>
      </c>
      <c r="U73" s="37">
        <f>IF(
  AND(
    Loan_IO_to_PI!AF$24="P&amp;I",
    Loan_IO_to_PI!AE$24="IO",
    Loan_IO_to_PI!AF$28&gt;0
  ),
  Loan_IO_to_PI!$B$8,
  0
)</f>
        <v>0</v>
      </c>
      <c r="V73" s="37">
        <f>IF(
  AND(
    Loan_IO_to_PI!AG$24="P&amp;I",
    Loan_IO_to_PI!AF$24="IO",
    Loan_IO_to_PI!AG$28&gt;0
  ),
  Loan_IO_to_PI!$B$8,
  0
)</f>
        <v>0</v>
      </c>
      <c r="W73" s="37">
        <f>IF(
  AND(
    Loan_IO_to_PI!AH$24="P&amp;I",
    Loan_IO_to_PI!AG$24="IO",
    Loan_IO_to_PI!AH$28&gt;0
  ),
  Loan_IO_to_PI!$B$8,
  0
)</f>
        <v>0</v>
      </c>
      <c r="X73" s="37">
        <f>IF(
  AND(
    Loan_IO_to_PI!AI$24="P&amp;I",
    Loan_IO_to_PI!AH$24="IO",
    Loan_IO_to_PI!AI$28&gt;0
  ),
  Loan_IO_to_PI!$B$8,
  0
)</f>
        <v>0</v>
      </c>
      <c r="Y73" s="37">
        <f>IF(
  AND(
    Loan_IO_to_PI!AJ$24="P&amp;I",
    Loan_IO_to_PI!AI$24="IO",
    Loan_IO_to_PI!AJ$28&gt;0
  ),
  Loan_IO_to_PI!$B$8,
  0
)</f>
        <v>0</v>
      </c>
      <c r="Z73" s="37">
        <f>IF(
  AND(
    Loan_IO_to_PI!AK$24="P&amp;I",
    Loan_IO_to_PI!AJ$24="IO",
    Loan_IO_to_PI!AK$28&gt;0
  ),
  Loan_IO_to_PI!$B$8,
  0
)</f>
        <v>0</v>
      </c>
      <c r="AA73" s="37">
        <f>IF(
  AND(
    Loan_IO_to_PI!AL$24="P&amp;I",
    Loan_IO_to_PI!AK$24="IO",
    Loan_IO_to_PI!AL$28&gt;0
  ),
  Loan_IO_to_PI!$B$8,
  0
)</f>
        <v>0</v>
      </c>
      <c r="AB73" s="37">
        <f>IF(
  AND(
    Loan_IO_to_PI!AM$24="P&amp;I",
    Loan_IO_to_PI!AL$24="IO",
    Loan_IO_to_PI!AM$28&gt;0
  ),
  Loan_IO_to_PI!$B$8,
  0
)</f>
        <v>0</v>
      </c>
      <c r="AC73" s="37">
        <f>IF(
  AND(
    Loan_IO_to_PI!AN$24="P&amp;I",
    Loan_IO_to_PI!AM$24="IO",
    Loan_IO_to_PI!AN$28&gt;0
  ),
  Loan_IO_to_PI!$B$8,
  0
)</f>
        <v>0</v>
      </c>
      <c r="AD73" s="37">
        <f>IF(
  AND(
    Loan_IO_to_PI!AO$24="P&amp;I",
    Loan_IO_to_PI!AN$24="IO",
    Loan_IO_to_PI!AO$28&gt;0
  ),
  Loan_IO_to_PI!$B$8,
  0
)</f>
        <v>0</v>
      </c>
      <c r="AE73" s="37">
        <f>IF(
  AND(
    Loan_IO_to_PI!AP$24="P&amp;I",
    Loan_IO_to_PI!AO$24="IO",
    Loan_IO_to_PI!AP$28&gt;0
  ),
  Loan_IO_to_PI!$B$8,
  0
)</f>
        <v>0</v>
      </c>
      <c r="AF73" s="37">
        <f>IF(
  AND(
    Loan_IO_to_PI!AQ$24="P&amp;I",
    Loan_IO_to_PI!AP$24="IO",
    Loan_IO_to_PI!AQ$28&gt;0
  ),
  Loan_IO_to_PI!$B$8,
  0
)</f>
        <v>0</v>
      </c>
      <c r="AG73" s="37">
        <f>IF(
  AND(
    Loan_IO_to_PI!AR$24="P&amp;I",
    Loan_IO_to_PI!AQ$24="IO",
    Loan_IO_to_PI!AR$28&gt;0
  ),
  Loan_IO_to_PI!$B$8,
  0
)</f>
        <v>0</v>
      </c>
      <c r="AH73" s="37">
        <f>IF(
  AND(
    Loan_IO_to_PI!AS$24="P&amp;I",
    Loan_IO_to_PI!AR$24="IO",
    Loan_IO_to_PI!AS$28&gt;0
  ),
  Loan_IO_to_PI!$B$8,
  0
)</f>
        <v>0</v>
      </c>
      <c r="AI73" s="37">
        <f>IF(
  AND(
    Loan_IO_to_PI!AT$24="P&amp;I",
    Loan_IO_to_PI!AS$24="IO",
    Loan_IO_to_PI!AT$28&gt;0
  ),
  Loan_IO_to_PI!$B$8,
  0
)</f>
        <v>0</v>
      </c>
      <c r="AJ73" s="37">
        <f>IF(
  AND(
    Loan_IO_to_PI!AU$24="P&amp;I",
    Loan_IO_to_PI!AT$24="IO",
    Loan_IO_to_PI!AU$28&gt;0
  ),
  Loan_IO_to_PI!$B$8,
  0
)</f>
        <v>0</v>
      </c>
      <c r="AK73" s="37">
        <f>IF(
  AND(
    Loan_IO_to_PI!AV$24="P&amp;I",
    Loan_IO_to_PI!AU$24="IO",
    Loan_IO_to_PI!AV$28&gt;0
  ),
  Loan_IO_to_PI!$B$8,
  0
)</f>
        <v>0</v>
      </c>
      <c r="AL73" s="37">
        <f>IF(
  AND(
    Loan_IO_to_PI!AW$24="P&amp;I",
    Loan_IO_to_PI!AV$24="IO",
    Loan_IO_to_PI!AW$28&gt;0
  ),
  Loan_IO_to_PI!$B$8,
  0
)</f>
        <v>0</v>
      </c>
      <c r="AM73" s="37">
        <f>IF(
  AND(
    Loan_IO_to_PI!AX$24="P&amp;I",
    Loan_IO_to_PI!AW$24="IO",
    Loan_IO_to_PI!AX$28&gt;0
  ),
  Loan_IO_to_PI!$B$8,
  0
)</f>
        <v>0</v>
      </c>
      <c r="AN73" s="37">
        <f>IF(
  AND(
    Loan_IO_to_PI!AY$24="P&amp;I",
    Loan_IO_to_PI!AX$24="IO",
    Loan_IO_to_PI!AY$28&gt;0
  ),
  Loan_IO_to_PI!$B$8,
  0
)</f>
        <v>0</v>
      </c>
      <c r="AO73" s="37">
        <f>IF(
  AND(
    Loan_IO_to_PI!AZ$24="P&amp;I",
    Loan_IO_to_PI!AY$24="IO",
    Loan_IO_to_PI!AZ$28&gt;0
  ),
  Loan_IO_to_PI!$B$8,
  0
)</f>
        <v>0</v>
      </c>
      <c r="AP73" s="37">
        <f>IF(
  AND(
    Loan_IO_to_PI!BA$24="P&amp;I",
    Loan_IO_to_PI!AZ$24="IO",
    Loan_IO_to_PI!BA$28&gt;0
  ),
  Loan_IO_to_PI!$B$8,
  0
)</f>
        <v>0</v>
      </c>
      <c r="AQ73" s="37">
        <f>IF(
  AND(
    Loan_IO_to_PI!BB$24="P&amp;I",
    Loan_IO_to_PI!BA$24="IO",
    Loan_IO_to_PI!BB$28&gt;0
  ),
  Loan_IO_to_PI!$B$8,
  0
)</f>
        <v>0</v>
      </c>
      <c r="AR73" s="37">
        <f>IF(
  AND(
    Loan_IO_to_PI!BC$24="P&amp;I",
    Loan_IO_to_PI!BB$24="IO",
    Loan_IO_to_PI!BC$28&gt;0
  ),
  Loan_IO_to_PI!$B$8,
  0
)</f>
        <v>0</v>
      </c>
      <c r="AS73" s="37">
        <f>IF(
  AND(
    Loan_IO_to_PI!BD$24="P&amp;I",
    Loan_IO_to_PI!BC$24="IO",
    Loan_IO_to_PI!BD$28&gt;0
  ),
  Loan_IO_to_PI!$B$8,
  0
)</f>
        <v>0</v>
      </c>
      <c r="AT73" s="37">
        <f>IF(
  AND(
    Loan_IO_to_PI!BE$24="P&amp;I",
    Loan_IO_to_PI!BD$24="IO",
    Loan_IO_to_PI!BE$28&gt;0
  ),
  Loan_IO_to_PI!$B$8,
  0
)</f>
        <v>0</v>
      </c>
      <c r="AU73" s="37">
        <f>IF(
  AND(
    Loan_IO_to_PI!BF$24="P&amp;I",
    Loan_IO_to_PI!BE$24="IO",
    Loan_IO_to_PI!BF$28&gt;0
  ),
  Loan_IO_to_PI!$B$8,
  0
)</f>
        <v>0</v>
      </c>
      <c r="AV73" s="37">
        <f>IF(
  AND(
    Loan_IO_to_PI!BG$24="P&amp;I",
    Loan_IO_to_PI!BF$24="IO",
    Loan_IO_to_PI!BG$28&gt;0
  ),
  Loan_IO_to_PI!$B$8,
  0
)</f>
        <v>0</v>
      </c>
      <c r="AW73" s="37">
        <f>IF(
  AND(
    Loan_IO_to_PI!BH$24="P&amp;I",
    Loan_IO_to_PI!BG$24="IO",
    Loan_IO_to_PI!BH$28&gt;0
  ),
  Loan_IO_to_PI!$B$8,
  0
)</f>
        <v>0</v>
      </c>
      <c r="AX73" s="37">
        <f>IF(
  AND(
    Loan_IO_to_PI!BI$24="P&amp;I",
    Loan_IO_to_PI!BH$24="IO",
    Loan_IO_to_PI!BI$28&gt;0
  ),
  Loan_IO_to_PI!$B$8,
  0
)</f>
        <v>0</v>
      </c>
      <c r="AY73" s="37">
        <f>IF(
  AND(
    Loan_IO_to_PI!BJ$24="P&amp;I",
    Loan_IO_to_PI!BI$24="IO",
    Loan_IO_to_PI!BJ$28&gt;0
  ),
  Loan_IO_to_PI!$B$8,
  0
)</f>
        <v>0</v>
      </c>
      <c r="AZ73" s="37">
        <f>IF(
  AND(
    Loan_IO_to_PI!BK$24="P&amp;I",
    Loan_IO_to_PI!BJ$24="IO",
    Loan_IO_to_PI!BK$28&gt;0
  ),
  Loan_IO_to_PI!$B$8,
  0
)</f>
        <v>0</v>
      </c>
    </row>
    <row r="74" spans="1:52" s="37" customFormat="1">
      <c r="A74" s="78" t="s">
        <v>332</v>
      </c>
      <c r="B74" s="88"/>
      <c r="C74" s="88">
        <f>0</f>
        <v>0</v>
      </c>
      <c r="D74" s="37">
        <f>C74* (1 + Scenarios!$K$10)</f>
        <v>0</v>
      </c>
      <c r="E74" s="37">
        <f>D74* (1 + Scenarios!$K$10)</f>
        <v>0</v>
      </c>
      <c r="F74" s="37">
        <f>E74* (1 + Scenarios!$K$10)</f>
        <v>0</v>
      </c>
      <c r="G74" s="37">
        <f>F74* (1 + Scenarios!$K$10)</f>
        <v>0</v>
      </c>
      <c r="H74" s="37">
        <f>G74* (1 + Scenarios!$K$10)</f>
        <v>0</v>
      </c>
      <c r="I74" s="37">
        <f>H74* (1 + Scenarios!$K$10)</f>
        <v>0</v>
      </c>
      <c r="J74" s="37">
        <f>I74* (1 + Scenarios!$K$10)</f>
        <v>0</v>
      </c>
      <c r="K74" s="37">
        <f>J74* (1 + Scenarios!$K$10)</f>
        <v>0</v>
      </c>
      <c r="L74" s="37">
        <f>K74* (1 + Scenarios!$K$10)</f>
        <v>0</v>
      </c>
      <c r="M74" s="37">
        <f>L74* (1 + Scenarios!$K$10)</f>
        <v>0</v>
      </c>
      <c r="N74" s="37">
        <f>M74* (1 + Scenarios!$K$10)</f>
        <v>0</v>
      </c>
      <c r="O74" s="37">
        <f>N74* (1 + Scenarios!$K$10)</f>
        <v>0</v>
      </c>
      <c r="P74" s="37">
        <f>O74* (1 + Scenarios!$K$10)</f>
        <v>0</v>
      </c>
      <c r="Q74" s="37">
        <f>P74* (1 + Scenarios!$K$10)</f>
        <v>0</v>
      </c>
      <c r="R74" s="37">
        <f>Q74* (1 + Scenarios!$K$10)</f>
        <v>0</v>
      </c>
      <c r="S74" s="37">
        <f>R74* (1 + Scenarios!$K$10)</f>
        <v>0</v>
      </c>
      <c r="T74" s="37">
        <f>S74* (1 + Scenarios!$K$10)</f>
        <v>0</v>
      </c>
      <c r="U74" s="37">
        <f>T74* (1 + Scenarios!$K$10)</f>
        <v>0</v>
      </c>
      <c r="V74" s="37">
        <f>U74* (1 + Scenarios!$K$10)</f>
        <v>0</v>
      </c>
      <c r="W74" s="37">
        <f>V74* (1 + Scenarios!$K$10)</f>
        <v>0</v>
      </c>
      <c r="X74" s="37">
        <f>W74* (1 + Scenarios!$K$10)</f>
        <v>0</v>
      </c>
      <c r="Y74" s="37">
        <f>X74* (1 + Scenarios!$K$10)</f>
        <v>0</v>
      </c>
      <c r="Z74" s="37">
        <f>Y74* (1 + Scenarios!$K$10)</f>
        <v>0</v>
      </c>
      <c r="AA74" s="37">
        <f>Z74* (1 + Scenarios!$K$10)</f>
        <v>0</v>
      </c>
      <c r="AB74" s="37">
        <f>AA74* (1 + Scenarios!$K$10)</f>
        <v>0</v>
      </c>
      <c r="AC74" s="37">
        <f>AB74* (1 + Scenarios!$K$10)</f>
        <v>0</v>
      </c>
      <c r="AD74" s="37">
        <f>AC74* (1 + Scenarios!$K$10)</f>
        <v>0</v>
      </c>
      <c r="AE74" s="37">
        <f>AD74* (1 + Scenarios!$K$10)</f>
        <v>0</v>
      </c>
      <c r="AF74" s="37">
        <f>AE74* (1 + Scenarios!$K$10)</f>
        <v>0</v>
      </c>
      <c r="AG74" s="37">
        <f>AF74* (1 + Scenarios!$K$10)</f>
        <v>0</v>
      </c>
      <c r="AH74" s="37">
        <f>AG74* (1 + Scenarios!$K$10)</f>
        <v>0</v>
      </c>
      <c r="AI74" s="37">
        <f>AH74* (1 + Scenarios!$K$10)</f>
        <v>0</v>
      </c>
      <c r="AJ74" s="37">
        <f>AI74* (1 + Scenarios!$K$10)</f>
        <v>0</v>
      </c>
      <c r="AK74" s="37">
        <f>AJ74* (1 + Scenarios!$K$10)</f>
        <v>0</v>
      </c>
      <c r="AL74" s="37">
        <f>AK74* (1 + Scenarios!$K$10)</f>
        <v>0</v>
      </c>
      <c r="AM74" s="37">
        <f>AL74* (1 + Scenarios!$K$10)</f>
        <v>0</v>
      </c>
      <c r="AN74" s="37">
        <f>AM74* (1 + Scenarios!$K$10)</f>
        <v>0</v>
      </c>
      <c r="AO74" s="37">
        <f>AN74* (1 + Scenarios!$K$10)</f>
        <v>0</v>
      </c>
      <c r="AP74" s="37">
        <f>AO74* (1 + Scenarios!$K$10)</f>
        <v>0</v>
      </c>
      <c r="AQ74" s="37">
        <f>AP74* (1 + Scenarios!$K$10)</f>
        <v>0</v>
      </c>
      <c r="AR74" s="37">
        <f>AQ74* (1 + Scenarios!$K$10)</f>
        <v>0</v>
      </c>
      <c r="AS74" s="37">
        <f>AR74* (1 + Scenarios!$K$10)</f>
        <v>0</v>
      </c>
      <c r="AT74" s="37">
        <f>AS74* (1 + Scenarios!$K$10)</f>
        <v>0</v>
      </c>
      <c r="AU74" s="37">
        <f>AT74* (1 + Scenarios!$K$10)</f>
        <v>0</v>
      </c>
      <c r="AV74" s="37">
        <f>AU74* (1 + Scenarios!$K$10)</f>
        <v>0</v>
      </c>
      <c r="AW74" s="37">
        <f>AV74* (1 + Scenarios!$K$10)</f>
        <v>0</v>
      </c>
      <c r="AX74" s="37">
        <f>AW74* (1 + Scenarios!$K$10)</f>
        <v>0</v>
      </c>
      <c r="AY74" s="37">
        <f>AX74* (1 + Scenarios!$K$10)</f>
        <v>0</v>
      </c>
      <c r="AZ74" s="37">
        <f>AY74* (1 + Scenarios!$K$10)</f>
        <v>0</v>
      </c>
    </row>
    <row r="75" spans="1:52" s="37" customFormat="1">
      <c r="A75" s="77" t="s">
        <v>333</v>
      </c>
    </row>
    <row r="76" spans="1:52" s="37" customFormat="1">
      <c r="A76" s="78" t="s">
        <v>334</v>
      </c>
      <c r="B76" s="88"/>
      <c r="C76" s="88">
        <f>IF(
  MOD(C50-1, Assumptions!$B$57)=0,
  Assumptions!$B$54+Assumptions!$B$55,
  0
)</f>
        <v>1462</v>
      </c>
      <c r="D76" s="37">
        <f>IF(
  MOD(D50-1, Assumptions!$B$57)=0,
  Assumptions!$B$54+Assumptions!$B$55,
  0
)</f>
        <v>0</v>
      </c>
      <c r="E76" s="37">
        <f>IF(
  MOD(E50-1, Assumptions!$B$57)=0,
  Assumptions!$B$54+Assumptions!$B$55,
  0
)</f>
        <v>0</v>
      </c>
      <c r="F76" s="37">
        <f>IF(
  MOD(F50-1, Assumptions!$B$57)=0,
  Assumptions!$B$54+Assumptions!$B$55,
  0
)</f>
        <v>0</v>
      </c>
      <c r="G76" s="37">
        <f>IF(
  MOD(G50-1, Assumptions!$B$57)=0,
  Assumptions!$B$54+Assumptions!$B$55,
  0
)</f>
        <v>1462</v>
      </c>
      <c r="H76" s="37">
        <f>IF(
  MOD(H50-1, Assumptions!$B$57)=0,
  Assumptions!$B$54+Assumptions!$B$55,
  0
)</f>
        <v>0</v>
      </c>
      <c r="I76" s="37">
        <f>IF(
  MOD(I50-1, Assumptions!$B$57)=0,
  Assumptions!$B$54+Assumptions!$B$55,
  0
)</f>
        <v>0</v>
      </c>
      <c r="J76" s="37">
        <f>IF(
  MOD(J50-1, Assumptions!$B$57)=0,
  Assumptions!$B$54+Assumptions!$B$55,
  0
)</f>
        <v>0</v>
      </c>
      <c r="K76" s="37">
        <f>IF(
  MOD(K50-1, Assumptions!$B$57)=0,
  Assumptions!$B$54+Assumptions!$B$55,
  0
)</f>
        <v>1462</v>
      </c>
      <c r="L76" s="37">
        <f>IF(
  MOD(L50-1, Assumptions!$B$57)=0,
  Assumptions!$B$54+Assumptions!$B$55,
  0
)</f>
        <v>0</v>
      </c>
      <c r="M76" s="37">
        <f>IF(
  MOD(M50-1, Assumptions!$B$57)=0,
  Assumptions!$B$54+Assumptions!$B$55,
  0
)</f>
        <v>0</v>
      </c>
      <c r="N76" s="37">
        <f>IF(
  MOD(N50-1, Assumptions!$B$57)=0,
  Assumptions!$B$54+Assumptions!$B$55,
  0
)</f>
        <v>0</v>
      </c>
      <c r="O76" s="37">
        <f>IF(
  MOD(O50-1, Assumptions!$B$57)=0,
  Assumptions!$B$54+Assumptions!$B$55,
  0
)</f>
        <v>1462</v>
      </c>
      <c r="P76" s="37">
        <f>IF(
  MOD(P50-1, Assumptions!$B$57)=0,
  Assumptions!$B$54+Assumptions!$B$55,
  0
)</f>
        <v>0</v>
      </c>
      <c r="Q76" s="37">
        <f>IF(
  MOD(Q50-1, Assumptions!$B$57)=0,
  Assumptions!$B$54+Assumptions!$B$55,
  0
)</f>
        <v>0</v>
      </c>
      <c r="R76" s="37">
        <f>IF(
  MOD(R50-1, Assumptions!$B$57)=0,
  Assumptions!$B$54+Assumptions!$B$55,
  0
)</f>
        <v>0</v>
      </c>
      <c r="S76" s="37">
        <f>IF(
  MOD(S50-1, Assumptions!$B$57)=0,
  Assumptions!$B$54+Assumptions!$B$55,
  0
)</f>
        <v>1462</v>
      </c>
      <c r="T76" s="37">
        <f>IF(
  MOD(T50-1, Assumptions!$B$57)=0,
  Assumptions!$B$54+Assumptions!$B$55,
  0
)</f>
        <v>0</v>
      </c>
      <c r="U76" s="37">
        <f>IF(
  MOD(U50-1, Assumptions!$B$57)=0,
  Assumptions!$B$54+Assumptions!$B$55,
  0
)</f>
        <v>0</v>
      </c>
      <c r="V76" s="37">
        <f>IF(
  MOD(V50-1, Assumptions!$B$57)=0,
  Assumptions!$B$54+Assumptions!$B$55,
  0
)</f>
        <v>0</v>
      </c>
      <c r="W76" s="37">
        <f>IF(
  MOD(W50-1, Assumptions!$B$57)=0,
  Assumptions!$B$54+Assumptions!$B$55,
  0
)</f>
        <v>1462</v>
      </c>
      <c r="X76" s="37">
        <f>IF(
  MOD(X50-1, Assumptions!$B$57)=0,
  Assumptions!$B$54+Assumptions!$B$55,
  0
)</f>
        <v>0</v>
      </c>
      <c r="Y76" s="37">
        <f>IF(
  MOD(Y50-1, Assumptions!$B$57)=0,
  Assumptions!$B$54+Assumptions!$B$55,
  0
)</f>
        <v>0</v>
      </c>
      <c r="Z76" s="37">
        <f>IF(
  MOD(Z50-1, Assumptions!$B$57)=0,
  Assumptions!$B$54+Assumptions!$B$55,
  0
)</f>
        <v>0</v>
      </c>
      <c r="AA76" s="37">
        <f>IF(
  MOD(AA50-1, Assumptions!$B$57)=0,
  Assumptions!$B$54+Assumptions!$B$55,
  0
)</f>
        <v>1462</v>
      </c>
      <c r="AB76" s="37">
        <f>IF(
  MOD(AB50-1, Assumptions!$B$57)=0,
  Assumptions!$B$54+Assumptions!$B$55,
  0
)</f>
        <v>0</v>
      </c>
      <c r="AC76" s="37">
        <f>IF(
  MOD(AC50-1, Assumptions!$B$57)=0,
  Assumptions!$B$54+Assumptions!$B$55,
  0
)</f>
        <v>0</v>
      </c>
      <c r="AD76" s="37">
        <f>IF(
  MOD(AD50-1, Assumptions!$B$57)=0,
  Assumptions!$B$54+Assumptions!$B$55,
  0
)</f>
        <v>0</v>
      </c>
      <c r="AE76" s="37">
        <f>IF(
  MOD(AE50-1, Assumptions!$B$57)=0,
  Assumptions!$B$54+Assumptions!$B$55,
  0
)</f>
        <v>1462</v>
      </c>
      <c r="AF76" s="37">
        <f>IF(
  MOD(AF50-1, Assumptions!$B$57)=0,
  Assumptions!$B$54+Assumptions!$B$55,
  0
)</f>
        <v>0</v>
      </c>
      <c r="AG76" s="37">
        <f>IF(
  MOD(AG50-1, Assumptions!$B$57)=0,
  Assumptions!$B$54+Assumptions!$B$55,
  0
)</f>
        <v>0</v>
      </c>
      <c r="AH76" s="37">
        <f>IF(
  MOD(AH50-1, Assumptions!$B$57)=0,
  Assumptions!$B$54+Assumptions!$B$55,
  0
)</f>
        <v>0</v>
      </c>
      <c r="AI76" s="37">
        <f>IF(
  MOD(AI50-1, Assumptions!$B$57)=0,
  Assumptions!$B$54+Assumptions!$B$55,
  0
)</f>
        <v>1462</v>
      </c>
      <c r="AJ76" s="37">
        <f>IF(
  MOD(AJ50-1, Assumptions!$B$57)=0,
  Assumptions!$B$54+Assumptions!$B$55,
  0
)</f>
        <v>0</v>
      </c>
      <c r="AK76" s="37">
        <f>IF(
  MOD(AK50-1, Assumptions!$B$57)=0,
  Assumptions!$B$54+Assumptions!$B$55,
  0
)</f>
        <v>0</v>
      </c>
      <c r="AL76" s="37">
        <f>IF(
  MOD(AL50-1, Assumptions!$B$57)=0,
  Assumptions!$B$54+Assumptions!$B$55,
  0
)</f>
        <v>0</v>
      </c>
      <c r="AM76" s="37">
        <f>IF(
  MOD(AM50-1, Assumptions!$B$57)=0,
  Assumptions!$B$54+Assumptions!$B$55,
  0
)</f>
        <v>1462</v>
      </c>
      <c r="AN76" s="37">
        <f>IF(
  MOD(AN50-1, Assumptions!$B$57)=0,
  Assumptions!$B$54+Assumptions!$B$55,
  0
)</f>
        <v>0</v>
      </c>
      <c r="AO76" s="37">
        <f>IF(
  MOD(AO50-1, Assumptions!$B$57)=0,
  Assumptions!$B$54+Assumptions!$B$55,
  0
)</f>
        <v>0</v>
      </c>
      <c r="AP76" s="37">
        <f>IF(
  MOD(AP50-1, Assumptions!$B$57)=0,
  Assumptions!$B$54+Assumptions!$B$55,
  0
)</f>
        <v>0</v>
      </c>
      <c r="AQ76" s="37">
        <f>IF(
  MOD(AQ50-1, Assumptions!$B$57)=0,
  Assumptions!$B$54+Assumptions!$B$55,
  0
)</f>
        <v>1462</v>
      </c>
      <c r="AR76" s="37">
        <f>IF(
  MOD(AR50-1, Assumptions!$B$57)=0,
  Assumptions!$B$54+Assumptions!$B$55,
  0
)</f>
        <v>0</v>
      </c>
      <c r="AS76" s="37">
        <f>IF(
  MOD(AS50-1, Assumptions!$B$57)=0,
  Assumptions!$B$54+Assumptions!$B$55,
  0
)</f>
        <v>0</v>
      </c>
      <c r="AT76" s="37">
        <f>IF(
  MOD(AT50-1, Assumptions!$B$57)=0,
  Assumptions!$B$54+Assumptions!$B$55,
  0
)</f>
        <v>0</v>
      </c>
      <c r="AU76" s="37">
        <f>IF(
  MOD(AU50-1, Assumptions!$B$57)=0,
  Assumptions!$B$54+Assumptions!$B$55,
  0
)</f>
        <v>1462</v>
      </c>
      <c r="AV76" s="37">
        <f>IF(
  MOD(AV50-1, Assumptions!$B$57)=0,
  Assumptions!$B$54+Assumptions!$B$55,
  0
)</f>
        <v>0</v>
      </c>
      <c r="AW76" s="37">
        <f>IF(
  MOD(AW50-1, Assumptions!$B$57)=0,
  Assumptions!$B$54+Assumptions!$B$55,
  0
)</f>
        <v>0</v>
      </c>
      <c r="AX76" s="37">
        <f>IF(
  MOD(AX50-1, Assumptions!$B$57)=0,
  Assumptions!$B$54+Assumptions!$B$55,
  0
)</f>
        <v>0</v>
      </c>
      <c r="AY76" s="37">
        <f>IF(
  MOD(AY50-1, Assumptions!$B$57)=0,
  Assumptions!$B$54+Assumptions!$B$55,
  0
)</f>
        <v>1462</v>
      </c>
      <c r="AZ76" s="37">
        <f>IF(
  MOD(AZ50-1, Assumptions!$B$57)=0,
  Assumptions!$B$54+Assumptions!$B$55,
  0
)</f>
        <v>0</v>
      </c>
    </row>
    <row r="77" spans="1:52" s="37" customFormat="1">
      <c r="A77" s="78" t="s">
        <v>335</v>
      </c>
      <c r="B77" s="88"/>
      <c r="C77" s="88">
        <f>0</f>
        <v>0</v>
      </c>
      <c r="D77" s="37">
        <f>C77* (1 + Scenarios!$K$10)</f>
        <v>0</v>
      </c>
      <c r="E77" s="37">
        <f>D77* (1 + Scenarios!$K$10)</f>
        <v>0</v>
      </c>
      <c r="F77" s="37">
        <f>E77* (1 + Scenarios!$K$10)</f>
        <v>0</v>
      </c>
      <c r="G77" s="37">
        <f>F77* (1 + Scenarios!$K$10)</f>
        <v>0</v>
      </c>
      <c r="H77" s="37">
        <f>G77* (1 + Scenarios!$K$10)</f>
        <v>0</v>
      </c>
      <c r="I77" s="37">
        <f>H77* (1 + Scenarios!$K$10)</f>
        <v>0</v>
      </c>
      <c r="J77" s="37">
        <f>I77* (1 + Scenarios!$K$10)</f>
        <v>0</v>
      </c>
      <c r="K77" s="37">
        <f>J77* (1 + Scenarios!$K$10)</f>
        <v>0</v>
      </c>
      <c r="L77" s="37">
        <f>K77* (1 + Scenarios!$K$10)</f>
        <v>0</v>
      </c>
      <c r="M77" s="37">
        <f>L77* (1 + Scenarios!$K$10)</f>
        <v>0</v>
      </c>
      <c r="N77" s="37">
        <f>M77* (1 + Scenarios!$K$10)</f>
        <v>0</v>
      </c>
      <c r="O77" s="37">
        <f>N77* (1 + Scenarios!$K$10)</f>
        <v>0</v>
      </c>
      <c r="P77" s="37">
        <f>O77* (1 + Scenarios!$K$10)</f>
        <v>0</v>
      </c>
      <c r="Q77" s="37">
        <f>P77* (1 + Scenarios!$K$10)</f>
        <v>0</v>
      </c>
      <c r="R77" s="37">
        <f>Q77* (1 + Scenarios!$K$10)</f>
        <v>0</v>
      </c>
      <c r="S77" s="37">
        <f>R77* (1 + Scenarios!$K$10)</f>
        <v>0</v>
      </c>
      <c r="T77" s="37">
        <f>S77* (1 + Scenarios!$K$10)</f>
        <v>0</v>
      </c>
      <c r="U77" s="37">
        <f>T77* (1 + Scenarios!$K$10)</f>
        <v>0</v>
      </c>
      <c r="V77" s="37">
        <f>U77* (1 + Scenarios!$K$10)</f>
        <v>0</v>
      </c>
      <c r="W77" s="37">
        <f>V77* (1 + Scenarios!$K$10)</f>
        <v>0</v>
      </c>
      <c r="X77" s="37">
        <f>W77* (1 + Scenarios!$K$10)</f>
        <v>0</v>
      </c>
      <c r="Y77" s="37">
        <f>X77* (1 + Scenarios!$K$10)</f>
        <v>0</v>
      </c>
      <c r="Z77" s="37">
        <f>Y77* (1 + Scenarios!$K$10)</f>
        <v>0</v>
      </c>
      <c r="AA77" s="37">
        <f>Z77* (1 + Scenarios!$K$10)</f>
        <v>0</v>
      </c>
      <c r="AB77" s="37">
        <f>AA77* (1 + Scenarios!$K$10)</f>
        <v>0</v>
      </c>
      <c r="AC77" s="37">
        <f>AB77* (1 + Scenarios!$K$10)</f>
        <v>0</v>
      </c>
      <c r="AD77" s="37">
        <f>AC77* (1 + Scenarios!$K$10)</f>
        <v>0</v>
      </c>
      <c r="AE77" s="37">
        <f>AD77* (1 + Scenarios!$K$10)</f>
        <v>0</v>
      </c>
      <c r="AF77" s="37">
        <f>AE77* (1 + Scenarios!$K$10)</f>
        <v>0</v>
      </c>
      <c r="AG77" s="37">
        <f>AF77* (1 + Scenarios!$K$10)</f>
        <v>0</v>
      </c>
      <c r="AH77" s="37">
        <f>AG77* (1 + Scenarios!$K$10)</f>
        <v>0</v>
      </c>
      <c r="AI77" s="37">
        <f>AH77* (1 + Scenarios!$K$10)</f>
        <v>0</v>
      </c>
      <c r="AJ77" s="37">
        <f>AI77* (1 + Scenarios!$K$10)</f>
        <v>0</v>
      </c>
      <c r="AK77" s="37">
        <f>AJ77* (1 + Scenarios!$K$10)</f>
        <v>0</v>
      </c>
      <c r="AL77" s="37">
        <f>AK77* (1 + Scenarios!$K$10)</f>
        <v>0</v>
      </c>
      <c r="AM77" s="37">
        <f>AL77* (1 + Scenarios!$K$10)</f>
        <v>0</v>
      </c>
      <c r="AN77" s="37">
        <f>AM77* (1 + Scenarios!$K$10)</f>
        <v>0</v>
      </c>
      <c r="AO77" s="37">
        <f>AN77* (1 + Scenarios!$K$10)</f>
        <v>0</v>
      </c>
      <c r="AP77" s="37">
        <f>AO77* (1 + Scenarios!$K$10)</f>
        <v>0</v>
      </c>
      <c r="AQ77" s="37">
        <f>AP77* (1 + Scenarios!$K$10)</f>
        <v>0</v>
      </c>
      <c r="AR77" s="37">
        <f>AQ77* (1 + Scenarios!$K$10)</f>
        <v>0</v>
      </c>
      <c r="AS77" s="37">
        <f>AR77* (1 + Scenarios!$K$10)</f>
        <v>0</v>
      </c>
      <c r="AT77" s="37">
        <f>AS77* (1 + Scenarios!$K$10)</f>
        <v>0</v>
      </c>
      <c r="AU77" s="37">
        <f>AT77* (1 + Scenarios!$K$10)</f>
        <v>0</v>
      </c>
      <c r="AV77" s="37">
        <f>AU77* (1 + Scenarios!$K$10)</f>
        <v>0</v>
      </c>
      <c r="AW77" s="37">
        <f>AV77* (1 + Scenarios!$K$10)</f>
        <v>0</v>
      </c>
      <c r="AX77" s="37">
        <f>AW77* (1 + Scenarios!$K$10)</f>
        <v>0</v>
      </c>
      <c r="AY77" s="37">
        <f>AX77* (1 + Scenarios!$K$10)</f>
        <v>0</v>
      </c>
      <c r="AZ77" s="37">
        <f>AY77* (1 + Scenarios!$K$10)</f>
        <v>0</v>
      </c>
    </row>
    <row r="78" spans="1:52" s="37" customFormat="1">
      <c r="A78" s="78" t="s">
        <v>336</v>
      </c>
      <c r="B78" s="88"/>
      <c r="C78" s="88">
        <f>0</f>
        <v>0</v>
      </c>
      <c r="D78" s="37">
        <f>C78* (1 + Scenarios!$K$10)</f>
        <v>0</v>
      </c>
      <c r="E78" s="37">
        <f>D78* (1 + Scenarios!$K$10)</f>
        <v>0</v>
      </c>
      <c r="F78" s="37">
        <f>E78* (1 + Scenarios!$K$10)</f>
        <v>0</v>
      </c>
      <c r="G78" s="37">
        <f>F78* (1 + Scenarios!$K$10)</f>
        <v>0</v>
      </c>
      <c r="H78" s="37">
        <f>G78* (1 + Scenarios!$K$10)</f>
        <v>0</v>
      </c>
      <c r="I78" s="37">
        <f>H78* (1 + Scenarios!$K$10)</f>
        <v>0</v>
      </c>
      <c r="J78" s="37">
        <f>I78* (1 + Scenarios!$K$10)</f>
        <v>0</v>
      </c>
      <c r="K78" s="37">
        <f>J78* (1 + Scenarios!$K$10)</f>
        <v>0</v>
      </c>
      <c r="L78" s="37">
        <f>K78* (1 + Scenarios!$K$10)</f>
        <v>0</v>
      </c>
      <c r="M78" s="37">
        <f>L78* (1 + Scenarios!$K$10)</f>
        <v>0</v>
      </c>
      <c r="N78" s="37">
        <f>M78* (1 + Scenarios!$K$10)</f>
        <v>0</v>
      </c>
      <c r="O78" s="37">
        <f>N78* (1 + Scenarios!$K$10)</f>
        <v>0</v>
      </c>
      <c r="P78" s="37">
        <f>O78* (1 + Scenarios!$K$10)</f>
        <v>0</v>
      </c>
      <c r="Q78" s="37">
        <f>P78* (1 + Scenarios!$K$10)</f>
        <v>0</v>
      </c>
      <c r="R78" s="37">
        <f>Q78* (1 + Scenarios!$K$10)</f>
        <v>0</v>
      </c>
      <c r="S78" s="37">
        <f>R78* (1 + Scenarios!$K$10)</f>
        <v>0</v>
      </c>
      <c r="T78" s="37">
        <f>S78* (1 + Scenarios!$K$10)</f>
        <v>0</v>
      </c>
      <c r="U78" s="37">
        <f>T78* (1 + Scenarios!$K$10)</f>
        <v>0</v>
      </c>
      <c r="V78" s="37">
        <f>U78* (1 + Scenarios!$K$10)</f>
        <v>0</v>
      </c>
      <c r="W78" s="37">
        <f>V78* (1 + Scenarios!$K$10)</f>
        <v>0</v>
      </c>
      <c r="X78" s="37">
        <f>W78* (1 + Scenarios!$K$10)</f>
        <v>0</v>
      </c>
      <c r="Y78" s="37">
        <f>X78* (1 + Scenarios!$K$10)</f>
        <v>0</v>
      </c>
      <c r="Z78" s="37">
        <f>Y78* (1 + Scenarios!$K$10)</f>
        <v>0</v>
      </c>
      <c r="AA78" s="37">
        <f>Z78* (1 + Scenarios!$K$10)</f>
        <v>0</v>
      </c>
      <c r="AB78" s="37">
        <f>AA78* (1 + Scenarios!$K$10)</f>
        <v>0</v>
      </c>
      <c r="AC78" s="37">
        <f>AB78* (1 + Scenarios!$K$10)</f>
        <v>0</v>
      </c>
      <c r="AD78" s="37">
        <f>AC78* (1 + Scenarios!$K$10)</f>
        <v>0</v>
      </c>
      <c r="AE78" s="37">
        <f>AD78* (1 + Scenarios!$K$10)</f>
        <v>0</v>
      </c>
      <c r="AF78" s="37">
        <f>AE78* (1 + Scenarios!$K$10)</f>
        <v>0</v>
      </c>
      <c r="AG78" s="37">
        <f>AF78* (1 + Scenarios!$K$10)</f>
        <v>0</v>
      </c>
      <c r="AH78" s="37">
        <f>AG78* (1 + Scenarios!$K$10)</f>
        <v>0</v>
      </c>
      <c r="AI78" s="37">
        <f>AH78* (1 + Scenarios!$K$10)</f>
        <v>0</v>
      </c>
      <c r="AJ78" s="37">
        <f>AI78* (1 + Scenarios!$K$10)</f>
        <v>0</v>
      </c>
      <c r="AK78" s="37">
        <f>AJ78* (1 + Scenarios!$K$10)</f>
        <v>0</v>
      </c>
      <c r="AL78" s="37">
        <f>AK78* (1 + Scenarios!$K$10)</f>
        <v>0</v>
      </c>
      <c r="AM78" s="37">
        <f>AL78* (1 + Scenarios!$K$10)</f>
        <v>0</v>
      </c>
      <c r="AN78" s="37">
        <f>AM78* (1 + Scenarios!$K$10)</f>
        <v>0</v>
      </c>
      <c r="AO78" s="37">
        <f>AN78* (1 + Scenarios!$K$10)</f>
        <v>0</v>
      </c>
      <c r="AP78" s="37">
        <f>AO78* (1 + Scenarios!$K$10)</f>
        <v>0</v>
      </c>
      <c r="AQ78" s="37">
        <f>AP78* (1 + Scenarios!$K$10)</f>
        <v>0</v>
      </c>
      <c r="AR78" s="37">
        <f>AQ78* (1 + Scenarios!$K$10)</f>
        <v>0</v>
      </c>
      <c r="AS78" s="37">
        <f>AR78* (1 + Scenarios!$K$10)</f>
        <v>0</v>
      </c>
      <c r="AT78" s="37">
        <f>AS78* (1 + Scenarios!$K$10)</f>
        <v>0</v>
      </c>
      <c r="AU78" s="37">
        <f>AT78* (1 + Scenarios!$K$10)</f>
        <v>0</v>
      </c>
      <c r="AV78" s="37">
        <f>AU78* (1 + Scenarios!$K$10)</f>
        <v>0</v>
      </c>
      <c r="AW78" s="37">
        <f>AV78* (1 + Scenarios!$K$10)</f>
        <v>0</v>
      </c>
      <c r="AX78" s="37">
        <f>AW78* (1 + Scenarios!$K$10)</f>
        <v>0</v>
      </c>
      <c r="AY78" s="37">
        <f>AX78* (1 + Scenarios!$K$10)</f>
        <v>0</v>
      </c>
      <c r="AZ78" s="37">
        <f>AY78* (1 + Scenarios!$K$10)</f>
        <v>0</v>
      </c>
    </row>
    <row r="79" spans="1:52" s="37" customFormat="1">
      <c r="A79" s="78" t="s">
        <v>337</v>
      </c>
      <c r="B79" s="88"/>
      <c r="C79" s="88">
        <f>0</f>
        <v>0</v>
      </c>
      <c r="D79" s="37">
        <f>C79* (1 + Scenarios!$K$10)</f>
        <v>0</v>
      </c>
      <c r="E79" s="37">
        <f>D79* (1 + Scenarios!$K$10)</f>
        <v>0</v>
      </c>
      <c r="F79" s="37">
        <f>E79* (1 + Scenarios!$K$10)</f>
        <v>0</v>
      </c>
      <c r="G79" s="37">
        <f>F79* (1 + Scenarios!$K$10)</f>
        <v>0</v>
      </c>
      <c r="H79" s="37">
        <f>G79* (1 + Scenarios!$K$10)</f>
        <v>0</v>
      </c>
      <c r="I79" s="37">
        <f>H79* (1 + Scenarios!$K$10)</f>
        <v>0</v>
      </c>
      <c r="J79" s="37">
        <f>I79* (1 + Scenarios!$K$10)</f>
        <v>0</v>
      </c>
      <c r="K79" s="37">
        <f>J79* (1 + Scenarios!$K$10)</f>
        <v>0</v>
      </c>
      <c r="L79" s="37">
        <f>K79* (1 + Scenarios!$K$10)</f>
        <v>0</v>
      </c>
      <c r="M79" s="37">
        <f>L79* (1 + Scenarios!$K$10)</f>
        <v>0</v>
      </c>
      <c r="N79" s="37">
        <f>M79* (1 + Scenarios!$K$10)</f>
        <v>0</v>
      </c>
      <c r="O79" s="37">
        <f>N79* (1 + Scenarios!$K$10)</f>
        <v>0</v>
      </c>
      <c r="P79" s="37">
        <f>O79* (1 + Scenarios!$K$10)</f>
        <v>0</v>
      </c>
      <c r="Q79" s="37">
        <f>P79* (1 + Scenarios!$K$10)</f>
        <v>0</v>
      </c>
      <c r="R79" s="37">
        <f>Q79* (1 + Scenarios!$K$10)</f>
        <v>0</v>
      </c>
      <c r="S79" s="37">
        <f>R79* (1 + Scenarios!$K$10)</f>
        <v>0</v>
      </c>
      <c r="T79" s="37">
        <f>S79* (1 + Scenarios!$K$10)</f>
        <v>0</v>
      </c>
      <c r="U79" s="37">
        <f>T79* (1 + Scenarios!$K$10)</f>
        <v>0</v>
      </c>
      <c r="V79" s="37">
        <f>U79* (1 + Scenarios!$K$10)</f>
        <v>0</v>
      </c>
      <c r="W79" s="37">
        <f>V79* (1 + Scenarios!$K$10)</f>
        <v>0</v>
      </c>
      <c r="X79" s="37">
        <f>W79* (1 + Scenarios!$K$10)</f>
        <v>0</v>
      </c>
      <c r="Y79" s="37">
        <f>X79* (1 + Scenarios!$K$10)</f>
        <v>0</v>
      </c>
      <c r="Z79" s="37">
        <f>Y79* (1 + Scenarios!$K$10)</f>
        <v>0</v>
      </c>
      <c r="AA79" s="37">
        <f>Z79* (1 + Scenarios!$K$10)</f>
        <v>0</v>
      </c>
      <c r="AB79" s="37">
        <f>AA79* (1 + Scenarios!$K$10)</f>
        <v>0</v>
      </c>
      <c r="AC79" s="37">
        <f>AB79* (1 + Scenarios!$K$10)</f>
        <v>0</v>
      </c>
      <c r="AD79" s="37">
        <f>AC79* (1 + Scenarios!$K$10)</f>
        <v>0</v>
      </c>
      <c r="AE79" s="37">
        <f>AD79* (1 + Scenarios!$K$10)</f>
        <v>0</v>
      </c>
      <c r="AF79" s="37">
        <f>AE79* (1 + Scenarios!$K$10)</f>
        <v>0</v>
      </c>
      <c r="AG79" s="37">
        <f>AF79* (1 + Scenarios!$K$10)</f>
        <v>0</v>
      </c>
      <c r="AH79" s="37">
        <f>AG79* (1 + Scenarios!$K$10)</f>
        <v>0</v>
      </c>
      <c r="AI79" s="37">
        <f>AH79* (1 + Scenarios!$K$10)</f>
        <v>0</v>
      </c>
      <c r="AJ79" s="37">
        <f>AI79* (1 + Scenarios!$K$10)</f>
        <v>0</v>
      </c>
      <c r="AK79" s="37">
        <f>AJ79* (1 + Scenarios!$K$10)</f>
        <v>0</v>
      </c>
      <c r="AL79" s="37">
        <f>AK79* (1 + Scenarios!$K$10)</f>
        <v>0</v>
      </c>
      <c r="AM79" s="37">
        <f>AL79* (1 + Scenarios!$K$10)</f>
        <v>0</v>
      </c>
      <c r="AN79" s="37">
        <f>AM79* (1 + Scenarios!$K$10)</f>
        <v>0</v>
      </c>
      <c r="AO79" s="37">
        <f>AN79* (1 + Scenarios!$K$10)</f>
        <v>0</v>
      </c>
      <c r="AP79" s="37">
        <f>AO79* (1 + Scenarios!$K$10)</f>
        <v>0</v>
      </c>
      <c r="AQ79" s="37">
        <f>AP79* (1 + Scenarios!$K$10)</f>
        <v>0</v>
      </c>
      <c r="AR79" s="37">
        <f>AQ79* (1 + Scenarios!$K$10)</f>
        <v>0</v>
      </c>
      <c r="AS79" s="37">
        <f>AR79* (1 + Scenarios!$K$10)</f>
        <v>0</v>
      </c>
      <c r="AT79" s="37">
        <f>AS79* (1 + Scenarios!$K$10)</f>
        <v>0</v>
      </c>
      <c r="AU79" s="37">
        <f>AT79* (1 + Scenarios!$K$10)</f>
        <v>0</v>
      </c>
      <c r="AV79" s="37">
        <f>AU79* (1 + Scenarios!$K$10)</f>
        <v>0</v>
      </c>
      <c r="AW79" s="37">
        <f>AV79* (1 + Scenarios!$K$10)</f>
        <v>0</v>
      </c>
      <c r="AX79" s="37">
        <f>AW79* (1 + Scenarios!$K$10)</f>
        <v>0</v>
      </c>
      <c r="AY79" s="37">
        <f>AX79* (1 + Scenarios!$K$10)</f>
        <v>0</v>
      </c>
      <c r="AZ79" s="37">
        <f>AY79* (1 + Scenarios!$K$10)</f>
        <v>0</v>
      </c>
    </row>
    <row r="80" spans="1:52" s="37" customFormat="1">
      <c r="A80" s="78" t="s">
        <v>338</v>
      </c>
      <c r="B80" s="88"/>
      <c r="C80" s="88">
        <f>0</f>
        <v>0</v>
      </c>
      <c r="D80" s="37">
        <f>C80* (1 + Scenarios!$K$10)</f>
        <v>0</v>
      </c>
      <c r="E80" s="37">
        <f>D80* (1 + Scenarios!$K$10)</f>
        <v>0</v>
      </c>
      <c r="F80" s="37">
        <f>E80* (1 + Scenarios!$K$10)</f>
        <v>0</v>
      </c>
      <c r="G80" s="37">
        <f>F80* (1 + Scenarios!$K$10)</f>
        <v>0</v>
      </c>
      <c r="H80" s="37">
        <f>G80* (1 + Scenarios!$K$10)</f>
        <v>0</v>
      </c>
      <c r="I80" s="37">
        <f>H80* (1 + Scenarios!$K$10)</f>
        <v>0</v>
      </c>
      <c r="J80" s="37">
        <f>I80* (1 + Scenarios!$K$10)</f>
        <v>0</v>
      </c>
      <c r="K80" s="37">
        <f>J80* (1 + Scenarios!$K$10)</f>
        <v>0</v>
      </c>
      <c r="L80" s="37">
        <f>K80* (1 + Scenarios!$K$10)</f>
        <v>0</v>
      </c>
      <c r="M80" s="37">
        <f>L80* (1 + Scenarios!$K$10)</f>
        <v>0</v>
      </c>
      <c r="N80" s="37">
        <f>M80* (1 + Scenarios!$K$10)</f>
        <v>0</v>
      </c>
      <c r="O80" s="37">
        <f>N80* (1 + Scenarios!$K$10)</f>
        <v>0</v>
      </c>
      <c r="P80" s="37">
        <f>O80* (1 + Scenarios!$K$10)</f>
        <v>0</v>
      </c>
      <c r="Q80" s="37">
        <f>P80* (1 + Scenarios!$K$10)</f>
        <v>0</v>
      </c>
      <c r="R80" s="37">
        <f>Q80* (1 + Scenarios!$K$10)</f>
        <v>0</v>
      </c>
      <c r="S80" s="37">
        <f>R80* (1 + Scenarios!$K$10)</f>
        <v>0</v>
      </c>
      <c r="T80" s="37">
        <f>S80* (1 + Scenarios!$K$10)</f>
        <v>0</v>
      </c>
      <c r="U80" s="37">
        <f>T80* (1 + Scenarios!$K$10)</f>
        <v>0</v>
      </c>
      <c r="V80" s="37">
        <f>U80* (1 + Scenarios!$K$10)</f>
        <v>0</v>
      </c>
      <c r="W80" s="37">
        <f>V80* (1 + Scenarios!$K$10)</f>
        <v>0</v>
      </c>
      <c r="X80" s="37">
        <f>W80* (1 + Scenarios!$K$10)</f>
        <v>0</v>
      </c>
      <c r="Y80" s="37">
        <f>X80* (1 + Scenarios!$K$10)</f>
        <v>0</v>
      </c>
      <c r="Z80" s="37">
        <f>Y80* (1 + Scenarios!$K$10)</f>
        <v>0</v>
      </c>
      <c r="AA80" s="37">
        <f>Z80* (1 + Scenarios!$K$10)</f>
        <v>0</v>
      </c>
      <c r="AB80" s="37">
        <f>AA80* (1 + Scenarios!$K$10)</f>
        <v>0</v>
      </c>
      <c r="AC80" s="37">
        <f>AB80* (1 + Scenarios!$K$10)</f>
        <v>0</v>
      </c>
      <c r="AD80" s="37">
        <f>AC80* (1 + Scenarios!$K$10)</f>
        <v>0</v>
      </c>
      <c r="AE80" s="37">
        <f>AD80* (1 + Scenarios!$K$10)</f>
        <v>0</v>
      </c>
      <c r="AF80" s="37">
        <f>AE80* (1 + Scenarios!$K$10)</f>
        <v>0</v>
      </c>
      <c r="AG80" s="37">
        <f>AF80* (1 + Scenarios!$K$10)</f>
        <v>0</v>
      </c>
      <c r="AH80" s="37">
        <f>AG80* (1 + Scenarios!$K$10)</f>
        <v>0</v>
      </c>
      <c r="AI80" s="37">
        <f>AH80* (1 + Scenarios!$K$10)</f>
        <v>0</v>
      </c>
      <c r="AJ80" s="37">
        <f>AI80* (1 + Scenarios!$K$10)</f>
        <v>0</v>
      </c>
      <c r="AK80" s="37">
        <f>AJ80* (1 + Scenarios!$K$10)</f>
        <v>0</v>
      </c>
      <c r="AL80" s="37">
        <f>AK80* (1 + Scenarios!$K$10)</f>
        <v>0</v>
      </c>
      <c r="AM80" s="37">
        <f>AL80* (1 + Scenarios!$K$10)</f>
        <v>0</v>
      </c>
      <c r="AN80" s="37">
        <f>AM80* (1 + Scenarios!$K$10)</f>
        <v>0</v>
      </c>
      <c r="AO80" s="37">
        <f>AN80* (1 + Scenarios!$K$10)</f>
        <v>0</v>
      </c>
      <c r="AP80" s="37">
        <f>AO80* (1 + Scenarios!$K$10)</f>
        <v>0</v>
      </c>
      <c r="AQ80" s="37">
        <f>AP80* (1 + Scenarios!$K$10)</f>
        <v>0</v>
      </c>
      <c r="AR80" s="37">
        <f>AQ80* (1 + Scenarios!$K$10)</f>
        <v>0</v>
      </c>
      <c r="AS80" s="37">
        <f>AR80* (1 + Scenarios!$K$10)</f>
        <v>0</v>
      </c>
      <c r="AT80" s="37">
        <f>AS80* (1 + Scenarios!$K$10)</f>
        <v>0</v>
      </c>
      <c r="AU80" s="37">
        <f>AT80* (1 + Scenarios!$K$10)</f>
        <v>0</v>
      </c>
      <c r="AV80" s="37">
        <f>AU80* (1 + Scenarios!$K$10)</f>
        <v>0</v>
      </c>
      <c r="AW80" s="37">
        <f>AV80* (1 + Scenarios!$K$10)</f>
        <v>0</v>
      </c>
      <c r="AX80" s="37">
        <f>AW80* (1 + Scenarios!$K$10)</f>
        <v>0</v>
      </c>
      <c r="AY80" s="37">
        <f>AX80* (1 + Scenarios!$K$10)</f>
        <v>0</v>
      </c>
      <c r="AZ80" s="37">
        <f>AY80* (1 + Scenarios!$K$10)</f>
        <v>0</v>
      </c>
    </row>
    <row r="81" spans="1:52">
      <c r="A81" s="77" t="s">
        <v>339</v>
      </c>
    </row>
    <row r="82" spans="1:52" s="37" customFormat="1">
      <c r="A82" s="78" t="s">
        <v>340</v>
      </c>
      <c r="B82" s="88"/>
      <c r="C82" s="88"/>
      <c r="D82" s="37">
        <f>C82* (1 + Scenarios!$K$10)</f>
        <v>0</v>
      </c>
      <c r="E82" s="37">
        <f>D82* (1 + Scenarios!$K$10)</f>
        <v>0</v>
      </c>
      <c r="F82" s="37">
        <f>E82* (1 + Scenarios!$K$10)</f>
        <v>0</v>
      </c>
      <c r="G82" s="37">
        <f>F82* (1 + Scenarios!$K$10)</f>
        <v>0</v>
      </c>
      <c r="H82" s="37">
        <f>G82* (1 + Scenarios!$K$10)</f>
        <v>0</v>
      </c>
      <c r="I82" s="37">
        <f>H82* (1 + Scenarios!$K$10)</f>
        <v>0</v>
      </c>
      <c r="J82" s="37">
        <f>I82* (1 + Scenarios!$K$10)</f>
        <v>0</v>
      </c>
      <c r="K82" s="37">
        <f>J82* (1 + Scenarios!$K$10)</f>
        <v>0</v>
      </c>
      <c r="L82" s="37">
        <f>K82* (1 + Scenarios!$K$10)</f>
        <v>0</v>
      </c>
      <c r="M82" s="37">
        <f>L82* (1 + Scenarios!$K$10)</f>
        <v>0</v>
      </c>
      <c r="N82" s="37">
        <f>M82* (1 + Scenarios!$K$10)</f>
        <v>0</v>
      </c>
      <c r="O82" s="37">
        <f>N82* (1 + Scenarios!$K$10)</f>
        <v>0</v>
      </c>
      <c r="P82" s="37">
        <f>O82* (1 + Scenarios!$K$10)</f>
        <v>0</v>
      </c>
      <c r="Q82" s="37">
        <f>P82* (1 + Scenarios!$K$10)</f>
        <v>0</v>
      </c>
      <c r="R82" s="37">
        <f>Q82* (1 + Scenarios!$K$10)</f>
        <v>0</v>
      </c>
      <c r="S82" s="37">
        <f>R82* (1 + Scenarios!$K$10)</f>
        <v>0</v>
      </c>
      <c r="T82" s="37">
        <f>S82* (1 + Scenarios!$K$10)</f>
        <v>0</v>
      </c>
      <c r="U82" s="37">
        <f>T82* (1 + Scenarios!$K$10)</f>
        <v>0</v>
      </c>
      <c r="V82" s="37">
        <f>U82* (1 + Scenarios!$K$10)</f>
        <v>0</v>
      </c>
      <c r="W82" s="37">
        <f>V82* (1 + Scenarios!$K$10)</f>
        <v>0</v>
      </c>
      <c r="X82" s="37">
        <f>W82* (1 + Scenarios!$K$10)</f>
        <v>0</v>
      </c>
      <c r="Y82" s="37">
        <f>X82* (1 + Scenarios!$K$10)</f>
        <v>0</v>
      </c>
      <c r="Z82" s="37">
        <f>Y82* (1 + Scenarios!$K$10)</f>
        <v>0</v>
      </c>
      <c r="AA82" s="37">
        <f>Z82* (1 + Scenarios!$K$10)</f>
        <v>0</v>
      </c>
      <c r="AB82" s="37">
        <f>AA82* (1 + Scenarios!$K$10)</f>
        <v>0</v>
      </c>
      <c r="AC82" s="37">
        <f>AB82* (1 + Scenarios!$K$10)</f>
        <v>0</v>
      </c>
      <c r="AD82" s="37">
        <f>AC82* (1 + Scenarios!$K$10)</f>
        <v>0</v>
      </c>
      <c r="AE82" s="37">
        <f>AD82* (1 + Scenarios!$K$10)</f>
        <v>0</v>
      </c>
      <c r="AF82" s="37">
        <f>AE82* (1 + Scenarios!$K$10)</f>
        <v>0</v>
      </c>
      <c r="AG82" s="37">
        <f>AF82* (1 + Scenarios!$K$10)</f>
        <v>0</v>
      </c>
      <c r="AH82" s="37">
        <f>AG82* (1 + Scenarios!$K$10)</f>
        <v>0</v>
      </c>
      <c r="AI82" s="37">
        <f>AH82* (1 + Scenarios!$K$10)</f>
        <v>0</v>
      </c>
      <c r="AJ82" s="37">
        <f>AI82* (1 + Scenarios!$K$10)</f>
        <v>0</v>
      </c>
      <c r="AK82" s="37">
        <f>AJ82* (1 + Scenarios!$K$10)</f>
        <v>0</v>
      </c>
      <c r="AL82" s="37">
        <f>AK82* (1 + Scenarios!$K$10)</f>
        <v>0</v>
      </c>
      <c r="AM82" s="37">
        <f>AL82* (1 + Scenarios!$K$10)</f>
        <v>0</v>
      </c>
      <c r="AN82" s="37">
        <f>AM82* (1 + Scenarios!$K$10)</f>
        <v>0</v>
      </c>
      <c r="AO82" s="37">
        <f>AN82* (1 + Scenarios!$K$10)</f>
        <v>0</v>
      </c>
      <c r="AP82" s="37">
        <f>AO82* (1 + Scenarios!$K$10)</f>
        <v>0</v>
      </c>
      <c r="AQ82" s="37">
        <f>AP82* (1 + Scenarios!$K$10)</f>
        <v>0</v>
      </c>
      <c r="AR82" s="37">
        <f>AQ82* (1 + Scenarios!$K$10)</f>
        <v>0</v>
      </c>
      <c r="AS82" s="37">
        <f>AR82* (1 + Scenarios!$K$10)</f>
        <v>0</v>
      </c>
      <c r="AT82" s="37">
        <f>AS82* (1 + Scenarios!$K$10)</f>
        <v>0</v>
      </c>
      <c r="AU82" s="37">
        <f>AT82* (1 + Scenarios!$K$10)</f>
        <v>0</v>
      </c>
      <c r="AV82" s="37">
        <f>AU82* (1 + Scenarios!$K$10)</f>
        <v>0</v>
      </c>
      <c r="AW82" s="37">
        <f>AV82* (1 + Scenarios!$K$10)</f>
        <v>0</v>
      </c>
      <c r="AX82" s="37">
        <f>AW82* (1 + Scenarios!$K$10)</f>
        <v>0</v>
      </c>
      <c r="AY82" s="37">
        <f>AX82* (1 + Scenarios!$K$10)</f>
        <v>0</v>
      </c>
      <c r="AZ82" s="37">
        <f>AY82* (1 + Scenarios!$K$10)</f>
        <v>0</v>
      </c>
    </row>
    <row r="83" spans="1:52">
      <c r="A83" s="77" t="s">
        <v>341</v>
      </c>
    </row>
    <row r="84" spans="1:52" s="37" customFormat="1">
      <c r="A84" s="78" t="s">
        <v>342</v>
      </c>
      <c r="B84" s="88"/>
      <c r="C84" s="88">
        <f>0</f>
        <v>0</v>
      </c>
      <c r="D84" s="37">
        <f>0</f>
        <v>0</v>
      </c>
      <c r="E84" s="37">
        <f>0</f>
        <v>0</v>
      </c>
      <c r="F84" s="37">
        <f>0</f>
        <v>0</v>
      </c>
      <c r="G84" s="37">
        <f>0</f>
        <v>0</v>
      </c>
      <c r="H84" s="37">
        <f>0</f>
        <v>0</v>
      </c>
      <c r="I84" s="37">
        <f>0</f>
        <v>0</v>
      </c>
      <c r="J84" s="37">
        <f>0</f>
        <v>0</v>
      </c>
      <c r="K84" s="37">
        <f>0</f>
        <v>0</v>
      </c>
      <c r="L84" s="37">
        <f>0</f>
        <v>0</v>
      </c>
      <c r="M84" s="37">
        <f>0</f>
        <v>0</v>
      </c>
      <c r="N84" s="37">
        <f>0</f>
        <v>0</v>
      </c>
      <c r="O84" s="37">
        <f>0</f>
        <v>0</v>
      </c>
      <c r="P84" s="37">
        <f>0</f>
        <v>0</v>
      </c>
      <c r="Q84" s="37">
        <f>0</f>
        <v>0</v>
      </c>
      <c r="R84" s="37">
        <f>0</f>
        <v>0</v>
      </c>
      <c r="S84" s="37">
        <f>0</f>
        <v>0</v>
      </c>
      <c r="T84" s="37">
        <f>0</f>
        <v>0</v>
      </c>
      <c r="U84" s="37">
        <f>0</f>
        <v>0</v>
      </c>
      <c r="V84" s="37">
        <f>0</f>
        <v>0</v>
      </c>
      <c r="W84" s="37">
        <f>0</f>
        <v>0</v>
      </c>
      <c r="X84" s="37">
        <f>0</f>
        <v>0</v>
      </c>
      <c r="Y84" s="37">
        <f>0</f>
        <v>0</v>
      </c>
      <c r="Z84" s="37">
        <f>0</f>
        <v>0</v>
      </c>
      <c r="AA84" s="37">
        <f>0</f>
        <v>0</v>
      </c>
      <c r="AB84" s="37">
        <f>0</f>
        <v>0</v>
      </c>
      <c r="AC84" s="37">
        <f>0</f>
        <v>0</v>
      </c>
      <c r="AD84" s="37">
        <f>0</f>
        <v>0</v>
      </c>
      <c r="AE84" s="37">
        <f>0</f>
        <v>0</v>
      </c>
      <c r="AF84" s="37">
        <f>0</f>
        <v>0</v>
      </c>
      <c r="AG84" s="37">
        <f>0</f>
        <v>0</v>
      </c>
      <c r="AH84" s="37">
        <f>0</f>
        <v>0</v>
      </c>
      <c r="AI84" s="37">
        <f>0</f>
        <v>0</v>
      </c>
      <c r="AJ84" s="37">
        <f>0</f>
        <v>0</v>
      </c>
      <c r="AK84" s="37">
        <f>0</f>
        <v>0</v>
      </c>
      <c r="AL84" s="37">
        <f>0</f>
        <v>0</v>
      </c>
      <c r="AM84" s="37">
        <f>0</f>
        <v>0</v>
      </c>
      <c r="AN84" s="37">
        <f>0</f>
        <v>0</v>
      </c>
      <c r="AO84" s="37">
        <f>0</f>
        <v>0</v>
      </c>
      <c r="AP84" s="37">
        <f>0</f>
        <v>0</v>
      </c>
      <c r="AQ84" s="37">
        <f>0</f>
        <v>0</v>
      </c>
      <c r="AR84" s="37">
        <f>0</f>
        <v>0</v>
      </c>
      <c r="AS84" s="37">
        <f>0</f>
        <v>0</v>
      </c>
      <c r="AT84" s="37">
        <f>0</f>
        <v>0</v>
      </c>
      <c r="AU84" s="37">
        <f>0</f>
        <v>0</v>
      </c>
      <c r="AV84" s="37">
        <f>0</f>
        <v>0</v>
      </c>
      <c r="AW84" s="37">
        <f>0</f>
        <v>0</v>
      </c>
      <c r="AX84" s="37">
        <f>0</f>
        <v>0</v>
      </c>
      <c r="AY84" s="37">
        <f>0</f>
        <v>0</v>
      </c>
      <c r="AZ84" s="37">
        <f>0</f>
        <v>0</v>
      </c>
    </row>
    <row r="85" spans="1:52" s="37" customFormat="1">
      <c r="A85" s="78" t="s">
        <v>343</v>
      </c>
      <c r="B85" s="88"/>
      <c r="C85" s="88">
        <f>Assumptions!$B$69*Assumptions!$B$70</f>
        <v>5538.7750000000005</v>
      </c>
      <c r="D85" s="37">
        <f>Assumptions!$B$69*Assumptions!$B$70</f>
        <v>5538.7750000000005</v>
      </c>
      <c r="E85" s="37">
        <f>Assumptions!$B$69*Assumptions!$B$70</f>
        <v>5538.7750000000005</v>
      </c>
      <c r="F85" s="37">
        <f>Assumptions!$B$69*Assumptions!$B$70</f>
        <v>5538.7750000000005</v>
      </c>
      <c r="G85" s="37">
        <f>Assumptions!$B$69*Assumptions!$B$70</f>
        <v>5538.7750000000005</v>
      </c>
      <c r="H85" s="37">
        <f>Assumptions!$B$69*Assumptions!$B$70</f>
        <v>5538.7750000000005</v>
      </c>
      <c r="I85" s="37">
        <f>Assumptions!$B$69*Assumptions!$B$70</f>
        <v>5538.7750000000005</v>
      </c>
      <c r="J85" s="37">
        <f>Assumptions!$B$69*Assumptions!$B$70</f>
        <v>5538.7750000000005</v>
      </c>
      <c r="K85" s="37">
        <f>Assumptions!$B$69*Assumptions!$B$70</f>
        <v>5538.7750000000005</v>
      </c>
      <c r="L85" s="37">
        <f>Assumptions!$B$69*Assumptions!$B$70</f>
        <v>5538.7750000000005</v>
      </c>
      <c r="M85" s="37">
        <f>Assumptions!$B$69*Assumptions!$B$70</f>
        <v>5538.7750000000005</v>
      </c>
      <c r="N85" s="37">
        <f>Assumptions!$B$69*Assumptions!$B$70</f>
        <v>5538.7750000000005</v>
      </c>
      <c r="O85" s="37">
        <f>Assumptions!$B$69*Assumptions!$B$70</f>
        <v>5538.7750000000005</v>
      </c>
      <c r="P85" s="37">
        <f>Assumptions!$B$69*Assumptions!$B$70</f>
        <v>5538.7750000000005</v>
      </c>
      <c r="Q85" s="37">
        <f>Assumptions!$B$69*Assumptions!$B$70</f>
        <v>5538.7750000000005</v>
      </c>
      <c r="R85" s="37">
        <f>Assumptions!$B$69*Assumptions!$B$70</f>
        <v>5538.7750000000005</v>
      </c>
      <c r="S85" s="37">
        <f>Assumptions!$B$69*Assumptions!$B$70</f>
        <v>5538.7750000000005</v>
      </c>
      <c r="T85" s="37">
        <f>Assumptions!$B$69*Assumptions!$B$70</f>
        <v>5538.7750000000005</v>
      </c>
      <c r="U85" s="37">
        <f>Assumptions!$B$69*Assumptions!$B$70</f>
        <v>5538.7750000000005</v>
      </c>
      <c r="V85" s="37">
        <f>Assumptions!$B$69*Assumptions!$B$70</f>
        <v>5538.7750000000005</v>
      </c>
      <c r="W85" s="37">
        <f>Assumptions!$B$69*Assumptions!$B$70</f>
        <v>5538.7750000000005</v>
      </c>
      <c r="X85" s="37">
        <f>Assumptions!$B$69*Assumptions!$B$70</f>
        <v>5538.7750000000005</v>
      </c>
      <c r="Y85" s="37">
        <f>Assumptions!$B$69*Assumptions!$B$70</f>
        <v>5538.7750000000005</v>
      </c>
      <c r="Z85" s="37">
        <f>Assumptions!$B$69*Assumptions!$B$70</f>
        <v>5538.7750000000005</v>
      </c>
      <c r="AA85" s="37">
        <f>Assumptions!$B$69*Assumptions!$B$70</f>
        <v>5538.7750000000005</v>
      </c>
      <c r="AB85" s="37">
        <f>Assumptions!$B$69*Assumptions!$B$70</f>
        <v>5538.7750000000005</v>
      </c>
      <c r="AC85" s="37">
        <f>Assumptions!$B$69*Assumptions!$B$70</f>
        <v>5538.7750000000005</v>
      </c>
      <c r="AD85" s="37">
        <f>Assumptions!$B$69*Assumptions!$B$70</f>
        <v>5538.7750000000005</v>
      </c>
      <c r="AE85" s="37">
        <f>Assumptions!$B$69*Assumptions!$B$70</f>
        <v>5538.7750000000005</v>
      </c>
      <c r="AF85" s="37">
        <f>Assumptions!$B$69*Assumptions!$B$70</f>
        <v>5538.7750000000005</v>
      </c>
      <c r="AG85" s="37">
        <f>Assumptions!$B$69*Assumptions!$B$70</f>
        <v>5538.7750000000005</v>
      </c>
      <c r="AH85" s="37">
        <f>Assumptions!$B$69*Assumptions!$B$70</f>
        <v>5538.7750000000005</v>
      </c>
      <c r="AI85" s="37">
        <f>Assumptions!$B$69*Assumptions!$B$70</f>
        <v>5538.7750000000005</v>
      </c>
      <c r="AJ85" s="37">
        <f>Assumptions!$B$69*Assumptions!$B$70</f>
        <v>5538.7750000000005</v>
      </c>
      <c r="AK85" s="37">
        <f>Assumptions!$B$69*Assumptions!$B$70</f>
        <v>5538.7750000000005</v>
      </c>
      <c r="AL85" s="37">
        <f>Assumptions!$B$69*Assumptions!$B$70</f>
        <v>5538.7750000000005</v>
      </c>
      <c r="AM85" s="37">
        <f>Assumptions!$B$69*Assumptions!$B$70</f>
        <v>5538.7750000000005</v>
      </c>
      <c r="AN85" s="37">
        <f>Assumptions!$B$69*Assumptions!$B$70</f>
        <v>5538.7750000000005</v>
      </c>
      <c r="AO85" s="37">
        <f>Assumptions!$B$69*Assumptions!$B$70</f>
        <v>5538.7750000000005</v>
      </c>
      <c r="AP85" s="37">
        <f>Assumptions!$B$69*Assumptions!$B$70</f>
        <v>5538.7750000000005</v>
      </c>
      <c r="AQ85" s="37">
        <f>Assumptions!$B$69*Assumptions!$B$70</f>
        <v>5538.7750000000005</v>
      </c>
      <c r="AR85" s="37">
        <f>Assumptions!$B$69*Assumptions!$B$70</f>
        <v>5538.7750000000005</v>
      </c>
      <c r="AS85" s="37">
        <f>Assumptions!$B$69*Assumptions!$B$70</f>
        <v>5538.7750000000005</v>
      </c>
      <c r="AT85" s="37">
        <f>Assumptions!$B$69*Assumptions!$B$70</f>
        <v>5538.7750000000005</v>
      </c>
      <c r="AU85" s="37">
        <f>Assumptions!$B$69*Assumptions!$B$70</f>
        <v>5538.7750000000005</v>
      </c>
      <c r="AV85" s="37">
        <f>Assumptions!$B$69*Assumptions!$B$70</f>
        <v>5538.7750000000005</v>
      </c>
      <c r="AW85" s="37">
        <f>Assumptions!$B$69*Assumptions!$B$70</f>
        <v>5538.7750000000005</v>
      </c>
      <c r="AX85" s="37">
        <f>Assumptions!$B$69*Assumptions!$B$70</f>
        <v>5538.7750000000005</v>
      </c>
      <c r="AY85" s="37">
        <f>Assumptions!$B$69*Assumptions!$B$70</f>
        <v>5538.7750000000005</v>
      </c>
      <c r="AZ85" s="37">
        <f>Assumptions!$B$69*Assumptions!$B$70</f>
        <v>5538.7750000000005</v>
      </c>
    </row>
    <row r="86" spans="1:52" s="37" customFormat="1">
      <c r="A86" s="78" t="s">
        <v>344</v>
      </c>
      <c r="C86" s="37">
        <f>Loan_IO_to_PI!N31</f>
        <v>0</v>
      </c>
      <c r="D86" s="37">
        <f>Loan_IO_to_PI!O31</f>
        <v>0</v>
      </c>
      <c r="E86" s="37">
        <f>Loan_IO_to_PI!P31</f>
        <v>0</v>
      </c>
      <c r="F86" s="37">
        <f>Loan_IO_to_PI!Q31</f>
        <v>0</v>
      </c>
      <c r="G86" s="37">
        <f>Loan_IO_to_PI!R31</f>
        <v>0</v>
      </c>
      <c r="H86" s="37">
        <f>Loan_IO_to_PI!S31</f>
        <v>0</v>
      </c>
      <c r="I86" s="37">
        <f>Loan_IO_to_PI!T31</f>
        <v>0</v>
      </c>
      <c r="J86" s="37">
        <f>Loan_IO_to_PI!U31</f>
        <v>0</v>
      </c>
      <c r="K86" s="37">
        <f>Loan_IO_to_PI!V31</f>
        <v>0</v>
      </c>
      <c r="L86" s="37">
        <f>Loan_IO_to_PI!W31</f>
        <v>0</v>
      </c>
      <c r="M86" s="37">
        <f>Loan_IO_to_PI!X31</f>
        <v>0</v>
      </c>
      <c r="N86" s="37">
        <f>Loan_IO_to_PI!Y31</f>
        <v>0</v>
      </c>
      <c r="O86" s="37">
        <f>Loan_IO_to_PI!Z31</f>
        <v>0</v>
      </c>
      <c r="P86" s="37">
        <f>Loan_IO_to_PI!AA31</f>
        <v>0</v>
      </c>
      <c r="Q86" s="37">
        <f>Loan_IO_to_PI!AB31</f>
        <v>0</v>
      </c>
      <c r="R86" s="37">
        <f>Loan_IO_to_PI!AC31</f>
        <v>0</v>
      </c>
      <c r="S86" s="37">
        <f>Loan_IO_to_PI!AD31</f>
        <v>0</v>
      </c>
      <c r="T86" s="37">
        <f>Loan_IO_to_PI!AE31</f>
        <v>0</v>
      </c>
      <c r="U86" s="37">
        <f>Loan_IO_to_PI!AF31</f>
        <v>0</v>
      </c>
      <c r="V86" s="37">
        <f>Loan_IO_to_PI!AG31</f>
        <v>0</v>
      </c>
      <c r="W86" s="37">
        <f>Loan_IO_to_PI!AH31</f>
        <v>0</v>
      </c>
      <c r="X86" s="37">
        <f>Loan_IO_to_PI!AI31</f>
        <v>0</v>
      </c>
      <c r="Y86" s="37">
        <f>Loan_IO_to_PI!AJ31</f>
        <v>0</v>
      </c>
      <c r="Z86" s="37">
        <f>Loan_IO_to_PI!AK31</f>
        <v>0</v>
      </c>
      <c r="AA86" s="37">
        <f>Loan_IO_to_PI!AL31</f>
        <v>0</v>
      </c>
      <c r="AB86" s="37">
        <f>Loan_IO_to_PI!AM31</f>
        <v>0</v>
      </c>
      <c r="AC86" s="37">
        <f>Loan_IO_to_PI!AN31</f>
        <v>0</v>
      </c>
      <c r="AD86" s="37">
        <f>Loan_IO_to_PI!AO31</f>
        <v>0</v>
      </c>
      <c r="AE86" s="37">
        <f>Loan_IO_to_PI!AP31</f>
        <v>0</v>
      </c>
      <c r="AF86" s="37">
        <f>Loan_IO_to_PI!AQ31</f>
        <v>0</v>
      </c>
      <c r="AG86" s="37">
        <f>Loan_IO_to_PI!AR31</f>
        <v>0</v>
      </c>
      <c r="AH86" s="37">
        <f>Loan_IO_to_PI!AS31</f>
        <v>0</v>
      </c>
      <c r="AI86" s="37">
        <f>Loan_IO_to_PI!AT31</f>
        <v>0</v>
      </c>
      <c r="AJ86" s="37">
        <f>Loan_IO_to_PI!AU31</f>
        <v>0</v>
      </c>
      <c r="AK86" s="37">
        <f>Loan_IO_to_PI!AV31</f>
        <v>0</v>
      </c>
      <c r="AL86" s="37">
        <f>Loan_IO_to_PI!AW31</f>
        <v>0</v>
      </c>
      <c r="AM86" s="37">
        <f>Loan_IO_to_PI!AX31</f>
        <v>0</v>
      </c>
      <c r="AN86" s="37">
        <f>Loan_IO_to_PI!AY31</f>
        <v>0</v>
      </c>
      <c r="AO86" s="37">
        <f>Loan_IO_to_PI!AZ31</f>
        <v>0</v>
      </c>
      <c r="AP86" s="37">
        <f>Loan_IO_to_PI!BA31</f>
        <v>0</v>
      </c>
      <c r="AQ86" s="37">
        <f>Loan_IO_to_PI!BB31</f>
        <v>0</v>
      </c>
      <c r="AR86" s="37">
        <f>Loan_IO_to_PI!BC31</f>
        <v>0</v>
      </c>
      <c r="AS86" s="37">
        <f>Loan_IO_to_PI!BD31</f>
        <v>0</v>
      </c>
      <c r="AT86" s="37">
        <f>Loan_IO_to_PI!BE31</f>
        <v>0</v>
      </c>
      <c r="AU86" s="37">
        <f>Loan_IO_to_PI!BF31</f>
        <v>0</v>
      </c>
      <c r="AV86" s="37">
        <f>Loan_IO_to_PI!BG31</f>
        <v>0</v>
      </c>
      <c r="AW86" s="37">
        <f>Loan_IO_to_PI!BH31</f>
        <v>0</v>
      </c>
      <c r="AX86" s="37">
        <f>Loan_IO_to_PI!BI31</f>
        <v>0</v>
      </c>
      <c r="AY86" s="37">
        <f>Loan_IO_to_PI!BJ31</f>
        <v>0</v>
      </c>
      <c r="AZ86" s="37">
        <f>Loan_IO_to_PI!BK31</f>
        <v>0</v>
      </c>
    </row>
    <row r="87" spans="1:52" s="37" customFormat="1">
      <c r="A87" s="78" t="s">
        <v>345</v>
      </c>
      <c r="B87" s="88"/>
      <c r="C87" s="88"/>
      <c r="D87" s="37">
        <f>C87* (1 + Scenarios!$K$10)</f>
        <v>0</v>
      </c>
      <c r="E87" s="37">
        <f>D87* (1 + Scenarios!$K$10)</f>
        <v>0</v>
      </c>
      <c r="F87" s="37">
        <f>E87* (1 + Scenarios!$K$10)</f>
        <v>0</v>
      </c>
      <c r="G87" s="37">
        <f>F87* (1 + Scenarios!$K$10)</f>
        <v>0</v>
      </c>
      <c r="H87" s="37">
        <f>G87* (1 + Scenarios!$K$10)</f>
        <v>0</v>
      </c>
      <c r="I87" s="37">
        <f>H87* (1 + Scenarios!$K$10)</f>
        <v>0</v>
      </c>
      <c r="J87" s="37">
        <f>I87* (1 + Scenarios!$K$10)</f>
        <v>0</v>
      </c>
      <c r="K87" s="37">
        <f>J87* (1 + Scenarios!$K$10)</f>
        <v>0</v>
      </c>
      <c r="L87" s="37">
        <f>K87* (1 + Scenarios!$K$10)</f>
        <v>0</v>
      </c>
      <c r="M87" s="37">
        <f>L87* (1 + Scenarios!$K$10)</f>
        <v>0</v>
      </c>
      <c r="N87" s="37">
        <f>M87* (1 + Scenarios!$K$10)</f>
        <v>0</v>
      </c>
      <c r="O87" s="37">
        <f>N87* (1 + Scenarios!$K$10)</f>
        <v>0</v>
      </c>
      <c r="P87" s="37">
        <f>O87* (1 + Scenarios!$K$10)</f>
        <v>0</v>
      </c>
      <c r="Q87" s="37">
        <f>P87* (1 + Scenarios!$K$10)</f>
        <v>0</v>
      </c>
      <c r="R87" s="37">
        <f>Q87* (1 + Scenarios!$K$10)</f>
        <v>0</v>
      </c>
      <c r="S87" s="37">
        <f>R87* (1 + Scenarios!$K$10)</f>
        <v>0</v>
      </c>
      <c r="T87" s="37">
        <f>S87* (1 + Scenarios!$K$10)</f>
        <v>0</v>
      </c>
      <c r="U87" s="37">
        <f>T87* (1 + Scenarios!$K$10)</f>
        <v>0</v>
      </c>
      <c r="V87" s="37">
        <f>U87* (1 + Scenarios!$K$10)</f>
        <v>0</v>
      </c>
      <c r="W87" s="37">
        <f>V87* (1 + Scenarios!$K$10)</f>
        <v>0</v>
      </c>
      <c r="X87" s="37">
        <f>W87* (1 + Scenarios!$K$10)</f>
        <v>0</v>
      </c>
      <c r="Y87" s="37">
        <f>X87* (1 + Scenarios!$K$10)</f>
        <v>0</v>
      </c>
      <c r="Z87" s="37">
        <f>Y87* (1 + Scenarios!$K$10)</f>
        <v>0</v>
      </c>
      <c r="AA87" s="37">
        <f>Z87* (1 + Scenarios!$K$10)</f>
        <v>0</v>
      </c>
      <c r="AB87" s="37">
        <f>AA87* (1 + Scenarios!$K$10)</f>
        <v>0</v>
      </c>
      <c r="AC87" s="37">
        <f>AB87* (1 + Scenarios!$K$10)</f>
        <v>0</v>
      </c>
      <c r="AD87" s="37">
        <f>AC87* (1 + Scenarios!$K$10)</f>
        <v>0</v>
      </c>
      <c r="AE87" s="37">
        <f>AD87* (1 + Scenarios!$K$10)</f>
        <v>0</v>
      </c>
      <c r="AF87" s="37">
        <f>AE87* (1 + Scenarios!$K$10)</f>
        <v>0</v>
      </c>
      <c r="AG87" s="37">
        <f>AF87* (1 + Scenarios!$K$10)</f>
        <v>0</v>
      </c>
      <c r="AH87" s="37">
        <f>AG87* (1 + Scenarios!$K$10)</f>
        <v>0</v>
      </c>
      <c r="AI87" s="37">
        <f>AH87* (1 + Scenarios!$K$10)</f>
        <v>0</v>
      </c>
      <c r="AJ87" s="37">
        <f>AI87* (1 + Scenarios!$K$10)</f>
        <v>0</v>
      </c>
      <c r="AK87" s="37">
        <f>AJ87* (1 + Scenarios!$K$10)</f>
        <v>0</v>
      </c>
      <c r="AL87" s="37">
        <f>AK87* (1 + Scenarios!$K$10)</f>
        <v>0</v>
      </c>
      <c r="AM87" s="37">
        <f>AL87* (1 + Scenarios!$K$10)</f>
        <v>0</v>
      </c>
      <c r="AN87" s="37">
        <f>AM87* (1 + Scenarios!$K$10)</f>
        <v>0</v>
      </c>
      <c r="AO87" s="37">
        <f>AN87* (1 + Scenarios!$K$10)</f>
        <v>0</v>
      </c>
      <c r="AP87" s="37">
        <f>AO87* (1 + Scenarios!$K$10)</f>
        <v>0</v>
      </c>
      <c r="AQ87" s="37">
        <f>AP87* (1 + Scenarios!$K$10)</f>
        <v>0</v>
      </c>
      <c r="AR87" s="37">
        <f>AQ87* (1 + Scenarios!$K$10)</f>
        <v>0</v>
      </c>
      <c r="AS87" s="37">
        <f>AR87* (1 + Scenarios!$K$10)</f>
        <v>0</v>
      </c>
      <c r="AT87" s="37">
        <f>AS87* (1 + Scenarios!$K$10)</f>
        <v>0</v>
      </c>
      <c r="AU87" s="37">
        <f>AT87* (1 + Scenarios!$K$10)</f>
        <v>0</v>
      </c>
      <c r="AV87" s="37">
        <f>AU87* (1 + Scenarios!$K$10)</f>
        <v>0</v>
      </c>
      <c r="AW87" s="37">
        <f>AV87* (1 + Scenarios!$K$10)</f>
        <v>0</v>
      </c>
      <c r="AX87" s="37">
        <f>AW87* (1 + Scenarios!$K$10)</f>
        <v>0</v>
      </c>
      <c r="AY87" s="37">
        <f>AX87* (1 + Scenarios!$K$10)</f>
        <v>0</v>
      </c>
      <c r="AZ87" s="37">
        <f>AY87* (1 + Scenarios!$K$10)</f>
        <v>0</v>
      </c>
    </row>
    <row r="88" spans="1:52" s="37" customFormat="1">
      <c r="A88" s="85" t="s">
        <v>346</v>
      </c>
    </row>
    <row r="89" spans="1:52" s="37" customFormat="1">
      <c r="A89" s="85" t="s">
        <v>347</v>
      </c>
      <c r="C89" s="37">
        <f>SUM(C56,C57,C58,C59,C60,C61,C62,C65,C66,C67,C68,C69,C71,C73,C74,C76,C77,C78,C79,C82,C84,C85,C86,C87)</f>
        <v>44982.931491000003</v>
      </c>
      <c r="D89" s="37">
        <f t="shared" ref="D89:AZ89" si="7">SUM(D56,D57,D58,D59,D60,D61,D62,D65,D66,D67,D68,D69,D71,D73,D74,D76,D77,D78,D79,D82,D84,D85,D86,D87)</f>
        <v>44398.281316000001</v>
      </c>
      <c r="E89" s="37">
        <f t="shared" si="7"/>
        <v>44726.542022624999</v>
      </c>
      <c r="F89" s="37">
        <f t="shared" si="7"/>
        <v>45064.630546995621</v>
      </c>
      <c r="G89" s="37">
        <f t="shared" si="7"/>
        <v>47524.798628557917</v>
      </c>
      <c r="H89" s="37">
        <f t="shared" si="7"/>
        <v>44542.14388425208</v>
      </c>
      <c r="I89" s="37">
        <f t="shared" si="7"/>
        <v>42721.877366140056</v>
      </c>
      <c r="J89" s="37">
        <f t="shared" si="7"/>
        <v>40785.216716654417</v>
      </c>
      <c r="K89" s="37">
        <f t="shared" si="7"/>
        <v>40186.787414358267</v>
      </c>
      <c r="L89" s="37">
        <f t="shared" si="7"/>
        <v>36533.83684845813</v>
      </c>
      <c r="M89" s="37">
        <f t="shared" si="7"/>
        <v>34204.122653654638</v>
      </c>
      <c r="N89" s="37">
        <f t="shared" si="7"/>
        <v>31727.104799380002</v>
      </c>
      <c r="O89" s="37">
        <f t="shared" si="7"/>
        <v>30556.088002341428</v>
      </c>
      <c r="P89" s="37">
        <f t="shared" si="7"/>
        <v>26295.632290663132</v>
      </c>
      <c r="Q89" s="37">
        <f t="shared" si="7"/>
        <v>23258.248858746294</v>
      </c>
      <c r="R89" s="37">
        <f t="shared" si="7"/>
        <v>23722.517691384688</v>
      </c>
      <c r="S89" s="37">
        <f t="shared" si="7"/>
        <v>25661.031704424138</v>
      </c>
      <c r="T89" s="37">
        <f t="shared" si="7"/>
        <v>24688.116181162215</v>
      </c>
      <c r="U89" s="37">
        <f t="shared" si="7"/>
        <v>25190.105111592573</v>
      </c>
      <c r="V89" s="37">
        <f t="shared" si="7"/>
        <v>25705.341427310723</v>
      </c>
      <c r="W89" s="37">
        <f t="shared" si="7"/>
        <v>27696.177242809677</v>
      </c>
      <c r="X89" s="37">
        <f t="shared" si="7"/>
        <v>26776.974103340595</v>
      </c>
      <c r="Y89" s="37">
        <f t="shared" si="7"/>
        <v>27334.103239518601</v>
      </c>
      <c r="Z89" s="37">
        <f t="shared" si="7"/>
        <v>27905.945828858898</v>
      </c>
      <c r="AA89" s="37">
        <f t="shared" si="7"/>
        <v>29954.893264433267</v>
      </c>
      <c r="AB89" s="37">
        <f t="shared" si="7"/>
        <v>29095.34743084259</v>
      </c>
      <c r="AC89" s="37">
        <f t="shared" si="7"/>
        <v>29713.720987706096</v>
      </c>
      <c r="AD89" s="37">
        <f t="shared" si="7"/>
        <v>30348.437660873959</v>
      </c>
      <c r="AE89" s="37">
        <f t="shared" si="7"/>
        <v>32461.932541575279</v>
      </c>
      <c r="AF89" s="37">
        <f t="shared" si="7"/>
        <v>31668.652393719512</v>
      </c>
      <c r="AG89" s="37">
        <f t="shared" si="7"/>
        <v>32355.0559695755</v>
      </c>
      <c r="AH89" s="37">
        <f t="shared" si="7"/>
        <v>33059.614334058278</v>
      </c>
      <c r="AI89" s="37">
        <f t="shared" si="7"/>
        <v>35244.811197860421</v>
      </c>
      <c r="AJ89" s="37">
        <f t="shared" si="7"/>
        <v>34525.143259671146</v>
      </c>
      <c r="AK89" s="37">
        <f t="shared" si="7"/>
        <v>35287.120557733069</v>
      </c>
      <c r="AL89" s="37">
        <f t="shared" si="7"/>
        <v>36069.266830993634</v>
      </c>
      <c r="AM89" s="37">
        <f t="shared" si="7"/>
        <v>38334.119890115238</v>
      </c>
      <c r="AN89" s="37">
        <f t="shared" si="7"/>
        <v>37696.23199861528</v>
      </c>
      <c r="AO89" s="37">
        <f t="shared" si="7"/>
        <v>38542.170264415246</v>
      </c>
      <c r="AP89" s="37">
        <f t="shared" si="7"/>
        <v>39410.517042085237</v>
      </c>
      <c r="AQ89" s="37">
        <f t="shared" si="7"/>
        <v>41763.870346078773</v>
      </c>
      <c r="AR89" s="37">
        <f t="shared" si="7"/>
        <v>41216.844275260388</v>
      </c>
      <c r="AS89" s="37">
        <f t="shared" si="7"/>
        <v>42156.069449037437</v>
      </c>
      <c r="AT89" s="37">
        <f t="shared" si="7"/>
        <v>43120.193455415771</v>
      </c>
      <c r="AU89" s="37">
        <f t="shared" si="7"/>
        <v>45571.881311308134</v>
      </c>
      <c r="AV89" s="37">
        <f t="shared" si="7"/>
        <v>45125.81593543302</v>
      </c>
      <c r="AW89" s="37">
        <f t="shared" si="7"/>
        <v>46168.698634151297</v>
      </c>
      <c r="AX89" s="37">
        <f t="shared" si="7"/>
        <v>47239.249600597497</v>
      </c>
      <c r="AY89" s="37">
        <f t="shared" si="7"/>
        <v>49800.208427472629</v>
      </c>
      <c r="AZ89" s="37">
        <f t="shared" si="7"/>
        <v>49466.334633875442</v>
      </c>
    </row>
    <row r="90" spans="1:52" s="37" customFormat="1">
      <c r="A90" s="85" t="s">
        <v>348</v>
      </c>
      <c r="C90" s="37">
        <f>C54 - C89</f>
        <v>-2342.931491000003</v>
      </c>
      <c r="D90" s="37">
        <f t="shared" ref="D90:AZ90" si="8">D54 - D89</f>
        <v>-479.08131599999615</v>
      </c>
      <c r="E90" s="37">
        <f t="shared" si="8"/>
        <v>510.23397737500636</v>
      </c>
      <c r="F90" s="37">
        <f t="shared" si="8"/>
        <v>1529.2487330043878</v>
      </c>
      <c r="G90" s="37">
        <f t="shared" si="8"/>
        <v>466.89702984208998</v>
      </c>
      <c r="H90" s="37">
        <f t="shared" si="8"/>
        <v>4889.3026438999295</v>
      </c>
      <c r="I90" s="37">
        <f t="shared" si="8"/>
        <v>8192.512557856513</v>
      </c>
      <c r="J90" s="37">
        <f t="shared" si="8"/>
        <v>11656.60490506205</v>
      </c>
      <c r="K90" s="37">
        <f t="shared" si="8"/>
        <v>13828.288856009698</v>
      </c>
      <c r="L90" s="37">
        <f t="shared" si="8"/>
        <v>19101.691710020874</v>
      </c>
      <c r="M90" s="37">
        <f t="shared" si="8"/>
        <v>23100.471761578738</v>
      </c>
      <c r="N90" s="37">
        <f t="shared" si="8"/>
        <v>27296.627448310377</v>
      </c>
      <c r="O90" s="37">
        <f t="shared" si="8"/>
        <v>30238.356212779661</v>
      </c>
      <c r="P90" s="37">
        <f t="shared" si="8"/>
        <v>36322.645250911592</v>
      </c>
      <c r="Q90" s="37">
        <f t="shared" si="8"/>
        <v>41238.577009075671</v>
      </c>
      <c r="R90" s="37">
        <f t="shared" si="8"/>
        <v>42709.212952471942</v>
      </c>
      <c r="S90" s="37">
        <f t="shared" si="8"/>
        <v>42763.650858748195</v>
      </c>
      <c r="T90" s="37">
        <f t="shared" si="8"/>
        <v>45789.306858905285</v>
      </c>
      <c r="U90" s="37">
        <f t="shared" si="8"/>
        <v>47401.64061967696</v>
      </c>
      <c r="V90" s="37">
        <f t="shared" si="8"/>
        <v>49064.156675896898</v>
      </c>
      <c r="W90" s="37">
        <f t="shared" si="8"/>
        <v>49316.40580349417</v>
      </c>
      <c r="X90" s="37">
        <f t="shared" si="8"/>
        <v>52545.986434352359</v>
      </c>
      <c r="Y90" s="37">
        <f t="shared" si="8"/>
        <v>54368.546114305136</v>
      </c>
      <c r="Z90" s="37">
        <f t="shared" si="8"/>
        <v>56247.783005579564</v>
      </c>
      <c r="AA90" s="37">
        <f t="shared" si="8"/>
        <v>56723.447435038353</v>
      </c>
      <c r="AB90" s="37">
        <f t="shared" si="8"/>
        <v>60183.34348961318</v>
      </c>
      <c r="AC90" s="37">
        <f t="shared" si="8"/>
        <v>62243.330660363354</v>
      </c>
      <c r="AD90" s="37">
        <f t="shared" si="8"/>
        <v>64367.325536637582</v>
      </c>
      <c r="AE90" s="37">
        <f t="shared" si="8"/>
        <v>65095.303551861609</v>
      </c>
      <c r="AF90" s="37">
        <f t="shared" si="8"/>
        <v>68815.300782520484</v>
      </c>
      <c r="AG90" s="37">
        <f t="shared" si="8"/>
        <v>71143.415801951691</v>
      </c>
      <c r="AH90" s="37">
        <f t="shared" si="8"/>
        <v>73543.811590614743</v>
      </c>
      <c r="AI90" s="37">
        <f t="shared" si="8"/>
        <v>74556.717504552798</v>
      </c>
      <c r="AJ90" s="37">
        <f t="shared" si="8"/>
        <v>78570.431303814461</v>
      </c>
      <c r="AK90" s="37">
        <f t="shared" si="8"/>
        <v>81201.321242657112</v>
      </c>
      <c r="AL90" s="37">
        <f t="shared" si="8"/>
        <v>83913.828223408258</v>
      </c>
      <c r="AM90" s="37">
        <f t="shared" si="8"/>
        <v>85248.468015918712</v>
      </c>
      <c r="AN90" s="37">
        <f t="shared" si="8"/>
        <v>89593.833544599678</v>
      </c>
      <c r="AO90" s="37">
        <f t="shared" si="8"/>
        <v>92566.597245096171</v>
      </c>
      <c r="AP90" s="37">
        <f t="shared" si="8"/>
        <v>95631.513492711529</v>
      </c>
      <c r="AQ90" s="37">
        <f t="shared" si="8"/>
        <v>97329.421104761917</v>
      </c>
      <c r="AR90" s="37">
        <f t="shared" si="8"/>
        <v>102049.24591910552</v>
      </c>
      <c r="AS90" s="37">
        <f t="shared" si="8"/>
        <v>105408.00345115946</v>
      </c>
      <c r="AT90" s="37">
        <f t="shared" si="8"/>
        <v>108870.80163178701</v>
      </c>
      <c r="AU90" s="37">
        <f t="shared" si="8"/>
        <v>110978.84362851075</v>
      </c>
      <c r="AV90" s="37">
        <f t="shared" si="8"/>
        <v>116121.4307525804</v>
      </c>
      <c r="AW90" s="37">
        <f t="shared" si="8"/>
        <v>119915.96545450254</v>
      </c>
      <c r="AX90" s="37">
        <f t="shared" si="8"/>
        <v>123827.95441071595</v>
      </c>
      <c r="AY90" s="37">
        <f t="shared" si="8"/>
        <v>126399.01170418022</v>
      </c>
      <c r="AZ90" s="37">
        <f t="shared" si="8"/>
        <v>132018.86210172699</v>
      </c>
    </row>
    <row r="91" spans="1:52" s="37" customFormat="1">
      <c r="A91" s="85" t="s">
        <v>349</v>
      </c>
      <c r="C91" s="37">
        <f>C54-C56-C57-C58-C59-C60-C61-C62-C65-C66-C67-C68-C69-C71-C72-C73-C74-C76-C77-C78-C79-C80-C82</f>
        <v>3195.8435089999984</v>
      </c>
      <c r="D91" s="37">
        <f t="shared" ref="D91:AZ91" si="9">D54-D56-D57-D58-D59-D60-D61-D62-D65-D66-D67-D68-D69-D71-D72-D73-D74-D76-D77-D78-D79-D80-D82</f>
        <v>5059.6936840000053</v>
      </c>
      <c r="E91" s="37">
        <f t="shared" si="9"/>
        <v>6049.0089773750042</v>
      </c>
      <c r="F91" s="37">
        <f t="shared" si="9"/>
        <v>7068.0237330043783</v>
      </c>
      <c r="G91" s="37">
        <f t="shared" si="9"/>
        <v>6005.6720298420951</v>
      </c>
      <c r="H91" s="37">
        <f t="shared" si="9"/>
        <v>10428.077643899935</v>
      </c>
      <c r="I91" s="37">
        <f t="shared" si="9"/>
        <v>13731.287557856522</v>
      </c>
      <c r="J91" s="37">
        <f t="shared" si="9"/>
        <v>17195.379905062055</v>
      </c>
      <c r="K91" s="37">
        <f t="shared" si="9"/>
        <v>19367.063856009696</v>
      </c>
      <c r="L91" s="37">
        <f t="shared" si="9"/>
        <v>24640.466710020875</v>
      </c>
      <c r="M91" s="37">
        <f t="shared" si="9"/>
        <v>28639.246761578732</v>
      </c>
      <c r="N91" s="37">
        <f t="shared" si="9"/>
        <v>32835.402448310371</v>
      </c>
      <c r="O91" s="37">
        <f t="shared" si="9"/>
        <v>35777.131212779663</v>
      </c>
      <c r="P91" s="37">
        <f t="shared" si="9"/>
        <v>41861.4202509116</v>
      </c>
      <c r="Q91" s="37">
        <f t="shared" si="9"/>
        <v>46777.352009075665</v>
      </c>
      <c r="R91" s="37">
        <f t="shared" si="9"/>
        <v>11930.905788187767</v>
      </c>
      <c r="S91" s="37">
        <f t="shared" si="9"/>
        <v>9882.5846371519583</v>
      </c>
      <c r="T91" s="37">
        <f t="shared" si="9"/>
        <v>10683.731830578632</v>
      </c>
      <c r="U91" s="37">
        <f t="shared" si="9"/>
        <v>9942.7577247102017</v>
      </c>
      <c r="V91" s="37">
        <f t="shared" si="9"/>
        <v>9115.7093888115705</v>
      </c>
      <c r="W91" s="37">
        <f t="shared" si="9"/>
        <v>6734.2483459865907</v>
      </c>
      <c r="X91" s="37">
        <f t="shared" si="9"/>
        <v>7177.6269875550861</v>
      </c>
      <c r="Y91" s="37">
        <f t="shared" si="9"/>
        <v>6052.6635830383166</v>
      </c>
      <c r="Z91" s="37">
        <f t="shared" si="9"/>
        <v>4813.7158032523657</v>
      </c>
      <c r="AA91" s="37">
        <f t="shared" si="9"/>
        <v>1990.6526691963954</v>
      </c>
      <c r="AB91" s="37">
        <f t="shared" si="9"/>
        <v>65722.118489613189</v>
      </c>
      <c r="AC91" s="37">
        <f t="shared" si="9"/>
        <v>67782.105660363362</v>
      </c>
      <c r="AD91" s="37">
        <f t="shared" si="9"/>
        <v>69906.10053663759</v>
      </c>
      <c r="AE91" s="37">
        <f t="shared" si="9"/>
        <v>70634.078551861603</v>
      </c>
      <c r="AF91" s="37">
        <f t="shared" si="9"/>
        <v>74354.075782520493</v>
      </c>
      <c r="AG91" s="37">
        <f t="shared" si="9"/>
        <v>76682.190801951685</v>
      </c>
      <c r="AH91" s="37">
        <f t="shared" si="9"/>
        <v>79082.586590614737</v>
      </c>
      <c r="AI91" s="37">
        <f t="shared" si="9"/>
        <v>80095.492504552793</v>
      </c>
      <c r="AJ91" s="37">
        <f t="shared" si="9"/>
        <v>84109.206303814455</v>
      </c>
      <c r="AK91" s="37">
        <f t="shared" si="9"/>
        <v>86740.09624265712</v>
      </c>
      <c r="AL91" s="37">
        <f t="shared" si="9"/>
        <v>89452.603223408252</v>
      </c>
      <c r="AM91" s="37">
        <f t="shared" si="9"/>
        <v>90787.243015918706</v>
      </c>
      <c r="AN91" s="37">
        <f t="shared" si="9"/>
        <v>95132.608544599701</v>
      </c>
      <c r="AO91" s="37">
        <f t="shared" si="9"/>
        <v>98105.37224509615</v>
      </c>
      <c r="AP91" s="37">
        <f t="shared" si="9"/>
        <v>101170.28849271152</v>
      </c>
      <c r="AQ91" s="37">
        <f t="shared" si="9"/>
        <v>102868.1961047619</v>
      </c>
      <c r="AR91" s="37">
        <f t="shared" si="9"/>
        <v>107588.02091910553</v>
      </c>
      <c r="AS91" s="37">
        <f t="shared" si="9"/>
        <v>110946.77845115945</v>
      </c>
      <c r="AT91" s="37">
        <f t="shared" si="9"/>
        <v>114409.576631787</v>
      </c>
      <c r="AU91" s="37">
        <f t="shared" si="9"/>
        <v>116517.61862851073</v>
      </c>
      <c r="AV91" s="37">
        <f t="shared" si="9"/>
        <v>121660.20575258046</v>
      </c>
      <c r="AW91" s="37">
        <f t="shared" si="9"/>
        <v>125454.74045450252</v>
      </c>
      <c r="AX91" s="37">
        <f t="shared" si="9"/>
        <v>129366.72941071597</v>
      </c>
      <c r="AY91" s="37">
        <f t="shared" si="9"/>
        <v>131937.78670418024</v>
      </c>
      <c r="AZ91" s="37">
        <f t="shared" si="9"/>
        <v>137557.63710172696</v>
      </c>
    </row>
    <row r="92" spans="1:52" s="37" customFormat="1">
      <c r="A92" s="85"/>
    </row>
    <row r="94" spans="1:52" s="76" customFormat="1" ht="14">
      <c r="C94" s="76">
        <v>2026</v>
      </c>
      <c r="D94" s="76">
        <v>2027</v>
      </c>
      <c r="E94" s="76">
        <v>2028</v>
      </c>
      <c r="F94" s="76">
        <v>2029</v>
      </c>
      <c r="G94" s="76">
        <v>2030</v>
      </c>
      <c r="H94" s="76">
        <v>2031</v>
      </c>
      <c r="I94" s="76">
        <v>2032</v>
      </c>
      <c r="J94" s="76">
        <v>2033</v>
      </c>
      <c r="K94" s="76">
        <v>2034</v>
      </c>
      <c r="L94" s="76">
        <v>2035</v>
      </c>
      <c r="M94" s="76">
        <v>2036</v>
      </c>
      <c r="N94" s="76">
        <v>2037</v>
      </c>
      <c r="O94" s="76">
        <v>2038</v>
      </c>
      <c r="P94" s="76">
        <v>2039</v>
      </c>
      <c r="Q94" s="76">
        <v>2040</v>
      </c>
      <c r="R94" s="76">
        <v>2041</v>
      </c>
      <c r="S94" s="76">
        <v>2042</v>
      </c>
      <c r="T94" s="76">
        <v>2043</v>
      </c>
    </row>
    <row r="95" spans="1:52" ht="17">
      <c r="A95" s="15" t="s">
        <v>310</v>
      </c>
      <c r="B95" s="15"/>
      <c r="C95" s="15">
        <v>1</v>
      </c>
      <c r="D95" s="15">
        <v>2</v>
      </c>
      <c r="E95" s="15">
        <v>3</v>
      </c>
      <c r="F95" s="15">
        <v>4</v>
      </c>
      <c r="G95" s="15">
        <v>5</v>
      </c>
      <c r="H95" s="15">
        <v>6</v>
      </c>
      <c r="I95" s="15">
        <v>7</v>
      </c>
      <c r="J95" s="15">
        <v>8</v>
      </c>
      <c r="K95" s="15">
        <v>9</v>
      </c>
      <c r="L95" s="15">
        <v>10</v>
      </c>
      <c r="M95" s="15">
        <v>11</v>
      </c>
      <c r="N95" s="15">
        <v>12</v>
      </c>
      <c r="O95" s="15">
        <v>13</v>
      </c>
      <c r="P95" s="15">
        <v>14</v>
      </c>
      <c r="Q95" s="15">
        <v>15</v>
      </c>
      <c r="R95" s="15">
        <v>16</v>
      </c>
      <c r="S95" s="15">
        <v>17</v>
      </c>
      <c r="T95" s="15">
        <v>18</v>
      </c>
      <c r="U95" s="15">
        <v>19</v>
      </c>
      <c r="V95" s="15">
        <v>20</v>
      </c>
      <c r="W95" s="15">
        <v>21</v>
      </c>
      <c r="X95" s="15">
        <v>22</v>
      </c>
      <c r="Y95" s="15">
        <v>23</v>
      </c>
      <c r="Z95" s="15">
        <v>24</v>
      </c>
      <c r="AA95" s="15">
        <v>25</v>
      </c>
      <c r="AB95" s="15">
        <v>26</v>
      </c>
      <c r="AC95" s="15">
        <v>27</v>
      </c>
      <c r="AD95" s="15">
        <v>28</v>
      </c>
      <c r="AE95" s="15">
        <v>29</v>
      </c>
      <c r="AF95" s="15">
        <v>30</v>
      </c>
      <c r="AG95" s="15">
        <v>31</v>
      </c>
      <c r="AH95" s="15">
        <v>32</v>
      </c>
      <c r="AI95" s="15">
        <v>33</v>
      </c>
      <c r="AJ95" s="15">
        <v>34</v>
      </c>
      <c r="AK95" s="15">
        <v>35</v>
      </c>
      <c r="AL95" s="15">
        <v>36</v>
      </c>
      <c r="AM95" s="15">
        <v>37</v>
      </c>
      <c r="AN95" s="15">
        <v>38</v>
      </c>
      <c r="AO95" s="15">
        <v>39</v>
      </c>
      <c r="AP95" s="15">
        <v>40</v>
      </c>
      <c r="AQ95" s="15">
        <v>41</v>
      </c>
      <c r="AR95" s="15">
        <v>42</v>
      </c>
      <c r="AS95" s="15">
        <v>43</v>
      </c>
      <c r="AT95" s="15">
        <v>44</v>
      </c>
      <c r="AU95" s="15">
        <v>45</v>
      </c>
      <c r="AV95" s="15">
        <v>46</v>
      </c>
      <c r="AW95" s="15">
        <v>47</v>
      </c>
      <c r="AX95" s="15">
        <v>48</v>
      </c>
      <c r="AY95" s="15">
        <v>49</v>
      </c>
      <c r="AZ95" s="15">
        <v>50</v>
      </c>
    </row>
    <row r="96" spans="1:52">
      <c r="A96" s="77" t="str">
        <f>Properties!A8</f>
        <v>IP2</v>
      </c>
    </row>
    <row r="97" spans="1:52">
      <c r="A97" s="77"/>
    </row>
    <row r="98" spans="1:52">
      <c r="A98" s="77" t="s">
        <v>311</v>
      </c>
    </row>
    <row r="99" spans="1:52" s="37" customFormat="1">
      <c r="A99" s="85" t="s">
        <v>312</v>
      </c>
      <c r="B99" s="88"/>
      <c r="C99" s="88">
        <f>820*52</f>
        <v>42640</v>
      </c>
      <c r="D99" s="37">
        <f>C99 * (1 + Scenarios!$K$13)</f>
        <v>43919.200000000004</v>
      </c>
      <c r="E99" s="37">
        <f>D99 * (1 + Scenarios!$K$13)</f>
        <v>45236.776000000005</v>
      </c>
      <c r="F99" s="37">
        <f>E99 * (1 + Scenarios!$K$13)</f>
        <v>46593.879280000008</v>
      </c>
      <c r="G99" s="37">
        <f>F99 * (1 + Scenarios!$K$13)</f>
        <v>47991.695658400007</v>
      </c>
      <c r="H99" s="37">
        <f>G99 * (1 + Scenarios!$K$13)</f>
        <v>49431.44652815201</v>
      </c>
      <c r="I99" s="37">
        <f>H99 * (1 + Scenarios!$K$13)</f>
        <v>50914.389923996569</v>
      </c>
      <c r="J99" s="37">
        <f>I99 * (1 + Scenarios!$K$13)</f>
        <v>52441.821621716466</v>
      </c>
      <c r="K99" s="37">
        <f>J99 * (1 + Scenarios!$K$13)</f>
        <v>54015.076270367965</v>
      </c>
      <c r="L99" s="37">
        <f>K99 * (1 + Scenarios!$K$13)</f>
        <v>55635.528558479004</v>
      </c>
      <c r="M99" s="37">
        <f>L99 * (1 + Scenarios!$K$13)</f>
        <v>57304.594415233376</v>
      </c>
      <c r="N99" s="37">
        <f>M99 * (1 + Scenarios!$K$13)</f>
        <v>59023.732247690379</v>
      </c>
      <c r="O99" s="37">
        <f>N99 * (1 + Scenarios!$K$13)</f>
        <v>60794.44421512109</v>
      </c>
      <c r="P99" s="37">
        <f>O99 * (1 + Scenarios!$K$13)</f>
        <v>62618.277541574724</v>
      </c>
      <c r="Q99" s="37">
        <f>P99 * (1 + Scenarios!$K$13)</f>
        <v>64496.825867821964</v>
      </c>
      <c r="R99" s="37">
        <f>Q99 * (1 + Scenarios!$K$13)</f>
        <v>66431.73064385663</v>
      </c>
      <c r="S99" s="37">
        <f>R99 * (1 + Scenarios!$K$13)</f>
        <v>68424.682563172333</v>
      </c>
      <c r="T99" s="37">
        <f>S99 * (1 + Scenarios!$K$13)</f>
        <v>70477.423040067501</v>
      </c>
      <c r="U99" s="37">
        <f>T99 * (1 + Scenarios!$K$13)</f>
        <v>72591.745731269533</v>
      </c>
      <c r="V99" s="37">
        <f>U99 * (1 + Scenarios!$K$13)</f>
        <v>74769.498103207618</v>
      </c>
      <c r="W99" s="37">
        <f>V99 * (1 + Scenarios!$K$13)</f>
        <v>77012.583046303844</v>
      </c>
      <c r="X99" s="37">
        <f>W99 * (1 + Scenarios!$K$13)</f>
        <v>79322.960537692954</v>
      </c>
      <c r="Y99" s="37">
        <f>X99 * (1 + Scenarios!$K$13)</f>
        <v>81702.649353823741</v>
      </c>
      <c r="Z99" s="37">
        <f>Y99 * (1 + Scenarios!$K$13)</f>
        <v>84153.728834438458</v>
      </c>
      <c r="AA99" s="37">
        <f>Z99 * (1 + Scenarios!$K$13)</f>
        <v>86678.340699471621</v>
      </c>
      <c r="AB99" s="37">
        <f>AA99 * (1 + Scenarios!$K$13)</f>
        <v>89278.690920455774</v>
      </c>
      <c r="AC99" s="37">
        <f>AB99 * (1 + Scenarios!$K$13)</f>
        <v>91957.05164806945</v>
      </c>
      <c r="AD99" s="37">
        <f>AC99 * (1 + Scenarios!$K$13)</f>
        <v>94715.763197511536</v>
      </c>
      <c r="AE99" s="37">
        <f>AD99 * (1 + Scenarios!$K$13)</f>
        <v>97557.236093436892</v>
      </c>
      <c r="AF99" s="37">
        <f>AE99 * (1 + Scenarios!$K$13)</f>
        <v>100483.95317624</v>
      </c>
      <c r="AG99" s="37">
        <f>AF99 * (1 + Scenarios!$K$13)</f>
        <v>103498.4717715272</v>
      </c>
      <c r="AH99" s="37">
        <f>AG99 * (1 + Scenarios!$K$13)</f>
        <v>106603.42592467302</v>
      </c>
      <c r="AI99" s="37">
        <f>AH99 * (1 + Scenarios!$K$13)</f>
        <v>109801.52870241321</v>
      </c>
      <c r="AJ99" s="37">
        <f>AI99 * (1 + Scenarios!$K$13)</f>
        <v>113095.57456348561</v>
      </c>
      <c r="AK99" s="37">
        <f>AJ99 * (1 + Scenarios!$K$13)</f>
        <v>116488.44180039018</v>
      </c>
      <c r="AL99" s="37">
        <f>AK99 * (1 + Scenarios!$K$13)</f>
        <v>119983.09505440189</v>
      </c>
      <c r="AM99" s="37">
        <f>AL99 * (1 + Scenarios!$K$13)</f>
        <v>123582.58790603395</v>
      </c>
      <c r="AN99" s="37">
        <f>AM99 * (1 + Scenarios!$K$13)</f>
        <v>127290.06554321497</v>
      </c>
      <c r="AO99" s="37">
        <f>AN99 * (1 + Scenarios!$K$13)</f>
        <v>131108.76750951141</v>
      </c>
      <c r="AP99" s="37">
        <f>AO99 * (1 + Scenarios!$K$13)</f>
        <v>135042.03053479677</v>
      </c>
      <c r="AQ99" s="37">
        <f>AP99 * (1 + Scenarios!$K$13)</f>
        <v>139093.29145084068</v>
      </c>
      <c r="AR99" s="37">
        <f>AQ99 * (1 + Scenarios!$K$13)</f>
        <v>143266.09019436591</v>
      </c>
      <c r="AS99" s="37">
        <f>AR99 * (1 + Scenarios!$K$13)</f>
        <v>147564.07290019689</v>
      </c>
      <c r="AT99" s="37">
        <f>AS99 * (1 + Scenarios!$K$13)</f>
        <v>151990.99508720278</v>
      </c>
      <c r="AU99" s="37">
        <f>AT99 * (1 + Scenarios!$K$13)</f>
        <v>156550.72493981887</v>
      </c>
      <c r="AV99" s="37">
        <f>AU99 * (1 + Scenarios!$K$13)</f>
        <v>161247.24668801343</v>
      </c>
      <c r="AW99" s="37">
        <f>AV99 * (1 + Scenarios!$K$13)</f>
        <v>166084.66408865384</v>
      </c>
      <c r="AX99" s="37">
        <f>AW99 * (1 + Scenarios!$K$13)</f>
        <v>171067.20401131344</v>
      </c>
      <c r="AY99" s="37">
        <f>AX99 * (1 + Scenarios!$K$13)</f>
        <v>176199.22013165284</v>
      </c>
      <c r="AZ99" s="37">
        <f>AY99 * (1 + Scenarios!$K$13)</f>
        <v>181485.19673560243</v>
      </c>
    </row>
    <row r="100" spans="1:52" s="37" customFormat="1">
      <c r="A100" s="77" t="s">
        <v>313</v>
      </c>
    </row>
    <row r="101" spans="1:52" s="37" customFormat="1">
      <c r="A101" s="78" t="s">
        <v>314</v>
      </c>
      <c r="B101" s="88"/>
      <c r="C101" s="88">
        <f>660+(660*1+Scenarios!K53)</f>
        <v>1320</v>
      </c>
      <c r="D101" s="37">
        <f>C101 * (1 + Scenarios!$K$10)</f>
        <v>1352.9999999999998</v>
      </c>
      <c r="E101" s="37">
        <f>D101 * (1 + Scenarios!$K$10)</f>
        <v>1386.8249999999996</v>
      </c>
      <c r="F101" s="37">
        <f>E101 * (1 + Scenarios!$K$10)</f>
        <v>1421.4956249999996</v>
      </c>
      <c r="G101" s="37">
        <f>F101 * (1 + Scenarios!$K$10)</f>
        <v>1457.0330156249995</v>
      </c>
      <c r="H101" s="37">
        <f>G101 * (1 + Scenarios!$K$10)</f>
        <v>1493.4588410156243</v>
      </c>
      <c r="I101" s="37">
        <f>H101 * (1 + Scenarios!$K$10)</f>
        <v>1530.7953120410148</v>
      </c>
      <c r="J101" s="37">
        <f>I101 * (1 + Scenarios!$K$10)</f>
        <v>1569.06519484204</v>
      </c>
      <c r="K101" s="37">
        <f>J101 * (1 + Scenarios!$K$10)</f>
        <v>1608.2918247130908</v>
      </c>
      <c r="L101" s="37">
        <f>K101 * (1 + Scenarios!$K$10)</f>
        <v>1648.499120330918</v>
      </c>
      <c r="M101" s="37">
        <f>L101 * (1 + Scenarios!$K$10)</f>
        <v>1689.7115983391909</v>
      </c>
      <c r="N101" s="37">
        <f>M101 * (1 + Scenarios!$K$10)</f>
        <v>1731.9543882976704</v>
      </c>
      <c r="O101" s="37">
        <f>N101 * (1 + Scenarios!$K$10)</f>
        <v>1775.253248005112</v>
      </c>
      <c r="P101" s="37">
        <f>O101 * (1 + Scenarios!$K$10)</f>
        <v>1819.6345792052396</v>
      </c>
      <c r="Q101" s="37">
        <f>P101 * (1 + Scenarios!$K$10)</f>
        <v>1865.1254436853703</v>
      </c>
      <c r="R101" s="37">
        <f>Q101 * (1 + Scenarios!$K$10)</f>
        <v>1911.7535797775045</v>
      </c>
      <c r="S101" s="37">
        <f>R101 * (1 + Scenarios!$K$10)</f>
        <v>1959.5474192719419</v>
      </c>
      <c r="T101" s="37">
        <f>S101 * (1 + Scenarios!$K$10)</f>
        <v>2008.5361047537403</v>
      </c>
      <c r="U101" s="37">
        <f>T101 * (1 + Scenarios!$K$10)</f>
        <v>2058.7495073725836</v>
      </c>
      <c r="V101" s="37">
        <f>U101 * (1 + Scenarios!$K$10)</f>
        <v>2110.218245056898</v>
      </c>
      <c r="W101" s="37">
        <f>V101 * (1 + Scenarios!$K$10)</f>
        <v>2162.9737011833204</v>
      </c>
      <c r="X101" s="37">
        <f>W101 * (1 + Scenarios!$K$10)</f>
        <v>2217.0480437129031</v>
      </c>
      <c r="Y101" s="37">
        <f>X101 * (1 + Scenarios!$K$10)</f>
        <v>2272.4742448057254</v>
      </c>
      <c r="Z101" s="37">
        <f>Y101 * (1 + Scenarios!$K$10)</f>
        <v>2329.2861009258686</v>
      </c>
      <c r="AA101" s="37">
        <f>Z101 * (1 + Scenarios!$K$10)</f>
        <v>2387.518253449015</v>
      </c>
      <c r="AB101" s="37">
        <f>AA101 * (1 + Scenarios!$K$10)</f>
        <v>2447.2062097852399</v>
      </c>
      <c r="AC101" s="37">
        <f>AB101 * (1 + Scenarios!$K$10)</f>
        <v>2508.3863650298708</v>
      </c>
      <c r="AD101" s="37">
        <f>AC101 * (1 + Scenarios!$K$10)</f>
        <v>2571.0960241556172</v>
      </c>
      <c r="AE101" s="37">
        <f>AD101 * (1 + Scenarios!$K$10)</f>
        <v>2635.3734247595075</v>
      </c>
      <c r="AF101" s="37">
        <f>AE101 * (1 + Scenarios!$K$10)</f>
        <v>2701.2577603784948</v>
      </c>
      <c r="AG101" s="37">
        <f>AF101 * (1 + Scenarios!$K$10)</f>
        <v>2768.7892043879569</v>
      </c>
      <c r="AH101" s="37">
        <f>AG101 * (1 + Scenarios!$K$10)</f>
        <v>2838.0089344976554</v>
      </c>
      <c r="AI101" s="37">
        <f>AH101 * (1 + Scenarios!$K$10)</f>
        <v>2908.9591578600966</v>
      </c>
      <c r="AJ101" s="37">
        <f>AI101 * (1 + Scenarios!$K$10)</f>
        <v>2981.6831368065987</v>
      </c>
      <c r="AK101" s="37">
        <f>AJ101 * (1 + Scenarios!$K$10)</f>
        <v>3056.2252152267633</v>
      </c>
      <c r="AL101" s="37">
        <f>AK101 * (1 + Scenarios!$K$10)</f>
        <v>3132.6308456074321</v>
      </c>
      <c r="AM101" s="37">
        <f>AL101 * (1 + Scenarios!$K$10)</f>
        <v>3210.9466167476176</v>
      </c>
      <c r="AN101" s="37">
        <f>AM101 * (1 + Scenarios!$K$10)</f>
        <v>3291.2202821663077</v>
      </c>
      <c r="AO101" s="37">
        <f>AN101 * (1 + Scenarios!$K$10)</f>
        <v>3373.5007892204653</v>
      </c>
      <c r="AP101" s="37">
        <f>AO101 * (1 + Scenarios!$K$10)</f>
        <v>3457.8383089509766</v>
      </c>
      <c r="AQ101" s="37">
        <f>AP101 * (1 + Scenarios!$K$10)</f>
        <v>3544.2842666747506</v>
      </c>
      <c r="AR101" s="37">
        <f>AQ101 * (1 + Scenarios!$K$10)</f>
        <v>3632.8913733416189</v>
      </c>
      <c r="AS101" s="37">
        <f>AR101 * (1 + Scenarios!$K$10)</f>
        <v>3723.7136576751591</v>
      </c>
      <c r="AT101" s="37">
        <f>AS101 * (1 + Scenarios!$K$10)</f>
        <v>3816.8064991170377</v>
      </c>
      <c r="AU101" s="37">
        <f>AT101 * (1 + Scenarios!$K$10)</f>
        <v>3912.2266615949634</v>
      </c>
      <c r="AV101" s="37">
        <f>AU101 * (1 + Scenarios!$K$10)</f>
        <v>4010.0323281348369</v>
      </c>
      <c r="AW101" s="37">
        <f>AV101 * (1 + Scenarios!$K$10)</f>
        <v>4110.2831363382074</v>
      </c>
      <c r="AX101" s="37">
        <f>AW101 * (1 + Scenarios!$K$10)</f>
        <v>4213.0402147466621</v>
      </c>
      <c r="AY101" s="37">
        <f>AX101 * (1 + Scenarios!$K$10)</f>
        <v>4318.3662201153284</v>
      </c>
      <c r="AZ101" s="37">
        <f>AY101 * (1 + Scenarios!$K$10)</f>
        <v>4426.3253756182112</v>
      </c>
    </row>
    <row r="102" spans="1:52" s="37" customFormat="1">
      <c r="A102" s="78" t="s">
        <v>315</v>
      </c>
      <c r="B102" s="88"/>
      <c r="C102" s="88">
        <v>750</v>
      </c>
      <c r="D102" s="37">
        <f>C102* (1 + Scenarios!$K$10)</f>
        <v>768.74999999999989</v>
      </c>
      <c r="E102" s="37">
        <f>D102* (1 + Scenarios!$K$10)</f>
        <v>787.96874999999977</v>
      </c>
      <c r="F102" s="37">
        <f>E102* (1 + Scenarios!$K$10)</f>
        <v>807.66796874999966</v>
      </c>
      <c r="G102" s="37">
        <f>F102* (1 + Scenarios!$K$10)</f>
        <v>827.85966796874959</v>
      </c>
      <c r="H102" s="37">
        <f>G102* (1 + Scenarios!$K$10)</f>
        <v>848.55615966796825</v>
      </c>
      <c r="I102" s="37">
        <f>H102* (1 + Scenarios!$K$10)</f>
        <v>869.77006365966736</v>
      </c>
      <c r="J102" s="37">
        <f>I102* (1 + Scenarios!$K$10)</f>
        <v>891.51431525115902</v>
      </c>
      <c r="K102" s="37">
        <f>J102* (1 + Scenarios!$K$10)</f>
        <v>913.80217313243793</v>
      </c>
      <c r="L102" s="37">
        <f>K102* (1 + Scenarios!$K$10)</f>
        <v>936.64722746074881</v>
      </c>
      <c r="M102" s="37">
        <f>L102* (1 + Scenarios!$K$10)</f>
        <v>960.06340814726741</v>
      </c>
      <c r="N102" s="37">
        <f>M102* (1 + Scenarios!$K$10)</f>
        <v>984.06499335094895</v>
      </c>
      <c r="O102" s="37">
        <f>N102* (1 + Scenarios!$K$10)</f>
        <v>1008.6666181847226</v>
      </c>
      <c r="P102" s="37">
        <f>O102* (1 + Scenarios!$K$10)</f>
        <v>1033.8832836393406</v>
      </c>
      <c r="Q102" s="37">
        <f>P102* (1 + Scenarios!$K$10)</f>
        <v>1059.7303657303239</v>
      </c>
      <c r="R102" s="37">
        <f>Q102* (1 + Scenarios!$K$10)</f>
        <v>1086.2236248735819</v>
      </c>
      <c r="S102" s="37">
        <f>R102* (1 + Scenarios!$K$10)</f>
        <v>1113.3792154954215</v>
      </c>
      <c r="T102" s="37">
        <f>S102* (1 + Scenarios!$K$10)</f>
        <v>1141.2136958828069</v>
      </c>
      <c r="U102" s="37">
        <f>T102* (1 + Scenarios!$K$10)</f>
        <v>1169.744038279877</v>
      </c>
      <c r="V102" s="37">
        <f>U102* (1 + Scenarios!$K$10)</f>
        <v>1198.9876392368737</v>
      </c>
      <c r="W102" s="37">
        <f>V102* (1 + Scenarios!$K$10)</f>
        <v>1228.9623302177954</v>
      </c>
      <c r="X102" s="37">
        <f>W102* (1 + Scenarios!$K$10)</f>
        <v>1259.6863884732402</v>
      </c>
      <c r="Y102" s="37">
        <f>X102* (1 + Scenarios!$K$10)</f>
        <v>1291.1785481850711</v>
      </c>
      <c r="Z102" s="37">
        <f>Y102* (1 + Scenarios!$K$10)</f>
        <v>1323.4580118896977</v>
      </c>
      <c r="AA102" s="37">
        <f>Z102* (1 + Scenarios!$K$10)</f>
        <v>1356.5444621869401</v>
      </c>
      <c r="AB102" s="37">
        <f>AA102* (1 + Scenarios!$K$10)</f>
        <v>1390.4580737416136</v>
      </c>
      <c r="AC102" s="37">
        <f>AB102* (1 + Scenarios!$K$10)</f>
        <v>1425.2195255851539</v>
      </c>
      <c r="AD102" s="37">
        <f>AC102* (1 + Scenarios!$K$10)</f>
        <v>1460.8500137247827</v>
      </c>
      <c r="AE102" s="37">
        <f>AD102* (1 + Scenarios!$K$10)</f>
        <v>1497.3712640679021</v>
      </c>
      <c r="AF102" s="37">
        <f>AE102* (1 + Scenarios!$K$10)</f>
        <v>1534.8055456695995</v>
      </c>
      <c r="AG102" s="37">
        <f>AF102* (1 + Scenarios!$K$10)</f>
        <v>1573.1756843113394</v>
      </c>
      <c r="AH102" s="37">
        <f>AG102* (1 + Scenarios!$K$10)</f>
        <v>1612.5050764191228</v>
      </c>
      <c r="AI102" s="37">
        <f>AH102* (1 + Scenarios!$K$10)</f>
        <v>1652.8177033296008</v>
      </c>
      <c r="AJ102" s="37">
        <f>AI102* (1 + Scenarios!$K$10)</f>
        <v>1694.1381459128406</v>
      </c>
      <c r="AK102" s="37">
        <f>AJ102* (1 + Scenarios!$K$10)</f>
        <v>1736.4915995606616</v>
      </c>
      <c r="AL102" s="37">
        <f>AK102* (1 + Scenarios!$K$10)</f>
        <v>1779.9038895496781</v>
      </c>
      <c r="AM102" s="37">
        <f>AL102* (1 + Scenarios!$K$10)</f>
        <v>1824.4014867884198</v>
      </c>
      <c r="AN102" s="37">
        <f>AM102* (1 + Scenarios!$K$10)</f>
        <v>1870.0115239581301</v>
      </c>
      <c r="AO102" s="37">
        <f>AN102* (1 + Scenarios!$K$10)</f>
        <v>1916.761812057083</v>
      </c>
      <c r="AP102" s="37">
        <f>AO102* (1 + Scenarios!$K$10)</f>
        <v>1964.6808573585099</v>
      </c>
      <c r="AQ102" s="37">
        <f>AP102* (1 + Scenarios!$K$10)</f>
        <v>2013.7978787924724</v>
      </c>
      <c r="AR102" s="37">
        <f>AQ102* (1 + Scenarios!$K$10)</f>
        <v>2064.1428257622838</v>
      </c>
      <c r="AS102" s="37">
        <f>AR102* (1 + Scenarios!$K$10)</f>
        <v>2115.7463964063409</v>
      </c>
      <c r="AT102" s="37">
        <f>AS102* (1 + Scenarios!$K$10)</f>
        <v>2168.6400563164993</v>
      </c>
      <c r="AU102" s="37">
        <f>AT102* (1 + Scenarios!$K$10)</f>
        <v>2222.8560577244116</v>
      </c>
      <c r="AV102" s="37">
        <f>AU102* (1 + Scenarios!$K$10)</f>
        <v>2278.4274591675216</v>
      </c>
      <c r="AW102" s="37">
        <f>AV102* (1 + Scenarios!$K$10)</f>
        <v>2335.3881456467093</v>
      </c>
      <c r="AX102" s="37">
        <f>AW102* (1 + Scenarios!$K$10)</f>
        <v>2393.7728492878769</v>
      </c>
      <c r="AY102" s="37">
        <f>AX102* (1 + Scenarios!$K$10)</f>
        <v>2453.6171705200736</v>
      </c>
      <c r="AZ102" s="37">
        <f>AY102* (1 + Scenarios!$K$10)</f>
        <v>2514.9575997830752</v>
      </c>
    </row>
    <row r="103" spans="1:52" s="37" customFormat="1">
      <c r="A103" s="78" t="s">
        <v>316</v>
      </c>
      <c r="B103" s="88"/>
      <c r="C103" s="88">
        <f>922.72*4</f>
        <v>3690.88</v>
      </c>
      <c r="D103" s="37">
        <f>C103* (1 + Scenarios!$K$10)</f>
        <v>3783.1519999999996</v>
      </c>
      <c r="E103" s="37">
        <f>D103* (1 + Scenarios!$K$10)</f>
        <v>3877.7307999999994</v>
      </c>
      <c r="F103" s="37">
        <f>E103* (1 + Scenarios!$K$10)</f>
        <v>3974.6740699999991</v>
      </c>
      <c r="G103" s="37">
        <f>F103* (1 + Scenarios!$K$10)</f>
        <v>4074.0409217499987</v>
      </c>
      <c r="H103" s="37">
        <f>G103* (1 + Scenarios!$K$10)</f>
        <v>4175.8919447937487</v>
      </c>
      <c r="I103" s="37">
        <f>H103* (1 + Scenarios!$K$10)</f>
        <v>4280.289243413592</v>
      </c>
      <c r="J103" s="37">
        <f>I103* (1 + Scenarios!$K$10)</f>
        <v>4387.2964744989313</v>
      </c>
      <c r="K103" s="37">
        <f>J103* (1 + Scenarios!$K$10)</f>
        <v>4496.978886361404</v>
      </c>
      <c r="L103" s="37">
        <f>K103* (1 + Scenarios!$K$10)</f>
        <v>4609.4033585204388</v>
      </c>
      <c r="M103" s="37">
        <f>L103* (1 + Scenarios!$K$10)</f>
        <v>4724.6384424834496</v>
      </c>
      <c r="N103" s="37">
        <f>M103* (1 + Scenarios!$K$10)</f>
        <v>4842.7544035455358</v>
      </c>
      <c r="O103" s="37">
        <f>N103* (1 + Scenarios!$K$10)</f>
        <v>4963.8232636341736</v>
      </c>
      <c r="P103" s="37">
        <f>O103* (1 + Scenarios!$K$10)</f>
        <v>5087.9188452250273</v>
      </c>
      <c r="Q103" s="37">
        <f>P103* (1 + Scenarios!$K$10)</f>
        <v>5215.1168163556522</v>
      </c>
      <c r="R103" s="37">
        <f>Q103* (1 + Scenarios!$K$10)</f>
        <v>5345.4947367645427</v>
      </c>
      <c r="S103" s="37">
        <f>R103* (1 + Scenarios!$K$10)</f>
        <v>5479.1321051836558</v>
      </c>
      <c r="T103" s="37">
        <f>S103* (1 + Scenarios!$K$10)</f>
        <v>5616.1104078132466</v>
      </c>
      <c r="U103" s="37">
        <f>T103* (1 + Scenarios!$K$10)</f>
        <v>5756.5131680085769</v>
      </c>
      <c r="V103" s="37">
        <f>U103* (1 + Scenarios!$K$10)</f>
        <v>5900.4259972087912</v>
      </c>
      <c r="W103" s="37">
        <f>V103* (1 + Scenarios!$K$10)</f>
        <v>6047.9366471390103</v>
      </c>
      <c r="X103" s="37">
        <f>W103* (1 + Scenarios!$K$10)</f>
        <v>6199.1350633174852</v>
      </c>
      <c r="Y103" s="37">
        <f>X103* (1 + Scenarios!$K$10)</f>
        <v>6354.1134399004222</v>
      </c>
      <c r="Z103" s="37">
        <f>Y103* (1 + Scenarios!$K$10)</f>
        <v>6512.9662758979321</v>
      </c>
      <c r="AA103" s="37">
        <f>Z103* (1 + Scenarios!$K$10)</f>
        <v>6675.7904327953802</v>
      </c>
      <c r="AB103" s="37">
        <f>AA103* (1 + Scenarios!$K$10)</f>
        <v>6842.6851936152643</v>
      </c>
      <c r="AC103" s="37">
        <f>AB103* (1 + Scenarios!$K$10)</f>
        <v>7013.7523234556456</v>
      </c>
      <c r="AD103" s="37">
        <f>AC103* (1 + Scenarios!$K$10)</f>
        <v>7189.0961315420363</v>
      </c>
      <c r="AE103" s="37">
        <f>AD103* (1 + Scenarios!$K$10)</f>
        <v>7368.8235348305871</v>
      </c>
      <c r="AF103" s="37">
        <f>AE103* (1 + Scenarios!$K$10)</f>
        <v>7553.0441232013509</v>
      </c>
      <c r="AG103" s="37">
        <f>AF103* (1 + Scenarios!$K$10)</f>
        <v>7741.870226281384</v>
      </c>
      <c r="AH103" s="37">
        <f>AG103* (1 + Scenarios!$K$10)</f>
        <v>7935.4169819384178</v>
      </c>
      <c r="AI103" s="37">
        <f>AH103* (1 + Scenarios!$K$10)</f>
        <v>8133.8024064868778</v>
      </c>
      <c r="AJ103" s="37">
        <f>AI103* (1 + Scenarios!$K$10)</f>
        <v>8337.1474666490485</v>
      </c>
      <c r="AK103" s="37">
        <f>AJ103* (1 + Scenarios!$K$10)</f>
        <v>8545.5761533152745</v>
      </c>
      <c r="AL103" s="37">
        <f>AK103* (1 + Scenarios!$K$10)</f>
        <v>8759.2155571481562</v>
      </c>
      <c r="AM103" s="37">
        <f>AL103* (1 + Scenarios!$K$10)</f>
        <v>8978.1959460768594</v>
      </c>
      <c r="AN103" s="37">
        <f>AM103* (1 + Scenarios!$K$10)</f>
        <v>9202.6508447287797</v>
      </c>
      <c r="AO103" s="37">
        <f>AN103* (1 + Scenarios!$K$10)</f>
        <v>9432.7171158469991</v>
      </c>
      <c r="AP103" s="37">
        <f>AO103* (1 + Scenarios!$K$10)</f>
        <v>9668.5350437431734</v>
      </c>
      <c r="AQ103" s="37">
        <f>AP103* (1 + Scenarios!$K$10)</f>
        <v>9910.2484198367511</v>
      </c>
      <c r="AR103" s="37">
        <f>AQ103* (1 + Scenarios!$K$10)</f>
        <v>10158.004630332669</v>
      </c>
      <c r="AS103" s="37">
        <f>AR103* (1 + Scenarios!$K$10)</f>
        <v>10411.954746090985</v>
      </c>
      <c r="AT103" s="37">
        <f>AS103* (1 + Scenarios!$K$10)</f>
        <v>10672.253614743258</v>
      </c>
      <c r="AU103" s="37">
        <f>AT103* (1 + Scenarios!$K$10)</f>
        <v>10939.059955111839</v>
      </c>
      <c r="AV103" s="37">
        <f>AU103* (1 + Scenarios!$K$10)</f>
        <v>11212.536453989635</v>
      </c>
      <c r="AW103" s="37">
        <f>AV103* (1 + Scenarios!$K$10)</f>
        <v>11492.849865339374</v>
      </c>
      <c r="AX103" s="37">
        <f>AW103* (1 + Scenarios!$K$10)</f>
        <v>11780.171111972857</v>
      </c>
      <c r="AY103" s="37">
        <f>AX103* (1 + Scenarios!$K$10)</f>
        <v>12074.675389772177</v>
      </c>
      <c r="AZ103" s="37">
        <f>AY103* (1 + Scenarios!$K$10)</f>
        <v>12376.542274516481</v>
      </c>
    </row>
    <row r="104" spans="1:52" s="37" customFormat="1">
      <c r="A104" s="78" t="s">
        <v>317</v>
      </c>
      <c r="B104" s="88">
        <f>Properties!$C$22</f>
        <v>770</v>
      </c>
      <c r="C104" s="88">
        <f t="array" ref="C104">Properties!$D$22</f>
        <v>1262.8</v>
      </c>
      <c r="D104" s="37">
        <f t="array" ref="D104">Properties!$E$22</f>
        <v>1894.2000000000003</v>
      </c>
      <c r="E104" s="37">
        <f t="array" ref="E104">Properties!$F$22</f>
        <v>1969.94</v>
      </c>
      <c r="F104" s="37">
        <f t="array" ref="F104">Properties!$G$22</f>
        <v>2048.7600000000002</v>
      </c>
      <c r="G104" s="37">
        <f t="array" ref="G104">Properties!$H$22</f>
        <v>2130.73</v>
      </c>
      <c r="H104" s="37">
        <f t="array" ref="H104">Properties!$I$22</f>
        <v>3089.52</v>
      </c>
      <c r="I104" s="37">
        <f t="array" ref="I104">Properties!$J$22</f>
        <v>3213.14</v>
      </c>
      <c r="J104" s="37">
        <f t="array" ref="J104">Properties!$K$22</f>
        <v>3341.66</v>
      </c>
      <c r="K104" s="37">
        <f t="array" ref="K104">Properties!$L$22</f>
        <v>3475.29</v>
      </c>
      <c r="L104" s="37">
        <f t="array" ref="L104">Properties!$M$22</f>
        <v>3614.3100000000004</v>
      </c>
      <c r="M104" s="37">
        <f t="array" ref="M104">Properties!$N$22</f>
        <v>3758.9300000000003</v>
      </c>
      <c r="N104" s="37">
        <f t="array" ref="N104">Properties!$O$22</f>
        <v>3909.2200000000003</v>
      </c>
      <c r="O104" s="37">
        <f t="array" ref="O104">Properties!$P$22</f>
        <v>4065.5999999999995</v>
      </c>
      <c r="P104" s="37">
        <f t="array" ref="P104">Properties!$Q$22</f>
        <v>4228.28</v>
      </c>
      <c r="Q104" s="37">
        <f t="array" ref="Q104">P104*(1+Scenarios!$K$10)</f>
        <v>4333.9869999999992</v>
      </c>
      <c r="R104" s="37">
        <f t="array" ref="R104">Q104*(1+Scenarios!$K$10)</f>
        <v>4442.3366749999986</v>
      </c>
      <c r="S104" s="37">
        <f t="array" ref="S104">R104*(1+Scenarios!$K$10)</f>
        <v>4553.3950918749979</v>
      </c>
      <c r="T104" s="37">
        <f t="array" ref="T104">S104*(1+Scenarios!$K$10)</f>
        <v>4667.2299691718727</v>
      </c>
      <c r="U104" s="37">
        <f t="array" ref="U104">T104*(1+Scenarios!$K$10)</f>
        <v>4783.9107184011691</v>
      </c>
      <c r="V104" s="37">
        <f t="array" ref="V104">U104*(1+Scenarios!$K$10)</f>
        <v>4903.5084863611983</v>
      </c>
      <c r="W104" s="37">
        <f t="array" ref="W104">V104*(1+Scenarios!$K$10)</f>
        <v>5026.0961985202275</v>
      </c>
      <c r="X104" s="37">
        <f t="array" ref="X104">W104*(1+Scenarios!$K$10)</f>
        <v>5151.7486034832327</v>
      </c>
      <c r="Y104" s="37">
        <f t="array" ref="Y104">X104*(1+Scenarios!$K$10)</f>
        <v>5280.542318570313</v>
      </c>
      <c r="Z104" s="37">
        <f t="array" ref="Z104">Y104*(1+Scenarios!$K$10)</f>
        <v>5412.5558765345704</v>
      </c>
      <c r="AA104" s="37">
        <f t="array" ref="AA104">Z104*(1+Scenarios!$K$10)</f>
        <v>5547.8697734479338</v>
      </c>
      <c r="AB104" s="37">
        <f t="array" ref="AB104">AA104*(1+Scenarios!$K$10)</f>
        <v>5686.566517784132</v>
      </c>
      <c r="AC104" s="37">
        <f t="array" ref="AC104">AB104*(1+Scenarios!$K$10)</f>
        <v>5828.730680728735</v>
      </c>
      <c r="AD104" s="37">
        <f t="array" ref="AD104">AC104*(1+Scenarios!$K$10)</f>
        <v>5974.4489477469533</v>
      </c>
      <c r="AE104" s="37">
        <f t="array" ref="AE104">AD104*(1+Scenarios!$K$10)</f>
        <v>6123.8101714406266</v>
      </c>
      <c r="AF104" s="37">
        <f t="array" ref="AF104">AE104*(1+Scenarios!$K$10)</f>
        <v>6276.9054257266416</v>
      </c>
      <c r="AG104" s="37">
        <f t="array" ref="AG104">AF104*(1+Scenarios!$K$10)</f>
        <v>6433.8280613698071</v>
      </c>
      <c r="AH104" s="37">
        <f t="array" ref="AH104">AG104*(1+Scenarios!$K$10)</f>
        <v>6594.6737629040517</v>
      </c>
      <c r="AI104" s="37">
        <f t="array" ref="AI104">AH104*(1+Scenarios!$K$10)</f>
        <v>6759.5406069766523</v>
      </c>
      <c r="AJ104" s="37">
        <f t="array" ref="AJ104">AI104*(1+Scenarios!$K$10)</f>
        <v>6928.5291221510679</v>
      </c>
      <c r="AK104" s="37">
        <f t="array" ref="AK104">AJ104*(1+Scenarios!$K$10)</f>
        <v>7101.7423502048441</v>
      </c>
      <c r="AL104" s="37">
        <f t="array" ref="AL104">AK104*(1+Scenarios!$K$10)</f>
        <v>7279.2859089599642</v>
      </c>
      <c r="AM104" s="37">
        <f t="array" ref="AM104">AL104*(1+Scenarios!$K$10)</f>
        <v>7461.2680566839626</v>
      </c>
      <c r="AN104" s="37">
        <f t="array" ref="AN104">AM104*(1+Scenarios!$K$10)</f>
        <v>7647.7997581010613</v>
      </c>
      <c r="AO104" s="37">
        <f t="array" ref="AO104">AN104*(1+Scenarios!$K$10)</f>
        <v>7838.994752053587</v>
      </c>
      <c r="AP104" s="37">
        <f t="array" ref="AP104">AO104*(1+Scenarios!$K$10)</f>
        <v>8034.9696208549258</v>
      </c>
      <c r="AQ104" s="37">
        <f t="array" ref="AQ104">AP104*(1+Scenarios!$K$10)</f>
        <v>8235.8438613762974</v>
      </c>
      <c r="AR104" s="37">
        <f t="array" ref="AR104">AQ104*(1+Scenarios!$K$10)</f>
        <v>8441.7399579107041</v>
      </c>
      <c r="AS104" s="37">
        <f t="array" ref="AS104">AR104*(1+Scenarios!$K$10)</f>
        <v>8652.7834568584713</v>
      </c>
      <c r="AT104" s="37">
        <f t="array" ref="AT104">AS104*(1+Scenarios!$K$10)</f>
        <v>8869.1030432799325</v>
      </c>
      <c r="AU104" s="37">
        <f t="array" ref="AU104">AT104*(1+Scenarios!$K$10)</f>
        <v>9090.8306193619301</v>
      </c>
      <c r="AV104" s="37">
        <f t="array" ref="AV104">AU104*(1+Scenarios!$K$10)</f>
        <v>9318.101384845977</v>
      </c>
      <c r="AW104" s="37">
        <f t="array" ref="AW104">AV104*(1+Scenarios!$K$10)</f>
        <v>9551.0539194671255</v>
      </c>
      <c r="AX104" s="37">
        <f t="array" ref="AX104">AW104*(1+Scenarios!$K$10)</f>
        <v>9789.8302674538027</v>
      </c>
      <c r="AY104" s="37">
        <f t="array" ref="AY104">AX104*(1+Scenarios!$K$10)</f>
        <v>10034.576024140148</v>
      </c>
      <c r="AZ104" s="37">
        <f t="array" ref="AZ104">AY104*(1+Scenarios!$K$10)</f>
        <v>10285.440424743651</v>
      </c>
    </row>
    <row r="105" spans="1:52" s="79" customFormat="1">
      <c r="A105" s="79" t="s">
        <v>318</v>
      </c>
      <c r="B105" s="90"/>
      <c r="C105" s="90">
        <v>0</v>
      </c>
      <c r="D105" s="37">
        <f>C105* (1 + Scenarios!$K$10)</f>
        <v>0</v>
      </c>
      <c r="E105" s="37">
        <f>D105* (1 + Scenarios!$K$10)</f>
        <v>0</v>
      </c>
      <c r="F105" s="37">
        <f>E105* (1 + Scenarios!$K$10)</f>
        <v>0</v>
      </c>
      <c r="G105" s="37">
        <f>F105* (1 + Scenarios!$K$10)</f>
        <v>0</v>
      </c>
      <c r="H105" s="37">
        <f>G105* (1 + Scenarios!$K$10)</f>
        <v>0</v>
      </c>
      <c r="I105" s="37">
        <f>H105* (1 + Scenarios!$K$10)</f>
        <v>0</v>
      </c>
      <c r="J105" s="37">
        <f>I105* (1 + Scenarios!$K$10)</f>
        <v>0</v>
      </c>
      <c r="K105" s="37">
        <f>J105* (1 + Scenarios!$K$10)</f>
        <v>0</v>
      </c>
      <c r="L105" s="37">
        <f>K105* (1 + Scenarios!$K$10)</f>
        <v>0</v>
      </c>
      <c r="M105" s="37">
        <f>L105* (1 + Scenarios!$K$10)</f>
        <v>0</v>
      </c>
      <c r="N105" s="37">
        <f>M105* (1 + Scenarios!$K$10)</f>
        <v>0</v>
      </c>
      <c r="O105" s="37">
        <f>N105* (1 + Scenarios!$K$10)</f>
        <v>0</v>
      </c>
      <c r="P105" s="37">
        <f>O105* (1 + Scenarios!$K$10)</f>
        <v>0</v>
      </c>
      <c r="Q105" s="37">
        <f>P105* (1 + Scenarios!$K$10)</f>
        <v>0</v>
      </c>
      <c r="R105" s="37">
        <f>Q105* (1 + Scenarios!$K$10)</f>
        <v>0</v>
      </c>
      <c r="S105" s="37">
        <f>R105* (1 + Scenarios!$K$10)</f>
        <v>0</v>
      </c>
      <c r="T105" s="37">
        <f>S105* (1 + Scenarios!$K$10)</f>
        <v>0</v>
      </c>
      <c r="U105" s="37">
        <f>T105* (1 + Scenarios!$K$10)</f>
        <v>0</v>
      </c>
      <c r="V105" s="37">
        <f>U105* (1 + Scenarios!$K$10)</f>
        <v>0</v>
      </c>
      <c r="W105" s="37">
        <f>V105* (1 + Scenarios!$K$10)</f>
        <v>0</v>
      </c>
      <c r="X105" s="37">
        <f>W105* (1 + Scenarios!$K$10)</f>
        <v>0</v>
      </c>
      <c r="Y105" s="37">
        <f>X105* (1 + Scenarios!$K$10)</f>
        <v>0</v>
      </c>
      <c r="Z105" s="37">
        <f>Y105* (1 + Scenarios!$K$10)</f>
        <v>0</v>
      </c>
      <c r="AA105" s="37">
        <f>Z105* (1 + Scenarios!$K$10)</f>
        <v>0</v>
      </c>
      <c r="AB105" s="37">
        <f>AA105* (1 + Scenarios!$K$10)</f>
        <v>0</v>
      </c>
      <c r="AC105" s="37">
        <f>AB105* (1 + Scenarios!$K$10)</f>
        <v>0</v>
      </c>
      <c r="AD105" s="37">
        <f>AC105* (1 + Scenarios!$K$10)</f>
        <v>0</v>
      </c>
      <c r="AE105" s="37">
        <f>AD105* (1 + Scenarios!$K$10)</f>
        <v>0</v>
      </c>
      <c r="AF105" s="37">
        <f>AE105* (1 + Scenarios!$K$10)</f>
        <v>0</v>
      </c>
      <c r="AG105" s="37">
        <f>AF105* (1 + Scenarios!$K$10)</f>
        <v>0</v>
      </c>
      <c r="AH105" s="37">
        <f>AG105* (1 + Scenarios!$K$10)</f>
        <v>0</v>
      </c>
      <c r="AI105" s="37">
        <f>AH105* (1 + Scenarios!$K$10)</f>
        <v>0</v>
      </c>
      <c r="AJ105" s="37">
        <f>AI105* (1 + Scenarios!$K$10)</f>
        <v>0</v>
      </c>
      <c r="AK105" s="37">
        <f>AJ105* (1 + Scenarios!$K$10)</f>
        <v>0</v>
      </c>
      <c r="AL105" s="37">
        <f>AK105* (1 + Scenarios!$K$10)</f>
        <v>0</v>
      </c>
      <c r="AM105" s="37">
        <f>AL105* (1 + Scenarios!$K$10)</f>
        <v>0</v>
      </c>
      <c r="AN105" s="37">
        <f>AM105* (1 + Scenarios!$K$10)</f>
        <v>0</v>
      </c>
      <c r="AO105" s="37">
        <f>AN105* (1 + Scenarios!$K$10)</f>
        <v>0</v>
      </c>
      <c r="AP105" s="37">
        <f>AO105* (1 + Scenarios!$K$10)</f>
        <v>0</v>
      </c>
      <c r="AQ105" s="37">
        <f>AP105* (1 + Scenarios!$K$10)</f>
        <v>0</v>
      </c>
      <c r="AR105" s="37">
        <f>AQ105* (1 + Scenarios!$K$10)</f>
        <v>0</v>
      </c>
      <c r="AS105" s="37">
        <f>AR105* (1 + Scenarios!$K$10)</f>
        <v>0</v>
      </c>
      <c r="AT105" s="37">
        <f>AS105* (1 + Scenarios!$K$10)</f>
        <v>0</v>
      </c>
      <c r="AU105" s="37">
        <f>AT105* (1 + Scenarios!$K$10)</f>
        <v>0</v>
      </c>
      <c r="AV105" s="37">
        <f>AU105* (1 + Scenarios!$K$10)</f>
        <v>0</v>
      </c>
      <c r="AW105" s="37">
        <f>AV105* (1 + Scenarios!$K$10)</f>
        <v>0</v>
      </c>
      <c r="AX105" s="37">
        <f>AW105* (1 + Scenarios!$K$10)</f>
        <v>0</v>
      </c>
      <c r="AY105" s="37">
        <f>AX105* (1 + Scenarios!$K$10)</f>
        <v>0</v>
      </c>
      <c r="AZ105" s="37">
        <f>AY105* (1 + Scenarios!$K$10)</f>
        <v>0</v>
      </c>
    </row>
    <row r="106" spans="1:52" s="79" customFormat="1">
      <c r="A106" s="78" t="s">
        <v>319</v>
      </c>
      <c r="B106" s="90"/>
      <c r="C106" s="90">
        <v>0</v>
      </c>
      <c r="D106" s="37">
        <f>C106* (1 + Scenarios!$K$10)</f>
        <v>0</v>
      </c>
      <c r="E106" s="37">
        <f>D106* (1 + Scenarios!$K$10)</f>
        <v>0</v>
      </c>
      <c r="F106" s="37">
        <f>E106* (1 + Scenarios!$K$10)</f>
        <v>0</v>
      </c>
      <c r="G106" s="37">
        <f>F106* (1 + Scenarios!$K$10)</f>
        <v>0</v>
      </c>
      <c r="H106" s="37">
        <f>G106* (1 + Scenarios!$K$10)</f>
        <v>0</v>
      </c>
      <c r="I106" s="37">
        <f>H106* (1 + Scenarios!$K$10)</f>
        <v>0</v>
      </c>
      <c r="J106" s="37">
        <f>I106* (1 + Scenarios!$K$10)</f>
        <v>0</v>
      </c>
      <c r="K106" s="37">
        <f>J106* (1 + Scenarios!$K$10)</f>
        <v>0</v>
      </c>
      <c r="L106" s="37">
        <f>K106* (1 + Scenarios!$K$10)</f>
        <v>0</v>
      </c>
      <c r="M106" s="37">
        <f>L106* (1 + Scenarios!$K$10)</f>
        <v>0</v>
      </c>
      <c r="N106" s="37">
        <f>M106* (1 + Scenarios!$K$10)</f>
        <v>0</v>
      </c>
      <c r="O106" s="37">
        <f>N106* (1 + Scenarios!$K$10)</f>
        <v>0</v>
      </c>
      <c r="P106" s="37">
        <f>O106* (1 + Scenarios!$K$10)</f>
        <v>0</v>
      </c>
      <c r="Q106" s="37">
        <f>P106* (1 + Scenarios!$K$10)</f>
        <v>0</v>
      </c>
      <c r="R106" s="37">
        <f>Q106* (1 + Scenarios!$K$10)</f>
        <v>0</v>
      </c>
      <c r="S106" s="37">
        <f>R106* (1 + Scenarios!$K$10)</f>
        <v>0</v>
      </c>
      <c r="T106" s="37">
        <f>S106* (1 + Scenarios!$K$10)</f>
        <v>0</v>
      </c>
      <c r="U106" s="37">
        <f>T106* (1 + Scenarios!$K$10)</f>
        <v>0</v>
      </c>
      <c r="V106" s="37">
        <f>U106* (1 + Scenarios!$K$10)</f>
        <v>0</v>
      </c>
      <c r="W106" s="37">
        <f>V106* (1 + Scenarios!$K$10)</f>
        <v>0</v>
      </c>
      <c r="X106" s="37">
        <f>W106* (1 + Scenarios!$K$10)</f>
        <v>0</v>
      </c>
      <c r="Y106" s="37">
        <f>X106* (1 + Scenarios!$K$10)</f>
        <v>0</v>
      </c>
      <c r="Z106" s="37">
        <f>Y106* (1 + Scenarios!$K$10)</f>
        <v>0</v>
      </c>
      <c r="AA106" s="37">
        <f>Z106* (1 + Scenarios!$K$10)</f>
        <v>0</v>
      </c>
      <c r="AB106" s="37">
        <f>AA106* (1 + Scenarios!$K$10)</f>
        <v>0</v>
      </c>
      <c r="AC106" s="37">
        <f>AB106* (1 + Scenarios!$K$10)</f>
        <v>0</v>
      </c>
      <c r="AD106" s="37">
        <f>AC106* (1 + Scenarios!$K$10)</f>
        <v>0</v>
      </c>
      <c r="AE106" s="37">
        <f>AD106* (1 + Scenarios!$K$10)</f>
        <v>0</v>
      </c>
      <c r="AF106" s="37">
        <f>AE106* (1 + Scenarios!$K$10)</f>
        <v>0</v>
      </c>
      <c r="AG106" s="37">
        <f>AF106* (1 + Scenarios!$K$10)</f>
        <v>0</v>
      </c>
      <c r="AH106" s="37">
        <f>AG106* (1 + Scenarios!$K$10)</f>
        <v>0</v>
      </c>
      <c r="AI106" s="37">
        <f>AH106* (1 + Scenarios!$K$10)</f>
        <v>0</v>
      </c>
      <c r="AJ106" s="37">
        <f>AI106* (1 + Scenarios!$K$10)</f>
        <v>0</v>
      </c>
      <c r="AK106" s="37">
        <f>AJ106* (1 + Scenarios!$K$10)</f>
        <v>0</v>
      </c>
      <c r="AL106" s="37">
        <f>AK106* (1 + Scenarios!$K$10)</f>
        <v>0</v>
      </c>
      <c r="AM106" s="37">
        <f>AL106* (1 + Scenarios!$K$10)</f>
        <v>0</v>
      </c>
      <c r="AN106" s="37">
        <f>AM106* (1 + Scenarios!$K$10)</f>
        <v>0</v>
      </c>
      <c r="AO106" s="37">
        <f>AN106* (1 + Scenarios!$K$10)</f>
        <v>0</v>
      </c>
      <c r="AP106" s="37">
        <f>AO106* (1 + Scenarios!$K$10)</f>
        <v>0</v>
      </c>
      <c r="AQ106" s="37">
        <f>AP106* (1 + Scenarios!$K$10)</f>
        <v>0</v>
      </c>
      <c r="AR106" s="37">
        <f>AQ106* (1 + Scenarios!$K$10)</f>
        <v>0</v>
      </c>
      <c r="AS106" s="37">
        <f>AR106* (1 + Scenarios!$K$10)</f>
        <v>0</v>
      </c>
      <c r="AT106" s="37">
        <f>AS106* (1 + Scenarios!$K$10)</f>
        <v>0</v>
      </c>
      <c r="AU106" s="37">
        <f>AT106* (1 + Scenarios!$K$10)</f>
        <v>0</v>
      </c>
      <c r="AV106" s="37">
        <f>AU106* (1 + Scenarios!$K$10)</f>
        <v>0</v>
      </c>
      <c r="AW106" s="37">
        <f>AV106* (1 + Scenarios!$K$10)</f>
        <v>0</v>
      </c>
      <c r="AX106" s="37">
        <f>AW106* (1 + Scenarios!$K$10)</f>
        <v>0</v>
      </c>
      <c r="AY106" s="37">
        <f>AX106* (1 + Scenarios!$K$10)</f>
        <v>0</v>
      </c>
      <c r="AZ106" s="37">
        <f>AY106* (1 + Scenarios!$K$10)</f>
        <v>0</v>
      </c>
    </row>
    <row r="107" spans="1:52" s="79" customFormat="1">
      <c r="A107" s="78" t="s">
        <v>320</v>
      </c>
      <c r="B107" s="88"/>
      <c r="C107" s="88">
        <v>700</v>
      </c>
      <c r="D107" s="37">
        <f>C107* (1 + Scenarios!$K$10)</f>
        <v>717.49999999999989</v>
      </c>
      <c r="E107" s="37">
        <f>D107* (1 + Scenarios!$K$10)</f>
        <v>735.43749999999977</v>
      </c>
      <c r="F107" s="37">
        <f>E107* (1 + Scenarios!$K$10)</f>
        <v>753.82343749999973</v>
      </c>
      <c r="G107" s="37">
        <f>F107* (1 + Scenarios!$K$10)</f>
        <v>772.66902343749962</v>
      </c>
      <c r="H107" s="37">
        <f>G107* (1 + Scenarios!$K$10)</f>
        <v>791.98574902343705</v>
      </c>
      <c r="I107" s="37">
        <f>H107* (1 + Scenarios!$K$10)</f>
        <v>811.78539274902289</v>
      </c>
      <c r="J107" s="37">
        <f>I107* (1 + Scenarios!$K$10)</f>
        <v>832.0800275677484</v>
      </c>
      <c r="K107" s="37">
        <f>J107* (1 + Scenarios!$K$10)</f>
        <v>852.88202825694202</v>
      </c>
      <c r="L107" s="37">
        <f>K107* (1 + Scenarios!$K$10)</f>
        <v>874.20407896336553</v>
      </c>
      <c r="M107" s="37">
        <f>L107* (1 + Scenarios!$K$10)</f>
        <v>896.05918093744958</v>
      </c>
      <c r="N107" s="37">
        <f>M107* (1 + Scenarios!$K$10)</f>
        <v>918.46066046088572</v>
      </c>
      <c r="O107" s="37">
        <f>N107* (1 + Scenarios!$K$10)</f>
        <v>941.42217697240778</v>
      </c>
      <c r="P107" s="37">
        <f>O107* (1 + Scenarios!$K$10)</f>
        <v>964.95773139671792</v>
      </c>
      <c r="Q107" s="37">
        <f>P107* (1 + Scenarios!$K$10)</f>
        <v>989.08167468163583</v>
      </c>
      <c r="R107" s="37">
        <f>Q107* (1 + Scenarios!$K$10)</f>
        <v>1013.8087165486767</v>
      </c>
      <c r="S107" s="37">
        <f>R107* (1 + Scenarios!$K$10)</f>
        <v>1039.1539344623934</v>
      </c>
      <c r="T107" s="37">
        <f>S107* (1 + Scenarios!$K$10)</f>
        <v>1065.1327828239532</v>
      </c>
      <c r="U107" s="37">
        <f>T107* (1 + Scenarios!$K$10)</f>
        <v>1091.7611023945519</v>
      </c>
      <c r="V107" s="37">
        <f>U107* (1 + Scenarios!$K$10)</f>
        <v>1119.0551299544156</v>
      </c>
      <c r="W107" s="37">
        <f>V107* (1 + Scenarios!$K$10)</f>
        <v>1147.031508203276</v>
      </c>
      <c r="X107" s="37">
        <f>W107* (1 + Scenarios!$K$10)</f>
        <v>1175.7072959083578</v>
      </c>
      <c r="Y107" s="37">
        <f>X107* (1 + Scenarios!$K$10)</f>
        <v>1205.0999783060665</v>
      </c>
      <c r="Z107" s="37">
        <f>Y107* (1 + Scenarios!$K$10)</f>
        <v>1235.2274777637181</v>
      </c>
      <c r="AA107" s="37">
        <f>Z107* (1 + Scenarios!$K$10)</f>
        <v>1266.1081647078108</v>
      </c>
      <c r="AB107" s="37">
        <f>AA107* (1 + Scenarios!$K$10)</f>
        <v>1297.7608688255059</v>
      </c>
      <c r="AC107" s="37">
        <f>AB107* (1 + Scenarios!$K$10)</f>
        <v>1330.2048905461434</v>
      </c>
      <c r="AD107" s="37">
        <f>AC107* (1 + Scenarios!$K$10)</f>
        <v>1363.4600128097968</v>
      </c>
      <c r="AE107" s="37">
        <f>AD107* (1 + Scenarios!$K$10)</f>
        <v>1397.5465131300416</v>
      </c>
      <c r="AF107" s="37">
        <f>AE107* (1 + Scenarios!$K$10)</f>
        <v>1432.4851759582925</v>
      </c>
      <c r="AG107" s="37">
        <f>AF107* (1 + Scenarios!$K$10)</f>
        <v>1468.2973053572498</v>
      </c>
      <c r="AH107" s="37">
        <f>AG107* (1 + Scenarios!$K$10)</f>
        <v>1505.0047379911809</v>
      </c>
      <c r="AI107" s="37">
        <f>AH107* (1 + Scenarios!$K$10)</f>
        <v>1542.6298564409603</v>
      </c>
      <c r="AJ107" s="37">
        <f>AI107* (1 + Scenarios!$K$10)</f>
        <v>1581.1956028519842</v>
      </c>
      <c r="AK107" s="37">
        <f>AJ107* (1 + Scenarios!$K$10)</f>
        <v>1620.7254929232836</v>
      </c>
      <c r="AL107" s="37">
        <f>AK107* (1 + Scenarios!$K$10)</f>
        <v>1661.2436302463655</v>
      </c>
      <c r="AM107" s="37">
        <f>AL107* (1 + Scenarios!$K$10)</f>
        <v>1702.7747210025245</v>
      </c>
      <c r="AN107" s="37">
        <f>AM107* (1 + Scenarios!$K$10)</f>
        <v>1745.3440890275874</v>
      </c>
      <c r="AO107" s="37">
        <f>AN107* (1 + Scenarios!$K$10)</f>
        <v>1788.977691253277</v>
      </c>
      <c r="AP107" s="37">
        <f>AO107* (1 + Scenarios!$K$10)</f>
        <v>1833.7021335346087</v>
      </c>
      <c r="AQ107" s="37">
        <f>AP107* (1 + Scenarios!$K$10)</f>
        <v>1879.5446868729737</v>
      </c>
      <c r="AR107" s="37">
        <f>AQ107* (1 + Scenarios!$K$10)</f>
        <v>1926.5333040447979</v>
      </c>
      <c r="AS107" s="37">
        <f>AR107* (1 + Scenarios!$K$10)</f>
        <v>1974.6966366459176</v>
      </c>
      <c r="AT107" s="37">
        <f>AS107* (1 + Scenarios!$K$10)</f>
        <v>2024.0640525620654</v>
      </c>
      <c r="AU107" s="37">
        <f>AT107* (1 + Scenarios!$K$10)</f>
        <v>2074.6656538761167</v>
      </c>
      <c r="AV107" s="37">
        <f>AU107* (1 + Scenarios!$K$10)</f>
        <v>2126.5322952230194</v>
      </c>
      <c r="AW107" s="37">
        <f>AV107* (1 + Scenarios!$K$10)</f>
        <v>2179.6956026035946</v>
      </c>
      <c r="AX107" s="37">
        <f>AW107* (1 + Scenarios!$K$10)</f>
        <v>2234.1879926686843</v>
      </c>
      <c r="AY107" s="37">
        <f>AX107* (1 + Scenarios!$K$10)</f>
        <v>2290.0426924854014</v>
      </c>
      <c r="AZ107" s="37">
        <f>AY107* (1 + Scenarios!$K$10)</f>
        <v>2347.293759797536</v>
      </c>
    </row>
    <row r="108" spans="1:52">
      <c r="A108" s="77" t="s">
        <v>321</v>
      </c>
    </row>
    <row r="109" spans="1:52" s="73" customFormat="1">
      <c r="A109" s="86" t="s">
        <v>322</v>
      </c>
      <c r="B109" s="89"/>
      <c r="C109" s="89">
        <v>6.6000000000000003E-2</v>
      </c>
      <c r="D109" s="80">
        <f t="shared" ref="D109:AI109" si="10">C109</f>
        <v>6.6000000000000003E-2</v>
      </c>
      <c r="E109" s="80">
        <f t="shared" si="10"/>
        <v>6.6000000000000003E-2</v>
      </c>
      <c r="F109" s="80">
        <f t="shared" si="10"/>
        <v>6.6000000000000003E-2</v>
      </c>
      <c r="G109" s="80">
        <f t="shared" si="10"/>
        <v>6.6000000000000003E-2</v>
      </c>
      <c r="H109" s="80">
        <f t="shared" si="10"/>
        <v>6.6000000000000003E-2</v>
      </c>
      <c r="I109" s="80">
        <f t="shared" si="10"/>
        <v>6.6000000000000003E-2</v>
      </c>
      <c r="J109" s="80">
        <f t="shared" si="10"/>
        <v>6.6000000000000003E-2</v>
      </c>
      <c r="K109" s="80">
        <f t="shared" si="10"/>
        <v>6.6000000000000003E-2</v>
      </c>
      <c r="L109" s="80">
        <f t="shared" si="10"/>
        <v>6.6000000000000003E-2</v>
      </c>
      <c r="M109" s="80">
        <f t="shared" si="10"/>
        <v>6.6000000000000003E-2</v>
      </c>
      <c r="N109" s="80">
        <f t="shared" si="10"/>
        <v>6.6000000000000003E-2</v>
      </c>
      <c r="O109" s="80">
        <f t="shared" si="10"/>
        <v>6.6000000000000003E-2</v>
      </c>
      <c r="P109" s="80">
        <f t="shared" si="10"/>
        <v>6.6000000000000003E-2</v>
      </c>
      <c r="Q109" s="80">
        <f t="shared" si="10"/>
        <v>6.6000000000000003E-2</v>
      </c>
      <c r="R109" s="80">
        <f t="shared" si="10"/>
        <v>6.6000000000000003E-2</v>
      </c>
      <c r="S109" s="80">
        <f t="shared" si="10"/>
        <v>6.6000000000000003E-2</v>
      </c>
      <c r="T109" s="80">
        <f t="shared" si="10"/>
        <v>6.6000000000000003E-2</v>
      </c>
      <c r="U109" s="80">
        <f t="shared" si="10"/>
        <v>6.6000000000000003E-2</v>
      </c>
      <c r="V109" s="80">
        <f t="shared" si="10"/>
        <v>6.6000000000000003E-2</v>
      </c>
      <c r="W109" s="80">
        <f t="shared" si="10"/>
        <v>6.6000000000000003E-2</v>
      </c>
      <c r="X109" s="80">
        <f t="shared" si="10"/>
        <v>6.6000000000000003E-2</v>
      </c>
      <c r="Y109" s="80">
        <f t="shared" si="10"/>
        <v>6.6000000000000003E-2</v>
      </c>
      <c r="Z109" s="80">
        <f t="shared" si="10"/>
        <v>6.6000000000000003E-2</v>
      </c>
      <c r="AA109" s="80">
        <f t="shared" si="10"/>
        <v>6.6000000000000003E-2</v>
      </c>
      <c r="AB109" s="80">
        <f t="shared" si="10"/>
        <v>6.6000000000000003E-2</v>
      </c>
      <c r="AC109" s="80">
        <f t="shared" si="10"/>
        <v>6.6000000000000003E-2</v>
      </c>
      <c r="AD109" s="80">
        <f t="shared" si="10"/>
        <v>6.6000000000000003E-2</v>
      </c>
      <c r="AE109" s="80">
        <f t="shared" si="10"/>
        <v>6.6000000000000003E-2</v>
      </c>
      <c r="AF109" s="80">
        <f t="shared" si="10"/>
        <v>6.6000000000000003E-2</v>
      </c>
      <c r="AG109" s="80">
        <f t="shared" si="10"/>
        <v>6.6000000000000003E-2</v>
      </c>
      <c r="AH109" s="80">
        <f t="shared" si="10"/>
        <v>6.6000000000000003E-2</v>
      </c>
      <c r="AI109" s="80">
        <f t="shared" si="10"/>
        <v>6.6000000000000003E-2</v>
      </c>
      <c r="AJ109" s="80">
        <f t="shared" ref="AJ109:AZ109" si="11">AI109</f>
        <v>6.6000000000000003E-2</v>
      </c>
      <c r="AK109" s="80">
        <f t="shared" si="11"/>
        <v>6.6000000000000003E-2</v>
      </c>
      <c r="AL109" s="80">
        <f t="shared" si="11"/>
        <v>6.6000000000000003E-2</v>
      </c>
      <c r="AM109" s="80">
        <f t="shared" si="11"/>
        <v>6.6000000000000003E-2</v>
      </c>
      <c r="AN109" s="80">
        <f t="shared" si="11"/>
        <v>6.6000000000000003E-2</v>
      </c>
      <c r="AO109" s="80">
        <f t="shared" si="11"/>
        <v>6.6000000000000003E-2</v>
      </c>
      <c r="AP109" s="80">
        <f t="shared" si="11"/>
        <v>6.6000000000000003E-2</v>
      </c>
      <c r="AQ109" s="80">
        <f t="shared" si="11"/>
        <v>6.6000000000000003E-2</v>
      </c>
      <c r="AR109" s="80">
        <f t="shared" si="11"/>
        <v>6.6000000000000003E-2</v>
      </c>
      <c r="AS109" s="80">
        <f t="shared" si="11"/>
        <v>6.6000000000000003E-2</v>
      </c>
      <c r="AT109" s="80">
        <f t="shared" si="11"/>
        <v>6.6000000000000003E-2</v>
      </c>
      <c r="AU109" s="80">
        <f t="shared" si="11"/>
        <v>6.6000000000000003E-2</v>
      </c>
      <c r="AV109" s="80">
        <f t="shared" si="11"/>
        <v>6.6000000000000003E-2</v>
      </c>
      <c r="AW109" s="80">
        <f t="shared" si="11"/>
        <v>6.6000000000000003E-2</v>
      </c>
      <c r="AX109" s="80">
        <f t="shared" si="11"/>
        <v>6.6000000000000003E-2</v>
      </c>
      <c r="AY109" s="80">
        <f t="shared" si="11"/>
        <v>6.6000000000000003E-2</v>
      </c>
      <c r="AZ109" s="80">
        <f t="shared" si="11"/>
        <v>6.6000000000000003E-2</v>
      </c>
    </row>
    <row r="110" spans="1:52" s="37" customFormat="1">
      <c r="A110" s="78" t="s">
        <v>323</v>
      </c>
      <c r="C110" s="37">
        <f t="shared" ref="C110:J110" si="12">C99*C109</f>
        <v>2814.2400000000002</v>
      </c>
      <c r="D110" s="37">
        <f t="shared" si="12"/>
        <v>2898.6672000000003</v>
      </c>
      <c r="E110" s="37">
        <f t="shared" si="12"/>
        <v>2985.6272160000003</v>
      </c>
      <c r="F110" s="37">
        <f t="shared" si="12"/>
        <v>3075.1960324800007</v>
      </c>
      <c r="G110" s="37">
        <f t="shared" si="12"/>
        <v>3167.4519134544007</v>
      </c>
      <c r="H110" s="37">
        <f t="shared" si="12"/>
        <v>3262.4754708580326</v>
      </c>
      <c r="I110" s="37">
        <f t="shared" si="12"/>
        <v>3360.3497349837735</v>
      </c>
      <c r="J110" s="37">
        <f t="shared" si="12"/>
        <v>3461.1602270332869</v>
      </c>
      <c r="K110" s="37">
        <f>'Property Expenses (Detail)'!$C$7*Property_CF!K99</f>
        <v>3564.6656736231253</v>
      </c>
      <c r="L110" s="37">
        <f>'Property Expenses (Detail)'!$C$7*Property_CF!L99</f>
        <v>3671.6056438318187</v>
      </c>
      <c r="M110" s="37">
        <f>'Property Expenses (Detail)'!$C$7*Property_CF!M99</f>
        <v>3781.7538131467736</v>
      </c>
      <c r="N110" s="37">
        <f>'Property Expenses (Detail)'!$C$7*Property_CF!N99</f>
        <v>3895.2064275411767</v>
      </c>
      <c r="O110" s="37">
        <f>'Property Expenses (Detail)'!$C$7*Property_CF!O99</f>
        <v>4012.0626203674119</v>
      </c>
      <c r="P110" s="37">
        <f>'Property Expenses (Detail)'!$C$7*Property_CF!P99</f>
        <v>4132.4244989784347</v>
      </c>
      <c r="Q110" s="37">
        <f>'Property Expenses (Detail)'!$C$7*Property_CF!Q99</f>
        <v>4256.3972339477878</v>
      </c>
      <c r="R110" s="37">
        <f>'Property Expenses (Detail)'!$C$7*Property_CF!R99</f>
        <v>4384.0891509662215</v>
      </c>
      <c r="S110" s="37">
        <f>'Property Expenses (Detail)'!$C$7*Property_CF!S99</f>
        <v>4515.6118254952089</v>
      </c>
      <c r="T110" s="37">
        <f>'Property Expenses (Detail)'!$C$7*Property_CF!T99</f>
        <v>4651.0801802600645</v>
      </c>
      <c r="U110" s="37">
        <f>'Property Expenses (Detail)'!$C$7*Property_CF!U99</f>
        <v>4790.6125856678673</v>
      </c>
      <c r="V110" s="37">
        <f>'Property Expenses (Detail)'!$C$7*Property_CF!V99</f>
        <v>4934.3309632379032</v>
      </c>
      <c r="W110" s="37">
        <f>'Property Expenses (Detail)'!$C$7*Property_CF!W99</f>
        <v>5082.3608921350396</v>
      </c>
      <c r="X110" s="37">
        <f>'Property Expenses (Detail)'!$C$7*Property_CF!X99</f>
        <v>5234.8317188990904</v>
      </c>
      <c r="Y110" s="37">
        <f>'Property Expenses (Detail)'!$C$7*Property_CF!Y99</f>
        <v>5391.8766704660629</v>
      </c>
      <c r="Z110" s="37">
        <f>'Property Expenses (Detail)'!$C$7*Property_CF!Z99</f>
        <v>5553.6329705800454</v>
      </c>
      <c r="AA110" s="37">
        <f>'Property Expenses (Detail)'!$C$7*Property_CF!AA99</f>
        <v>5720.2419596974478</v>
      </c>
      <c r="AB110" s="37">
        <f>'Property Expenses (Detail)'!$C$7*Property_CF!AB99</f>
        <v>5891.8492184883717</v>
      </c>
      <c r="AC110" s="37">
        <f>'Property Expenses (Detail)'!$C$7*Property_CF!AC99</f>
        <v>6068.6046950430227</v>
      </c>
      <c r="AD110" s="37">
        <f>'Property Expenses (Detail)'!$C$7*Property_CF!AD99</f>
        <v>6250.6628358943135</v>
      </c>
      <c r="AE110" s="37">
        <f>'Property Expenses (Detail)'!$C$7*Property_CF!AE99</f>
        <v>6438.1827209711437</v>
      </c>
      <c r="AF110" s="37">
        <f>'Property Expenses (Detail)'!$C$7*Property_CF!AF99</f>
        <v>6631.328202600278</v>
      </c>
      <c r="AG110" s="37">
        <f>'Property Expenses (Detail)'!$C$7*Property_CF!AG99</f>
        <v>6830.2680486782865</v>
      </c>
      <c r="AH110" s="37">
        <f>'Property Expenses (Detail)'!$C$7*Property_CF!AH99</f>
        <v>7035.1760901386351</v>
      </c>
      <c r="AI110" s="37">
        <f>'Property Expenses (Detail)'!$C$7*Property_CF!AI99</f>
        <v>7246.2313728427944</v>
      </c>
      <c r="AJ110" s="37">
        <f>'Property Expenses (Detail)'!$C$7*Property_CF!AJ99</f>
        <v>7463.6183140280782</v>
      </c>
      <c r="AK110" s="37">
        <f>'Property Expenses (Detail)'!$C$7*Property_CF!AK99</f>
        <v>7687.5268634489203</v>
      </c>
      <c r="AL110" s="37">
        <f>'Property Expenses (Detail)'!$C$7*Property_CF!AL99</f>
        <v>7918.1526693523883</v>
      </c>
      <c r="AM110" s="37">
        <f>'Property Expenses (Detail)'!$C$7*Property_CF!AM99</f>
        <v>8155.6972494329602</v>
      </c>
      <c r="AN110" s="37">
        <f>'Property Expenses (Detail)'!$C$7*Property_CF!AN99</f>
        <v>8400.3681669159487</v>
      </c>
      <c r="AO110" s="37">
        <f>'Property Expenses (Detail)'!$C$7*Property_CF!AO99</f>
        <v>8652.3792119234276</v>
      </c>
      <c r="AP110" s="37">
        <f>'Property Expenses (Detail)'!$C$7*Property_CF!AP99</f>
        <v>8911.9505882811318</v>
      </c>
      <c r="AQ110" s="37">
        <f>'Property Expenses (Detail)'!$C$7*Property_CF!AQ99</f>
        <v>9179.3091059295657</v>
      </c>
      <c r="AR110" s="37">
        <f>'Property Expenses (Detail)'!$C$7*Property_CF!AR99</f>
        <v>9454.6883791074524</v>
      </c>
      <c r="AS110" s="37">
        <f>'Property Expenses (Detail)'!$C$7*Property_CF!AS99</f>
        <v>9738.329030480676</v>
      </c>
      <c r="AT110" s="37">
        <f>'Property Expenses (Detail)'!$C$7*Property_CF!AT99</f>
        <v>10030.478901395096</v>
      </c>
      <c r="AU110" s="37">
        <f>'Property Expenses (Detail)'!$C$7*Property_CF!AU99</f>
        <v>10331.39326843695</v>
      </c>
      <c r="AV110" s="37">
        <f>'Property Expenses (Detail)'!$C$7*Property_CF!AV99</f>
        <v>10641.335066490057</v>
      </c>
      <c r="AW110" s="37">
        <f>'Property Expenses (Detail)'!$C$7*Property_CF!AW99</f>
        <v>10960.57511848476</v>
      </c>
      <c r="AX110" s="37">
        <f>'Property Expenses (Detail)'!$C$7*Property_CF!AX99</f>
        <v>11289.392372039301</v>
      </c>
      <c r="AY110" s="37">
        <f>'Property Expenses (Detail)'!$C$7*Property_CF!AY99</f>
        <v>11628.07414320048</v>
      </c>
      <c r="AZ110" s="37">
        <f>'Property Expenses (Detail)'!$C$7*Property_CF!AZ99</f>
        <v>11976.916367496495</v>
      </c>
    </row>
    <row r="111" spans="1:52" s="37" customFormat="1">
      <c r="A111" s="78" t="s">
        <v>324</v>
      </c>
      <c r="B111" s="88"/>
      <c r="C111" s="88"/>
      <c r="D111" s="37">
        <f>C111* (1 + Scenarios!$K$10)</f>
        <v>0</v>
      </c>
      <c r="E111" s="37">
        <f>D111* (1 + Scenarios!$K$10)</f>
        <v>0</v>
      </c>
      <c r="F111" s="37">
        <f>E111* (1 + Scenarios!$K$10)</f>
        <v>0</v>
      </c>
      <c r="G111" s="37">
        <f>F111* (1 + Scenarios!$K$10)</f>
        <v>0</v>
      </c>
      <c r="H111" s="37">
        <f>G111* (1 + Scenarios!$K$10)</f>
        <v>0</v>
      </c>
      <c r="I111" s="37">
        <f>H111* (1 + Scenarios!$K$10)</f>
        <v>0</v>
      </c>
      <c r="J111" s="37">
        <f>I111* (1 + Scenarios!$K$10)</f>
        <v>0</v>
      </c>
      <c r="K111" s="37">
        <f>J111* (1 + Scenarios!$K$10)</f>
        <v>0</v>
      </c>
      <c r="L111" s="37">
        <f>K111* (1 + Scenarios!$K$10)</f>
        <v>0</v>
      </c>
      <c r="M111" s="37">
        <f>L111* (1 + Scenarios!$K$10)</f>
        <v>0</v>
      </c>
      <c r="N111" s="37">
        <f>M111* (1 + Scenarios!$K$10)</f>
        <v>0</v>
      </c>
      <c r="O111" s="37">
        <f>N111* (1 + Scenarios!$K$10)</f>
        <v>0</v>
      </c>
      <c r="P111" s="37">
        <f>O111* (1 + Scenarios!$K$10)</f>
        <v>0</v>
      </c>
      <c r="Q111" s="37">
        <f>P111* (1 + Scenarios!$K$10)</f>
        <v>0</v>
      </c>
      <c r="R111" s="37">
        <f>Q111* (1 + Scenarios!$K$10)</f>
        <v>0</v>
      </c>
      <c r="S111" s="37">
        <f>R111* (1 + Scenarios!$K$10)</f>
        <v>0</v>
      </c>
      <c r="T111" s="37">
        <f>S111* (1 + Scenarios!$K$10)</f>
        <v>0</v>
      </c>
      <c r="U111" s="37">
        <f>T111* (1 + Scenarios!$K$10)</f>
        <v>0</v>
      </c>
      <c r="V111" s="37">
        <f>U111* (1 + Scenarios!$K$10)</f>
        <v>0</v>
      </c>
      <c r="W111" s="37">
        <f>V111* (1 + Scenarios!$K$10)</f>
        <v>0</v>
      </c>
      <c r="X111" s="37">
        <f>W111* (1 + Scenarios!$K$10)</f>
        <v>0</v>
      </c>
      <c r="Y111" s="37">
        <f>X111* (1 + Scenarios!$K$10)</f>
        <v>0</v>
      </c>
      <c r="Z111" s="37">
        <f>Y111* (1 + Scenarios!$K$10)</f>
        <v>0</v>
      </c>
      <c r="AA111" s="37">
        <f>Z111* (1 + Scenarios!$K$10)</f>
        <v>0</v>
      </c>
      <c r="AB111" s="37">
        <f>AA111* (1 + Scenarios!$K$10)</f>
        <v>0</v>
      </c>
      <c r="AC111" s="37">
        <f>AB111* (1 + Scenarios!$K$10)</f>
        <v>0</v>
      </c>
      <c r="AD111" s="37">
        <f>AC111* (1 + Scenarios!$K$10)</f>
        <v>0</v>
      </c>
      <c r="AE111" s="37">
        <f>AD111* (1 + Scenarios!$K$10)</f>
        <v>0</v>
      </c>
      <c r="AF111" s="37">
        <f>AE111* (1 + Scenarios!$K$10)</f>
        <v>0</v>
      </c>
      <c r="AG111" s="37">
        <f>AF111* (1 + Scenarios!$K$10)</f>
        <v>0</v>
      </c>
      <c r="AH111" s="37">
        <f>AG111* (1 + Scenarios!$K$10)</f>
        <v>0</v>
      </c>
      <c r="AI111" s="37">
        <f>AH111* (1 + Scenarios!$K$10)</f>
        <v>0</v>
      </c>
      <c r="AJ111" s="37">
        <f>AI111* (1 + Scenarios!$K$10)</f>
        <v>0</v>
      </c>
      <c r="AK111" s="37">
        <f>AJ111* (1 + Scenarios!$K$10)</f>
        <v>0</v>
      </c>
      <c r="AL111" s="37">
        <f>AK111* (1 + Scenarios!$K$10)</f>
        <v>0</v>
      </c>
      <c r="AM111" s="37">
        <f>AL111* (1 + Scenarios!$K$10)</f>
        <v>0</v>
      </c>
      <c r="AN111" s="37">
        <f>AM111* (1 + Scenarios!$K$10)</f>
        <v>0</v>
      </c>
      <c r="AO111" s="37">
        <f>AN111* (1 + Scenarios!$K$10)</f>
        <v>0</v>
      </c>
      <c r="AP111" s="37">
        <f>AO111* (1 + Scenarios!$K$10)</f>
        <v>0</v>
      </c>
      <c r="AQ111" s="37">
        <f>AP111* (1 + Scenarios!$K$10)</f>
        <v>0</v>
      </c>
      <c r="AR111" s="37">
        <f>AQ111* (1 + Scenarios!$K$10)</f>
        <v>0</v>
      </c>
      <c r="AS111" s="37">
        <f>AR111* (1 + Scenarios!$K$10)</f>
        <v>0</v>
      </c>
      <c r="AT111" s="37">
        <f>AS111* (1 + Scenarios!$K$10)</f>
        <v>0</v>
      </c>
      <c r="AU111" s="37">
        <f>AT111* (1 + Scenarios!$K$10)</f>
        <v>0</v>
      </c>
      <c r="AV111" s="37">
        <f>AU111* (1 + Scenarios!$K$10)</f>
        <v>0</v>
      </c>
      <c r="AW111" s="37">
        <f>AV111* (1 + Scenarios!$K$10)</f>
        <v>0</v>
      </c>
      <c r="AX111" s="37">
        <f>AW111* (1 + Scenarios!$K$10)</f>
        <v>0</v>
      </c>
      <c r="AY111" s="37">
        <f>AX111* (1 + Scenarios!$K$10)</f>
        <v>0</v>
      </c>
      <c r="AZ111" s="37">
        <f>AY111* (1 + Scenarios!$K$10)</f>
        <v>0</v>
      </c>
    </row>
    <row r="112" spans="1:52" s="37" customFormat="1">
      <c r="A112" s="78" t="s">
        <v>325</v>
      </c>
      <c r="B112" s="90"/>
      <c r="C112" s="90">
        <v>0</v>
      </c>
      <c r="D112" s="37">
        <f>C112* (1 + Scenarios!$K$10)</f>
        <v>0</v>
      </c>
      <c r="E112" s="37">
        <f>D112* (1 + Scenarios!$K$10)</f>
        <v>0</v>
      </c>
      <c r="F112" s="37">
        <f>E112* (1 + Scenarios!$K$10)</f>
        <v>0</v>
      </c>
      <c r="G112" s="37">
        <f>F112* (1 + Scenarios!$K$10)</f>
        <v>0</v>
      </c>
      <c r="H112" s="37">
        <f>G112* (1 + Scenarios!$K$10)</f>
        <v>0</v>
      </c>
      <c r="I112" s="37">
        <f>H112* (1 + Scenarios!$K$10)</f>
        <v>0</v>
      </c>
      <c r="J112" s="37">
        <f>I112* (1 + Scenarios!$K$10)</f>
        <v>0</v>
      </c>
      <c r="K112" s="37">
        <f>J112* (1 + Scenarios!$K$10)</f>
        <v>0</v>
      </c>
      <c r="L112" s="37">
        <f>K112* (1 + Scenarios!$K$10)</f>
        <v>0</v>
      </c>
      <c r="M112" s="37">
        <f>L112* (1 + Scenarios!$K$10)</f>
        <v>0</v>
      </c>
      <c r="N112" s="37">
        <f>M112* (1 + Scenarios!$K$10)</f>
        <v>0</v>
      </c>
      <c r="O112" s="37">
        <f>N112* (1 + Scenarios!$K$10)</f>
        <v>0</v>
      </c>
      <c r="P112" s="37">
        <f>O112* (1 + Scenarios!$K$10)</f>
        <v>0</v>
      </c>
      <c r="Q112" s="37">
        <f>P112* (1 + Scenarios!$K$10)</f>
        <v>0</v>
      </c>
      <c r="R112" s="37">
        <f>Q112* (1 + Scenarios!$K$10)</f>
        <v>0</v>
      </c>
      <c r="S112" s="37">
        <f>R112* (1 + Scenarios!$K$10)</f>
        <v>0</v>
      </c>
      <c r="T112" s="37">
        <f>S112* (1 + Scenarios!$K$10)</f>
        <v>0</v>
      </c>
      <c r="U112" s="37">
        <f>T112* (1 + Scenarios!$K$10)</f>
        <v>0</v>
      </c>
      <c r="V112" s="37">
        <f>U112* (1 + Scenarios!$K$10)</f>
        <v>0</v>
      </c>
      <c r="W112" s="37">
        <f>V112* (1 + Scenarios!$K$10)</f>
        <v>0</v>
      </c>
      <c r="X112" s="37">
        <f>W112* (1 + Scenarios!$K$10)</f>
        <v>0</v>
      </c>
      <c r="Y112" s="37">
        <f>X112* (1 + Scenarios!$K$10)</f>
        <v>0</v>
      </c>
      <c r="Z112" s="37">
        <f>Y112* (1 + Scenarios!$K$10)</f>
        <v>0</v>
      </c>
      <c r="AA112" s="37">
        <f>Z112* (1 + Scenarios!$K$10)</f>
        <v>0</v>
      </c>
      <c r="AB112" s="37">
        <f>AA112* (1 + Scenarios!$K$10)</f>
        <v>0</v>
      </c>
      <c r="AC112" s="37">
        <f>AB112* (1 + Scenarios!$K$10)</f>
        <v>0</v>
      </c>
      <c r="AD112" s="37">
        <f>AC112* (1 + Scenarios!$K$10)</f>
        <v>0</v>
      </c>
      <c r="AE112" s="37">
        <f>AD112* (1 + Scenarios!$K$10)</f>
        <v>0</v>
      </c>
      <c r="AF112" s="37">
        <f>AE112* (1 + Scenarios!$K$10)</f>
        <v>0</v>
      </c>
      <c r="AG112" s="37">
        <f>AF112* (1 + Scenarios!$K$10)</f>
        <v>0</v>
      </c>
      <c r="AH112" s="37">
        <f>AG112* (1 + Scenarios!$K$10)</f>
        <v>0</v>
      </c>
      <c r="AI112" s="37">
        <f>AH112* (1 + Scenarios!$K$10)</f>
        <v>0</v>
      </c>
      <c r="AJ112" s="37">
        <f>AI112* (1 + Scenarios!$K$10)</f>
        <v>0</v>
      </c>
      <c r="AK112" s="37">
        <f>AJ112* (1 + Scenarios!$K$10)</f>
        <v>0</v>
      </c>
      <c r="AL112" s="37">
        <f>AK112* (1 + Scenarios!$K$10)</f>
        <v>0</v>
      </c>
      <c r="AM112" s="37">
        <f>AL112* (1 + Scenarios!$K$10)</f>
        <v>0</v>
      </c>
      <c r="AN112" s="37">
        <f>AM112* (1 + Scenarios!$K$10)</f>
        <v>0</v>
      </c>
      <c r="AO112" s="37">
        <f>AN112* (1 + Scenarios!$K$10)</f>
        <v>0</v>
      </c>
      <c r="AP112" s="37">
        <f>AO112* (1 + Scenarios!$K$10)</f>
        <v>0</v>
      </c>
      <c r="AQ112" s="37">
        <f>AP112* (1 + Scenarios!$K$10)</f>
        <v>0</v>
      </c>
      <c r="AR112" s="37">
        <f>AQ112* (1 + Scenarios!$K$10)</f>
        <v>0</v>
      </c>
      <c r="AS112" s="37">
        <f>AR112* (1 + Scenarios!$K$10)</f>
        <v>0</v>
      </c>
      <c r="AT112" s="37">
        <f>AS112* (1 + Scenarios!$K$10)</f>
        <v>0</v>
      </c>
      <c r="AU112" s="37">
        <f>AT112* (1 + Scenarios!$K$10)</f>
        <v>0</v>
      </c>
      <c r="AV112" s="37">
        <f>AU112* (1 + Scenarios!$K$10)</f>
        <v>0</v>
      </c>
      <c r="AW112" s="37">
        <f>AV112* (1 + Scenarios!$K$10)</f>
        <v>0</v>
      </c>
      <c r="AX112" s="37">
        <f>AW112* (1 + Scenarios!$K$10)</f>
        <v>0</v>
      </c>
      <c r="AY112" s="37">
        <f>AX112* (1 + Scenarios!$K$10)</f>
        <v>0</v>
      </c>
      <c r="AZ112" s="37">
        <f>AY112* (1 + Scenarios!$K$10)</f>
        <v>0</v>
      </c>
    </row>
    <row r="113" spans="1:52" s="37" customFormat="1">
      <c r="A113" s="78" t="s">
        <v>326</v>
      </c>
      <c r="B113" s="90"/>
      <c r="C113" s="90">
        <v>0</v>
      </c>
      <c r="D113" s="37">
        <f>C113* (1 + Scenarios!$K$10)</f>
        <v>0</v>
      </c>
      <c r="E113" s="37">
        <f>D113* (1 + Scenarios!$K$10)</f>
        <v>0</v>
      </c>
      <c r="F113" s="37">
        <f>E113* (1 + Scenarios!$K$10)</f>
        <v>0</v>
      </c>
      <c r="G113" s="37">
        <f>F113* (1 + Scenarios!$K$10)</f>
        <v>0</v>
      </c>
      <c r="H113" s="37">
        <f>G113* (1 + Scenarios!$K$10)</f>
        <v>0</v>
      </c>
      <c r="I113" s="37">
        <f>H113* (1 + Scenarios!$K$10)</f>
        <v>0</v>
      </c>
      <c r="J113" s="37">
        <f>I113* (1 + Scenarios!$K$10)</f>
        <v>0</v>
      </c>
      <c r="K113" s="37">
        <f>J113* (1 + Scenarios!$K$10)</f>
        <v>0</v>
      </c>
      <c r="L113" s="37">
        <f>K113* (1 + Scenarios!$K$10)</f>
        <v>0</v>
      </c>
      <c r="M113" s="37">
        <f>L113* (1 + Scenarios!$K$10)</f>
        <v>0</v>
      </c>
      <c r="N113" s="37">
        <f>M113* (1 + Scenarios!$K$10)</f>
        <v>0</v>
      </c>
      <c r="O113" s="37">
        <f>N113* (1 + Scenarios!$K$10)</f>
        <v>0</v>
      </c>
      <c r="P113" s="37">
        <f>O113* (1 + Scenarios!$K$10)</f>
        <v>0</v>
      </c>
      <c r="Q113" s="37">
        <f>P113* (1 + Scenarios!$K$10)</f>
        <v>0</v>
      </c>
      <c r="R113" s="37">
        <f>Q113* (1 + Scenarios!$K$10)</f>
        <v>0</v>
      </c>
      <c r="S113" s="37">
        <f>R113* (1 + Scenarios!$K$10)</f>
        <v>0</v>
      </c>
      <c r="T113" s="37">
        <f>S113* (1 + Scenarios!$K$10)</f>
        <v>0</v>
      </c>
      <c r="U113" s="37">
        <f>T113* (1 + Scenarios!$K$10)</f>
        <v>0</v>
      </c>
      <c r="V113" s="37">
        <f>U113* (1 + Scenarios!$K$10)</f>
        <v>0</v>
      </c>
      <c r="W113" s="37">
        <f>V113* (1 + Scenarios!$K$10)</f>
        <v>0</v>
      </c>
      <c r="X113" s="37">
        <f>W113* (1 + Scenarios!$K$10)</f>
        <v>0</v>
      </c>
      <c r="Y113" s="37">
        <f>X113* (1 + Scenarios!$K$10)</f>
        <v>0</v>
      </c>
      <c r="Z113" s="37">
        <f>Y113* (1 + Scenarios!$K$10)</f>
        <v>0</v>
      </c>
      <c r="AA113" s="37">
        <f>Z113* (1 + Scenarios!$K$10)</f>
        <v>0</v>
      </c>
      <c r="AB113" s="37">
        <f>AA113* (1 + Scenarios!$K$10)</f>
        <v>0</v>
      </c>
      <c r="AC113" s="37">
        <f>AB113* (1 + Scenarios!$K$10)</f>
        <v>0</v>
      </c>
      <c r="AD113" s="37">
        <f>AC113* (1 + Scenarios!$K$10)</f>
        <v>0</v>
      </c>
      <c r="AE113" s="37">
        <f>AD113* (1 + Scenarios!$K$10)</f>
        <v>0</v>
      </c>
      <c r="AF113" s="37">
        <f>AE113* (1 + Scenarios!$K$10)</f>
        <v>0</v>
      </c>
      <c r="AG113" s="37">
        <f>AF113* (1 + Scenarios!$K$10)</f>
        <v>0</v>
      </c>
      <c r="AH113" s="37">
        <f>AG113* (1 + Scenarios!$K$10)</f>
        <v>0</v>
      </c>
      <c r="AI113" s="37">
        <f>AH113* (1 + Scenarios!$K$10)</f>
        <v>0</v>
      </c>
      <c r="AJ113" s="37">
        <f>AI113* (1 + Scenarios!$K$10)</f>
        <v>0</v>
      </c>
      <c r="AK113" s="37">
        <f>AJ113* (1 + Scenarios!$K$10)</f>
        <v>0</v>
      </c>
      <c r="AL113" s="37">
        <f>AK113* (1 + Scenarios!$K$10)</f>
        <v>0</v>
      </c>
      <c r="AM113" s="37">
        <f>AL113* (1 + Scenarios!$K$10)</f>
        <v>0</v>
      </c>
      <c r="AN113" s="37">
        <f>AM113* (1 + Scenarios!$K$10)</f>
        <v>0</v>
      </c>
      <c r="AO113" s="37">
        <f>AN113* (1 + Scenarios!$K$10)</f>
        <v>0</v>
      </c>
      <c r="AP113" s="37">
        <f>AO113* (1 + Scenarios!$K$10)</f>
        <v>0</v>
      </c>
      <c r="AQ113" s="37">
        <f>AP113* (1 + Scenarios!$K$10)</f>
        <v>0</v>
      </c>
      <c r="AR113" s="37">
        <f>AQ113* (1 + Scenarios!$K$10)</f>
        <v>0</v>
      </c>
      <c r="AS113" s="37">
        <f>AR113* (1 + Scenarios!$K$10)</f>
        <v>0</v>
      </c>
      <c r="AT113" s="37">
        <f>AS113* (1 + Scenarios!$K$10)</f>
        <v>0</v>
      </c>
      <c r="AU113" s="37">
        <f>AT113* (1 + Scenarios!$K$10)</f>
        <v>0</v>
      </c>
      <c r="AV113" s="37">
        <f>AU113* (1 + Scenarios!$K$10)</f>
        <v>0</v>
      </c>
      <c r="AW113" s="37">
        <f>AV113* (1 + Scenarios!$K$10)</f>
        <v>0</v>
      </c>
      <c r="AX113" s="37">
        <f>AW113* (1 + Scenarios!$K$10)</f>
        <v>0</v>
      </c>
      <c r="AY113" s="37">
        <f>AX113* (1 + Scenarios!$K$10)</f>
        <v>0</v>
      </c>
      <c r="AZ113" s="37">
        <f>AY113* (1 + Scenarios!$K$10)</f>
        <v>0</v>
      </c>
    </row>
    <row r="114" spans="1:52" s="37" customFormat="1">
      <c r="A114" s="78" t="s">
        <v>327</v>
      </c>
      <c r="B114" s="90"/>
      <c r="C114" s="90">
        <v>0</v>
      </c>
      <c r="D114" s="37">
        <f>C114* (1 + Scenarios!$K$10)</f>
        <v>0</v>
      </c>
      <c r="E114" s="37">
        <f>D114* (1 + Scenarios!$K$10)</f>
        <v>0</v>
      </c>
      <c r="F114" s="37">
        <f>E114* (1 + Scenarios!$K$10)</f>
        <v>0</v>
      </c>
      <c r="G114" s="37">
        <f>F114* (1 + Scenarios!$K$10)</f>
        <v>0</v>
      </c>
      <c r="H114" s="37">
        <f>G114* (1 + Scenarios!$K$10)</f>
        <v>0</v>
      </c>
      <c r="I114" s="37">
        <f>H114* (1 + Scenarios!$K$10)</f>
        <v>0</v>
      </c>
      <c r="J114" s="37">
        <f>I114* (1 + Scenarios!$K$10)</f>
        <v>0</v>
      </c>
      <c r="K114" s="37">
        <f>J114* (1 + Scenarios!$K$10)</f>
        <v>0</v>
      </c>
      <c r="L114" s="37">
        <f>K114* (1 + Scenarios!$K$10)</f>
        <v>0</v>
      </c>
      <c r="M114" s="37">
        <f>L114* (1 + Scenarios!$K$10)</f>
        <v>0</v>
      </c>
      <c r="N114" s="37">
        <f>M114* (1 + Scenarios!$K$10)</f>
        <v>0</v>
      </c>
      <c r="O114" s="37">
        <f>N114* (1 + Scenarios!$K$10)</f>
        <v>0</v>
      </c>
      <c r="P114" s="37">
        <f>O114* (1 + Scenarios!$K$10)</f>
        <v>0</v>
      </c>
      <c r="Q114" s="37">
        <f>P114* (1 + Scenarios!$K$10)</f>
        <v>0</v>
      </c>
      <c r="R114" s="37">
        <f>Q114* (1 + Scenarios!$K$10)</f>
        <v>0</v>
      </c>
      <c r="S114" s="37">
        <f>R114* (1 + Scenarios!$K$10)</f>
        <v>0</v>
      </c>
      <c r="T114" s="37">
        <f>S114* (1 + Scenarios!$K$10)</f>
        <v>0</v>
      </c>
      <c r="U114" s="37">
        <f>T114* (1 + Scenarios!$K$10)</f>
        <v>0</v>
      </c>
      <c r="V114" s="37">
        <f>U114* (1 + Scenarios!$K$10)</f>
        <v>0</v>
      </c>
      <c r="W114" s="37">
        <f>V114* (1 + Scenarios!$K$10)</f>
        <v>0</v>
      </c>
      <c r="X114" s="37">
        <f>W114* (1 + Scenarios!$K$10)</f>
        <v>0</v>
      </c>
      <c r="Y114" s="37">
        <f>X114* (1 + Scenarios!$K$10)</f>
        <v>0</v>
      </c>
      <c r="Z114" s="37">
        <f>Y114* (1 + Scenarios!$K$10)</f>
        <v>0</v>
      </c>
      <c r="AA114" s="37">
        <f>Z114* (1 + Scenarios!$K$10)</f>
        <v>0</v>
      </c>
      <c r="AB114" s="37">
        <f>AA114* (1 + Scenarios!$K$10)</f>
        <v>0</v>
      </c>
      <c r="AC114" s="37">
        <f>AB114* (1 + Scenarios!$K$10)</f>
        <v>0</v>
      </c>
      <c r="AD114" s="37">
        <f>AC114* (1 + Scenarios!$K$10)</f>
        <v>0</v>
      </c>
      <c r="AE114" s="37">
        <f>AD114* (1 + Scenarios!$K$10)</f>
        <v>0</v>
      </c>
      <c r="AF114" s="37">
        <f>AE114* (1 + Scenarios!$K$10)</f>
        <v>0</v>
      </c>
      <c r="AG114" s="37">
        <f>AF114* (1 + Scenarios!$K$10)</f>
        <v>0</v>
      </c>
      <c r="AH114" s="37">
        <f>AG114* (1 + Scenarios!$K$10)</f>
        <v>0</v>
      </c>
      <c r="AI114" s="37">
        <f>AH114* (1 + Scenarios!$K$10)</f>
        <v>0</v>
      </c>
      <c r="AJ114" s="37">
        <f>AI114* (1 + Scenarios!$K$10)</f>
        <v>0</v>
      </c>
      <c r="AK114" s="37">
        <f>AJ114* (1 + Scenarios!$K$10)</f>
        <v>0</v>
      </c>
      <c r="AL114" s="37">
        <f>AK114* (1 + Scenarios!$K$10)</f>
        <v>0</v>
      </c>
      <c r="AM114" s="37">
        <f>AL114* (1 + Scenarios!$K$10)</f>
        <v>0</v>
      </c>
      <c r="AN114" s="37">
        <f>AM114* (1 + Scenarios!$K$10)</f>
        <v>0</v>
      </c>
      <c r="AO114" s="37">
        <f>AN114* (1 + Scenarios!$K$10)</f>
        <v>0</v>
      </c>
      <c r="AP114" s="37">
        <f>AO114* (1 + Scenarios!$K$10)</f>
        <v>0</v>
      </c>
      <c r="AQ114" s="37">
        <f>AP114* (1 + Scenarios!$K$10)</f>
        <v>0</v>
      </c>
      <c r="AR114" s="37">
        <f>AQ114* (1 + Scenarios!$K$10)</f>
        <v>0</v>
      </c>
      <c r="AS114" s="37">
        <f>AR114* (1 + Scenarios!$K$10)</f>
        <v>0</v>
      </c>
      <c r="AT114" s="37">
        <f>AS114* (1 + Scenarios!$K$10)</f>
        <v>0</v>
      </c>
      <c r="AU114" s="37">
        <f>AT114* (1 + Scenarios!$K$10)</f>
        <v>0</v>
      </c>
      <c r="AV114" s="37">
        <f>AU114* (1 + Scenarios!$K$10)</f>
        <v>0</v>
      </c>
      <c r="AW114" s="37">
        <f>AV114* (1 + Scenarios!$K$10)</f>
        <v>0</v>
      </c>
      <c r="AX114" s="37">
        <f>AW114* (1 + Scenarios!$K$10)</f>
        <v>0</v>
      </c>
      <c r="AY114" s="37">
        <f>AX114* (1 + Scenarios!$K$10)</f>
        <v>0</v>
      </c>
      <c r="AZ114" s="37">
        <f>AY114* (1 + Scenarios!$K$10)</f>
        <v>0</v>
      </c>
    </row>
    <row r="115" spans="1:52" s="37" customFormat="1">
      <c r="A115" s="77" t="s">
        <v>328</v>
      </c>
    </row>
    <row r="116" spans="1:52" s="37" customFormat="1">
      <c r="A116" s="78" t="s">
        <v>329</v>
      </c>
      <c r="C116" s="37">
        <f>Loan_IO_to_PI!N151</f>
        <v>0</v>
      </c>
      <c r="D116" s="37">
        <f>Loan_IO_to_PI!O151</f>
        <v>0</v>
      </c>
      <c r="E116" s="37">
        <f>Loan_IO_to_PI!P151</f>
        <v>0</v>
      </c>
      <c r="F116" s="37">
        <f>Loan_IO_to_PI!Q151</f>
        <v>0</v>
      </c>
      <c r="G116" s="37">
        <f>Loan_IO_to_PI!R151</f>
        <v>0</v>
      </c>
      <c r="H116" s="37">
        <f>Loan_IO_to_PI!S151</f>
        <v>0</v>
      </c>
      <c r="I116" s="37">
        <f>Loan_IO_to_PI!T151</f>
        <v>0</v>
      </c>
      <c r="J116" s="37">
        <f>Loan_IO_to_PI!U151</f>
        <v>0</v>
      </c>
      <c r="K116" s="37">
        <f>Loan_IO_to_PI!V151</f>
        <v>0</v>
      </c>
      <c r="L116" s="37">
        <f>Loan_IO_to_PI!W151</f>
        <v>0</v>
      </c>
      <c r="M116" s="37">
        <f>Loan_IO_to_PI!X151</f>
        <v>0</v>
      </c>
      <c r="N116" s="37">
        <f>Loan_IO_to_PI!Y151</f>
        <v>0</v>
      </c>
      <c r="O116" s="37">
        <f>Loan_IO_to_PI!Z151</f>
        <v>0</v>
      </c>
      <c r="P116" s="37">
        <f>Loan_IO_to_PI!AA151</f>
        <v>0</v>
      </c>
      <c r="Q116" s="37">
        <f>Loan_IO_to_PI!AB151</f>
        <v>0</v>
      </c>
      <c r="R116" s="37">
        <f>Loan_IO_to_PI!AC151</f>
        <v>0</v>
      </c>
      <c r="S116" s="37">
        <f>Loan_IO_to_PI!AD151</f>
        <v>0</v>
      </c>
      <c r="T116" s="37">
        <f>Loan_IO_to_PI!AE151</f>
        <v>0</v>
      </c>
      <c r="U116" s="37">
        <f>Loan_IO_to_PI!AF151</f>
        <v>0</v>
      </c>
      <c r="V116" s="37">
        <f>Loan_IO_to_PI!AG151</f>
        <v>0</v>
      </c>
      <c r="W116" s="37">
        <f>Loan_IO_to_PI!AH151</f>
        <v>0</v>
      </c>
      <c r="X116" s="37">
        <f>Loan_IO_to_PI!AI151</f>
        <v>0</v>
      </c>
      <c r="Y116" s="37">
        <f>Loan_IO_to_PI!AJ151</f>
        <v>0</v>
      </c>
      <c r="Z116" s="37">
        <f>Loan_IO_to_PI!AK151</f>
        <v>0</v>
      </c>
      <c r="AA116" s="37">
        <f>Loan_IO_to_PI!AL151</f>
        <v>0</v>
      </c>
      <c r="AB116" s="37">
        <f>Loan_IO_to_PI!AM151</f>
        <v>0</v>
      </c>
      <c r="AC116" s="37">
        <f>Loan_IO_to_PI!AN151</f>
        <v>0</v>
      </c>
      <c r="AD116" s="37">
        <f>Loan_IO_to_PI!AO151</f>
        <v>0</v>
      </c>
      <c r="AE116" s="37">
        <f>Loan_IO_to_PI!AP151</f>
        <v>0</v>
      </c>
      <c r="AF116" s="37">
        <f>Loan_IO_to_PI!AQ151</f>
        <v>0</v>
      </c>
      <c r="AG116" s="37">
        <f>Loan_IO_to_PI!AR151</f>
        <v>0</v>
      </c>
      <c r="AH116" s="37">
        <f>Loan_IO_to_PI!AS151</f>
        <v>0</v>
      </c>
      <c r="AI116" s="37">
        <f>Loan_IO_to_PI!AT151</f>
        <v>0</v>
      </c>
      <c r="AJ116" s="37">
        <f>Loan_IO_to_PI!AU151</f>
        <v>0</v>
      </c>
      <c r="AK116" s="37">
        <f>Loan_IO_to_PI!AV151</f>
        <v>0</v>
      </c>
      <c r="AL116" s="37">
        <f>Loan_IO_to_PI!AW151</f>
        <v>0</v>
      </c>
      <c r="AM116" s="37">
        <f>Loan_IO_to_PI!AX151</f>
        <v>0</v>
      </c>
      <c r="AN116" s="37">
        <f>Loan_IO_to_PI!AY151</f>
        <v>0</v>
      </c>
      <c r="AO116" s="37">
        <f>Loan_IO_to_PI!AZ151</f>
        <v>0</v>
      </c>
      <c r="AP116" s="37">
        <f>Loan_IO_to_PI!BA151</f>
        <v>0</v>
      </c>
      <c r="AQ116" s="37">
        <f>Loan_IO_to_PI!BB151</f>
        <v>0</v>
      </c>
      <c r="AR116" s="37">
        <f>Loan_IO_to_PI!BC151</f>
        <v>0</v>
      </c>
      <c r="AS116" s="37">
        <f>Loan_IO_to_PI!BD151</f>
        <v>0</v>
      </c>
      <c r="AT116" s="37">
        <f>Loan_IO_to_PI!BE151</f>
        <v>0</v>
      </c>
      <c r="AU116" s="37">
        <f>Loan_IO_to_PI!BF151</f>
        <v>0</v>
      </c>
      <c r="AV116" s="37">
        <f>Loan_IO_to_PI!BG151</f>
        <v>0</v>
      </c>
      <c r="AW116" s="37">
        <f>Loan_IO_to_PI!BH151</f>
        <v>0</v>
      </c>
      <c r="AX116" s="37">
        <f>Loan_IO_to_PI!BI151</f>
        <v>0</v>
      </c>
      <c r="AY116" s="37">
        <f>Loan_IO_to_PI!BJ151</f>
        <v>0</v>
      </c>
      <c r="AZ116" s="37">
        <f>Loan_IO_to_PI!BK151</f>
        <v>0</v>
      </c>
    </row>
    <row r="117" spans="1:52" s="37" customFormat="1">
      <c r="A117" s="78" t="s">
        <v>330</v>
      </c>
      <c r="C117" s="37">
        <f>Loan_IO_to_PI!C60</f>
        <v>0</v>
      </c>
      <c r="D117" s="37">
        <f>Loan_IO_to_PI!D60</f>
        <v>0</v>
      </c>
      <c r="E117" s="37">
        <f>Loan_IO_to_PI!E60</f>
        <v>0</v>
      </c>
      <c r="F117" s="37">
        <f>Loan_IO_to_PI!F60</f>
        <v>0</v>
      </c>
      <c r="G117" s="37">
        <f>Loan_IO_to_PI!G60</f>
        <v>0</v>
      </c>
      <c r="H117" s="37">
        <f>Loan_IO_to_PI!H60</f>
        <v>0</v>
      </c>
      <c r="I117" s="37">
        <f>Loan_IO_to_PI!I60</f>
        <v>0</v>
      </c>
      <c r="J117" s="37">
        <f>Loan_IO_to_PI!J60</f>
        <v>0</v>
      </c>
      <c r="K117" s="37">
        <f>Loan_IO_to_PI!K60</f>
        <v>0</v>
      </c>
      <c r="L117" s="37">
        <f>Loan_IO_to_PI!L60</f>
        <v>0</v>
      </c>
      <c r="M117" s="37">
        <f>Loan_IO_to_PI!M60</f>
        <v>0</v>
      </c>
      <c r="N117" s="37">
        <f>Loan_IO_to_PI!N60</f>
        <v>0</v>
      </c>
      <c r="O117" s="37">
        <f>Loan_IO_to_PI!O60</f>
        <v>0</v>
      </c>
      <c r="P117" s="37">
        <f>Loan_IO_to_PI!P60</f>
        <v>0</v>
      </c>
      <c r="Q117" s="37">
        <f>Loan_IO_to_PI!Q60</f>
        <v>0</v>
      </c>
      <c r="R117" s="37">
        <f>Loan_IO_to_PI!R60</f>
        <v>36317.059944657762</v>
      </c>
      <c r="S117" s="37">
        <f>Loan_IO_to_PI!S60</f>
        <v>38419.81771545345</v>
      </c>
      <c r="T117" s="37">
        <f>Loan_IO_to_PI!T60</f>
        <v>40644.325161178203</v>
      </c>
      <c r="U117" s="37">
        <f>Loan_IO_to_PI!U60</f>
        <v>42997.631588010423</v>
      </c>
      <c r="V117" s="37">
        <f>Loan_IO_to_PI!V60</f>
        <v>45487.194456956218</v>
      </c>
      <c r="W117" s="37">
        <f>Loan_IO_to_PI!W60</f>
        <v>48120.903016013974</v>
      </c>
      <c r="X117" s="37">
        <f>Loan_IO_to_PI!X60</f>
        <v>50907.103300641211</v>
      </c>
      <c r="Y117" s="37">
        <f>Loan_IO_to_PI!Y60</f>
        <v>53854.624581748321</v>
      </c>
      <c r="Z117" s="37">
        <f>Loan_IO_to_PI!Z60</f>
        <v>56972.80734503155</v>
      </c>
      <c r="AA117" s="37">
        <f>Loan_IO_to_PI!AA60</f>
        <v>60271.532890308888</v>
      </c>
      <c r="AB117" s="37">
        <f>Loan_IO_to_PI!AB60</f>
        <v>0</v>
      </c>
      <c r="AC117" s="37">
        <f>Loan_IO_to_PI!AC60</f>
        <v>0</v>
      </c>
      <c r="AD117" s="37">
        <f>Loan_IO_to_PI!AD60</f>
        <v>0</v>
      </c>
      <c r="AE117" s="37">
        <f>Loan_IO_to_PI!AE60</f>
        <v>0</v>
      </c>
      <c r="AF117" s="37">
        <f>Loan_IO_to_PI!AF60</f>
        <v>0</v>
      </c>
      <c r="AG117" s="37">
        <f>Loan_IO_to_PI!AG60</f>
        <v>0</v>
      </c>
      <c r="AH117" s="37">
        <f>Loan_IO_to_PI!AH60</f>
        <v>0</v>
      </c>
      <c r="AI117" s="37">
        <f>Loan_IO_to_PI!AI60</f>
        <v>0</v>
      </c>
      <c r="AJ117" s="37">
        <f>Loan_IO_to_PI!AJ60</f>
        <v>0</v>
      </c>
      <c r="AK117" s="37">
        <f>Loan_IO_to_PI!AK60</f>
        <v>0</v>
      </c>
      <c r="AL117" s="37">
        <f>Loan_IO_to_PI!AL60</f>
        <v>0</v>
      </c>
      <c r="AM117" s="37">
        <f>Loan_IO_to_PI!AM60</f>
        <v>0</v>
      </c>
      <c r="AN117" s="37">
        <f>Loan_IO_to_PI!AN60</f>
        <v>0</v>
      </c>
      <c r="AO117" s="37">
        <f>Loan_IO_to_PI!AO60</f>
        <v>0</v>
      </c>
      <c r="AP117" s="37">
        <f>Loan_IO_to_PI!AP60</f>
        <v>0</v>
      </c>
      <c r="AQ117" s="37">
        <f>Loan_IO_to_PI!AQ60</f>
        <v>0</v>
      </c>
      <c r="AR117" s="37">
        <f>Loan_IO_to_PI!AR60</f>
        <v>0</v>
      </c>
      <c r="AS117" s="37">
        <f>Loan_IO_to_PI!AS60</f>
        <v>0</v>
      </c>
      <c r="AT117" s="37">
        <f>Loan_IO_to_PI!AT60</f>
        <v>0</v>
      </c>
      <c r="AU117" s="37">
        <f>Loan_IO_to_PI!AU60</f>
        <v>0</v>
      </c>
      <c r="AV117" s="37">
        <f>Loan_IO_to_PI!AV60</f>
        <v>0</v>
      </c>
      <c r="AW117" s="37">
        <f>Loan_IO_to_PI!AW60</f>
        <v>0</v>
      </c>
      <c r="AX117" s="37">
        <f>Loan_IO_to_PI!AX60</f>
        <v>0</v>
      </c>
      <c r="AY117" s="37">
        <f>Loan_IO_to_PI!AY60</f>
        <v>0</v>
      </c>
      <c r="AZ117" s="37">
        <f>Loan_IO_to_PI!AZ60</f>
        <v>0</v>
      </c>
    </row>
    <row r="118" spans="1:52" s="37" customFormat="1">
      <c r="A118" s="78" t="s">
        <v>331</v>
      </c>
      <c r="B118" s="88"/>
      <c r="C118" s="88">
        <f>IF(
  AND(
    Loan_IO_to_PI!N$24="P&amp;I",
    Loan_IO_to_PI!M$24="IO",
    Loan_IO_to_PI!N$28&gt;0
  ),
  Loan_IO_to_PI!$B$8,
  0
)</f>
        <v>0</v>
      </c>
      <c r="D118" s="37">
        <f>IF(
  AND(
    Loan_IO_to_PI!O$24="P&amp;I",
    Loan_IO_to_PI!N$24="IO",
    Loan_IO_to_PI!O$28&gt;0
  ),
  Loan_IO_to_PI!$B$8,
  0
)</f>
        <v>0</v>
      </c>
      <c r="E118" s="37">
        <f>IF(
  AND(
    Loan_IO_to_PI!P$24="P&amp;I",
    Loan_IO_to_PI!O$24="IO",
    Loan_IO_to_PI!P$28&gt;0
  ),
  Loan_IO_to_PI!$B$8,
  0
)</f>
        <v>0</v>
      </c>
      <c r="F118" s="37">
        <f>IF(
  AND(
    Loan_IO_to_PI!Q$24="P&amp;I",
    Loan_IO_to_PI!P$24="IO",
    Loan_IO_to_PI!Q$28&gt;0
  ),
  Loan_IO_to_PI!$B$8,
  0
)</f>
        <v>0</v>
      </c>
      <c r="G118" s="37">
        <f>IF(
  AND(
    Loan_IO_to_PI!R$24="P&amp;I",
    Loan_IO_to_PI!Q$24="IO",
    Loan_IO_to_PI!R$28&gt;0
  ),
  Loan_IO_to_PI!$B$8,
  0
)</f>
        <v>650</v>
      </c>
      <c r="H118" s="37">
        <f>IF(
  AND(
    Loan_IO_to_PI!S$24="P&amp;I",
    Loan_IO_to_PI!R$24="IO",
    Loan_IO_to_PI!S$28&gt;0
  ),
  Loan_IO_to_PI!$B$8,
  0
)</f>
        <v>0</v>
      </c>
      <c r="I118" s="37">
        <f>IF(
  AND(
    Loan_IO_to_PI!T$24="P&amp;I",
    Loan_IO_to_PI!S$24="IO",
    Loan_IO_to_PI!T$28&gt;0
  ),
  Loan_IO_to_PI!$B$8,
  0
)</f>
        <v>0</v>
      </c>
      <c r="J118" s="37">
        <f>IF(
  AND(
    Loan_IO_to_PI!U$24="P&amp;I",
    Loan_IO_to_PI!T$24="IO",
    Loan_IO_to_PI!U$28&gt;0
  ),
  Loan_IO_to_PI!$B$8,
  0
)</f>
        <v>0</v>
      </c>
      <c r="K118" s="37">
        <f>IF(
  AND(
    Loan_IO_to_PI!V$24="P&amp;I",
    Loan_IO_to_PI!U$24="IO",
    Loan_IO_to_PI!V$28&gt;0
  ),
  Loan_IO_to_PI!$B$8,
  0
)</f>
        <v>0</v>
      </c>
      <c r="L118" s="37">
        <f>IF(
  AND(
    Loan_IO_to_PI!W$24="P&amp;I",
    Loan_IO_to_PI!V$24="IO",
    Loan_IO_to_PI!W$28&gt;0
  ),
  Loan_IO_to_PI!$B$8,
  0
)</f>
        <v>0</v>
      </c>
      <c r="M118" s="37">
        <f>IF(
  AND(
    Loan_IO_to_PI!X$24="P&amp;I",
    Loan_IO_to_PI!W$24="IO",
    Loan_IO_to_PI!X$28&gt;0
  ),
  Loan_IO_to_PI!$B$8,
  0
)</f>
        <v>0</v>
      </c>
      <c r="N118" s="37">
        <f>IF(
  AND(
    Loan_IO_to_PI!Y$24="P&amp;I",
    Loan_IO_to_PI!X$24="IO",
    Loan_IO_to_PI!Y$28&gt;0
  ),
  Loan_IO_to_PI!$B$8,
  0
)</f>
        <v>0</v>
      </c>
      <c r="O118" s="37">
        <f>IF(
  AND(
    Loan_IO_to_PI!Z$24="P&amp;I",
    Loan_IO_to_PI!Y$24="IO",
    Loan_IO_to_PI!Z$28&gt;0
  ),
  Loan_IO_to_PI!$B$8,
  0
)</f>
        <v>0</v>
      </c>
      <c r="P118" s="37">
        <f>IF(
  AND(
    Loan_IO_to_PI!AA$24="P&amp;I",
    Loan_IO_to_PI!Z$24="IO",
    Loan_IO_to_PI!AA$28&gt;0
  ),
  Loan_IO_to_PI!$B$8,
  0
)</f>
        <v>0</v>
      </c>
      <c r="Q118" s="37">
        <f>IF(
  AND(
    Loan_IO_to_PI!AB$24="P&amp;I",
    Loan_IO_to_PI!AA$24="IO",
    Loan_IO_to_PI!AB$28&gt;0
  ),
  Loan_IO_to_PI!$B$8,
  0
)</f>
        <v>0</v>
      </c>
      <c r="R118" s="37">
        <f>IF(
  AND(
    Loan_IO_to_PI!AC$24="P&amp;I",
    Loan_IO_to_PI!AB$24="IO",
    Loan_IO_to_PI!AC$28&gt;0
  ),
  Loan_IO_to_PI!$B$8,
  0
)</f>
        <v>0</v>
      </c>
      <c r="S118" s="37">
        <f>IF(
  AND(
    Loan_IO_to_PI!AD$24="P&amp;I",
    Loan_IO_to_PI!AC$24="IO",
    Loan_IO_to_PI!AD$28&gt;0
  ),
  Loan_IO_to_PI!$B$8,
  0
)</f>
        <v>0</v>
      </c>
      <c r="T118" s="37">
        <f>IF(
  AND(
    Loan_IO_to_PI!AE$24="P&amp;I",
    Loan_IO_to_PI!AD$24="IO",
    Loan_IO_to_PI!AE$28&gt;0
  ),
  Loan_IO_to_PI!$B$8,
  0
)</f>
        <v>0</v>
      </c>
      <c r="U118" s="37">
        <f>IF(
  AND(
    Loan_IO_to_PI!AF$24="P&amp;I",
    Loan_IO_to_PI!AE$24="IO",
    Loan_IO_to_PI!AF$28&gt;0
  ),
  Loan_IO_to_PI!$B$8,
  0
)</f>
        <v>0</v>
      </c>
      <c r="V118" s="37">
        <f>IF(
  AND(
    Loan_IO_to_PI!AG$24="P&amp;I",
    Loan_IO_to_PI!AF$24="IO",
    Loan_IO_to_PI!AG$28&gt;0
  ),
  Loan_IO_to_PI!$B$8,
  0
)</f>
        <v>0</v>
      </c>
      <c r="W118" s="37">
        <f>IF(
  AND(
    Loan_IO_to_PI!AH$24="P&amp;I",
    Loan_IO_to_PI!AG$24="IO",
    Loan_IO_to_PI!AH$28&gt;0
  ),
  Loan_IO_to_PI!$B$8,
  0
)</f>
        <v>0</v>
      </c>
      <c r="X118" s="37">
        <f>IF(
  AND(
    Loan_IO_to_PI!AI$24="P&amp;I",
    Loan_IO_to_PI!AH$24="IO",
    Loan_IO_to_PI!AI$28&gt;0
  ),
  Loan_IO_to_PI!$B$8,
  0
)</f>
        <v>0</v>
      </c>
      <c r="Y118" s="37">
        <f>IF(
  AND(
    Loan_IO_to_PI!AJ$24="P&amp;I",
    Loan_IO_to_PI!AI$24="IO",
    Loan_IO_to_PI!AJ$28&gt;0
  ),
  Loan_IO_to_PI!$B$8,
  0
)</f>
        <v>0</v>
      </c>
      <c r="Z118" s="37">
        <f>IF(
  AND(
    Loan_IO_to_PI!AK$24="P&amp;I",
    Loan_IO_to_PI!AJ$24="IO",
    Loan_IO_to_PI!AK$28&gt;0
  ),
  Loan_IO_to_PI!$B$8,
  0
)</f>
        <v>0</v>
      </c>
      <c r="AA118" s="37">
        <f>IF(
  AND(
    Loan_IO_to_PI!AL$24="P&amp;I",
    Loan_IO_to_PI!AK$24="IO",
    Loan_IO_to_PI!AL$28&gt;0
  ),
  Loan_IO_to_PI!$B$8,
  0
)</f>
        <v>0</v>
      </c>
      <c r="AB118" s="37">
        <f>IF(
  AND(
    Loan_IO_to_PI!AM$24="P&amp;I",
    Loan_IO_to_PI!AL$24="IO",
    Loan_IO_to_PI!AM$28&gt;0
  ),
  Loan_IO_to_PI!$B$8,
  0
)</f>
        <v>0</v>
      </c>
      <c r="AC118" s="37">
        <f>IF(
  AND(
    Loan_IO_to_PI!AN$24="P&amp;I",
    Loan_IO_to_PI!AM$24="IO",
    Loan_IO_to_PI!AN$28&gt;0
  ),
  Loan_IO_to_PI!$B$8,
  0
)</f>
        <v>0</v>
      </c>
      <c r="AD118" s="37">
        <f>IF(
  AND(
    Loan_IO_to_PI!AO$24="P&amp;I",
    Loan_IO_to_PI!AN$24="IO",
    Loan_IO_to_PI!AO$28&gt;0
  ),
  Loan_IO_to_PI!$B$8,
  0
)</f>
        <v>0</v>
      </c>
      <c r="AE118" s="37">
        <f>IF(
  AND(
    Loan_IO_to_PI!AP$24="P&amp;I",
    Loan_IO_to_PI!AO$24="IO",
    Loan_IO_to_PI!AP$28&gt;0
  ),
  Loan_IO_to_PI!$B$8,
  0
)</f>
        <v>0</v>
      </c>
      <c r="AF118" s="37">
        <f>IF(
  AND(
    Loan_IO_to_PI!AQ$24="P&amp;I",
    Loan_IO_to_PI!AP$24="IO",
    Loan_IO_to_PI!AQ$28&gt;0
  ),
  Loan_IO_to_PI!$B$8,
  0
)</f>
        <v>0</v>
      </c>
      <c r="AG118" s="37">
        <f>IF(
  AND(
    Loan_IO_to_PI!AR$24="P&amp;I",
    Loan_IO_to_PI!AQ$24="IO",
    Loan_IO_to_PI!AR$28&gt;0
  ),
  Loan_IO_to_PI!$B$8,
  0
)</f>
        <v>0</v>
      </c>
      <c r="AH118" s="37">
        <f>IF(
  AND(
    Loan_IO_to_PI!AS$24="P&amp;I",
    Loan_IO_to_PI!AR$24="IO",
    Loan_IO_to_PI!AS$28&gt;0
  ),
  Loan_IO_to_PI!$B$8,
  0
)</f>
        <v>0</v>
      </c>
      <c r="AI118" s="37">
        <f>IF(
  AND(
    Loan_IO_to_PI!AT$24="P&amp;I",
    Loan_IO_to_PI!AS$24="IO",
    Loan_IO_to_PI!AT$28&gt;0
  ),
  Loan_IO_to_PI!$B$8,
  0
)</f>
        <v>0</v>
      </c>
      <c r="AJ118" s="37">
        <f>IF(
  AND(
    Loan_IO_to_PI!AU$24="P&amp;I",
    Loan_IO_to_PI!AT$24="IO",
    Loan_IO_to_PI!AU$28&gt;0
  ),
  Loan_IO_to_PI!$B$8,
  0
)</f>
        <v>0</v>
      </c>
      <c r="AK118" s="37">
        <f>IF(
  AND(
    Loan_IO_to_PI!AV$24="P&amp;I",
    Loan_IO_to_PI!AU$24="IO",
    Loan_IO_to_PI!AV$28&gt;0
  ),
  Loan_IO_to_PI!$B$8,
  0
)</f>
        <v>0</v>
      </c>
      <c r="AL118" s="37">
        <f>IF(
  AND(
    Loan_IO_to_PI!AW$24="P&amp;I",
    Loan_IO_to_PI!AV$24="IO",
    Loan_IO_to_PI!AW$28&gt;0
  ),
  Loan_IO_to_PI!$B$8,
  0
)</f>
        <v>0</v>
      </c>
      <c r="AM118" s="37">
        <f>IF(
  AND(
    Loan_IO_to_PI!AX$24="P&amp;I",
    Loan_IO_to_PI!AW$24="IO",
    Loan_IO_to_PI!AX$28&gt;0
  ),
  Loan_IO_to_PI!$B$8,
  0
)</f>
        <v>0</v>
      </c>
      <c r="AN118" s="37">
        <f>IF(
  AND(
    Loan_IO_to_PI!AY$24="P&amp;I",
    Loan_IO_to_PI!AX$24="IO",
    Loan_IO_to_PI!AY$28&gt;0
  ),
  Loan_IO_to_PI!$B$8,
  0
)</f>
        <v>0</v>
      </c>
      <c r="AO118" s="37">
        <f>IF(
  AND(
    Loan_IO_to_PI!AZ$24="P&amp;I",
    Loan_IO_to_PI!AY$24="IO",
    Loan_IO_to_PI!AZ$28&gt;0
  ),
  Loan_IO_to_PI!$B$8,
  0
)</f>
        <v>0</v>
      </c>
      <c r="AP118" s="37">
        <f>IF(
  AND(
    Loan_IO_to_PI!BA$24="P&amp;I",
    Loan_IO_to_PI!AZ$24="IO",
    Loan_IO_to_PI!BA$28&gt;0
  ),
  Loan_IO_to_PI!$B$8,
  0
)</f>
        <v>0</v>
      </c>
      <c r="AQ118" s="37">
        <f>IF(
  AND(
    Loan_IO_to_PI!BB$24="P&amp;I",
    Loan_IO_to_PI!BA$24="IO",
    Loan_IO_to_PI!BB$28&gt;0
  ),
  Loan_IO_to_PI!$B$8,
  0
)</f>
        <v>0</v>
      </c>
      <c r="AR118" s="37">
        <f>IF(
  AND(
    Loan_IO_to_PI!BC$24="P&amp;I",
    Loan_IO_to_PI!BB$24="IO",
    Loan_IO_to_PI!BC$28&gt;0
  ),
  Loan_IO_to_PI!$B$8,
  0
)</f>
        <v>0</v>
      </c>
      <c r="AS118" s="37">
        <f>IF(
  AND(
    Loan_IO_to_PI!BD$24="P&amp;I",
    Loan_IO_to_PI!BC$24="IO",
    Loan_IO_to_PI!BD$28&gt;0
  ),
  Loan_IO_to_PI!$B$8,
  0
)</f>
        <v>0</v>
      </c>
      <c r="AT118" s="37">
        <f>IF(
  AND(
    Loan_IO_to_PI!BE$24="P&amp;I",
    Loan_IO_to_PI!BD$24="IO",
    Loan_IO_to_PI!BE$28&gt;0
  ),
  Loan_IO_to_PI!$B$8,
  0
)</f>
        <v>0</v>
      </c>
      <c r="AU118" s="37">
        <f>IF(
  AND(
    Loan_IO_to_PI!BF$24="P&amp;I",
    Loan_IO_to_PI!BE$24="IO",
    Loan_IO_to_PI!BF$28&gt;0
  ),
  Loan_IO_to_PI!$B$8,
  0
)</f>
        <v>0</v>
      </c>
      <c r="AV118" s="37">
        <f>IF(
  AND(
    Loan_IO_to_PI!BG$24="P&amp;I",
    Loan_IO_to_PI!BF$24="IO",
    Loan_IO_to_PI!BG$28&gt;0
  ),
  Loan_IO_to_PI!$B$8,
  0
)</f>
        <v>0</v>
      </c>
      <c r="AW118" s="37">
        <f>IF(
  AND(
    Loan_IO_to_PI!BH$24="P&amp;I",
    Loan_IO_to_PI!BG$24="IO",
    Loan_IO_to_PI!BH$28&gt;0
  ),
  Loan_IO_to_PI!$B$8,
  0
)</f>
        <v>0</v>
      </c>
      <c r="AX118" s="37">
        <f>IF(
  AND(
    Loan_IO_to_PI!BI$24="P&amp;I",
    Loan_IO_to_PI!BH$24="IO",
    Loan_IO_to_PI!BI$28&gt;0
  ),
  Loan_IO_to_PI!$B$8,
  0
)</f>
        <v>0</v>
      </c>
      <c r="AY118" s="37">
        <f>IF(
  AND(
    Loan_IO_to_PI!BJ$24="P&amp;I",
    Loan_IO_to_PI!BI$24="IO",
    Loan_IO_to_PI!BJ$28&gt;0
  ),
  Loan_IO_to_PI!$B$8,
  0
)</f>
        <v>0</v>
      </c>
      <c r="AZ118" s="37">
        <f>IF(
  AND(
    Loan_IO_to_PI!BK$24="P&amp;I",
    Loan_IO_to_PI!BJ$24="IO",
    Loan_IO_to_PI!BK$28&gt;0
  ),
  Loan_IO_to_PI!$B$8,
  0
)</f>
        <v>0</v>
      </c>
    </row>
    <row r="119" spans="1:52" s="37" customFormat="1">
      <c r="A119" s="78" t="s">
        <v>332</v>
      </c>
      <c r="B119" s="88"/>
      <c r="C119" s="88">
        <f>0</f>
        <v>0</v>
      </c>
      <c r="D119" s="37">
        <f>C119* (1 + Scenarios!$K$10)</f>
        <v>0</v>
      </c>
      <c r="E119" s="37">
        <f>D119* (1 + Scenarios!$K$10)</f>
        <v>0</v>
      </c>
      <c r="F119" s="37">
        <f>E119* (1 + Scenarios!$K$10)</f>
        <v>0</v>
      </c>
      <c r="G119" s="37">
        <f>F119* (1 + Scenarios!$K$10)</f>
        <v>0</v>
      </c>
      <c r="H119" s="37">
        <f>G119* (1 + Scenarios!$K$10)</f>
        <v>0</v>
      </c>
      <c r="I119" s="37">
        <f>H119* (1 + Scenarios!$K$10)</f>
        <v>0</v>
      </c>
      <c r="J119" s="37">
        <f>I119* (1 + Scenarios!$K$10)</f>
        <v>0</v>
      </c>
      <c r="K119" s="37">
        <f>J119* (1 + Scenarios!$K$10)</f>
        <v>0</v>
      </c>
      <c r="L119" s="37">
        <f>K119* (1 + Scenarios!$K$10)</f>
        <v>0</v>
      </c>
      <c r="M119" s="37">
        <f>L119* (1 + Scenarios!$K$10)</f>
        <v>0</v>
      </c>
      <c r="N119" s="37">
        <f>M119* (1 + Scenarios!$K$10)</f>
        <v>0</v>
      </c>
      <c r="O119" s="37">
        <f>N119* (1 + Scenarios!$K$10)</f>
        <v>0</v>
      </c>
      <c r="P119" s="37">
        <f>O119* (1 + Scenarios!$K$10)</f>
        <v>0</v>
      </c>
      <c r="Q119" s="37">
        <f>P119* (1 + Scenarios!$K$10)</f>
        <v>0</v>
      </c>
      <c r="R119" s="37">
        <f>Q119* (1 + Scenarios!$K$10)</f>
        <v>0</v>
      </c>
      <c r="S119" s="37">
        <f>R119* (1 + Scenarios!$K$10)</f>
        <v>0</v>
      </c>
      <c r="T119" s="37">
        <f>S119* (1 + Scenarios!$K$10)</f>
        <v>0</v>
      </c>
      <c r="U119" s="37">
        <f>T119* (1 + Scenarios!$K$10)</f>
        <v>0</v>
      </c>
      <c r="V119" s="37">
        <f>U119* (1 + Scenarios!$K$10)</f>
        <v>0</v>
      </c>
      <c r="W119" s="37">
        <f>V119* (1 + Scenarios!$K$10)</f>
        <v>0</v>
      </c>
      <c r="X119" s="37">
        <f>W119* (1 + Scenarios!$K$10)</f>
        <v>0</v>
      </c>
      <c r="Y119" s="37">
        <f>X119* (1 + Scenarios!$K$10)</f>
        <v>0</v>
      </c>
      <c r="Z119" s="37">
        <f>Y119* (1 + Scenarios!$K$10)</f>
        <v>0</v>
      </c>
      <c r="AA119" s="37">
        <f>Z119* (1 + Scenarios!$K$10)</f>
        <v>0</v>
      </c>
      <c r="AB119" s="37">
        <f>AA119* (1 + Scenarios!$K$10)</f>
        <v>0</v>
      </c>
      <c r="AC119" s="37">
        <f>AB119* (1 + Scenarios!$K$10)</f>
        <v>0</v>
      </c>
      <c r="AD119" s="37">
        <f>AC119* (1 + Scenarios!$K$10)</f>
        <v>0</v>
      </c>
      <c r="AE119" s="37">
        <f>AD119* (1 + Scenarios!$K$10)</f>
        <v>0</v>
      </c>
      <c r="AF119" s="37">
        <f>AE119* (1 + Scenarios!$K$10)</f>
        <v>0</v>
      </c>
      <c r="AG119" s="37">
        <f>AF119* (1 + Scenarios!$K$10)</f>
        <v>0</v>
      </c>
      <c r="AH119" s="37">
        <f>AG119* (1 + Scenarios!$K$10)</f>
        <v>0</v>
      </c>
      <c r="AI119" s="37">
        <f>AH119* (1 + Scenarios!$K$10)</f>
        <v>0</v>
      </c>
      <c r="AJ119" s="37">
        <f>AI119* (1 + Scenarios!$K$10)</f>
        <v>0</v>
      </c>
      <c r="AK119" s="37">
        <f>AJ119* (1 + Scenarios!$K$10)</f>
        <v>0</v>
      </c>
      <c r="AL119" s="37">
        <f>AK119* (1 + Scenarios!$K$10)</f>
        <v>0</v>
      </c>
      <c r="AM119" s="37">
        <f>AL119* (1 + Scenarios!$K$10)</f>
        <v>0</v>
      </c>
      <c r="AN119" s="37">
        <f>AM119* (1 + Scenarios!$K$10)</f>
        <v>0</v>
      </c>
      <c r="AO119" s="37">
        <f>AN119* (1 + Scenarios!$K$10)</f>
        <v>0</v>
      </c>
      <c r="AP119" s="37">
        <f>AO119* (1 + Scenarios!$K$10)</f>
        <v>0</v>
      </c>
      <c r="AQ119" s="37">
        <f>AP119* (1 + Scenarios!$K$10)</f>
        <v>0</v>
      </c>
      <c r="AR119" s="37">
        <f>AQ119* (1 + Scenarios!$K$10)</f>
        <v>0</v>
      </c>
      <c r="AS119" s="37">
        <f>AR119* (1 + Scenarios!$K$10)</f>
        <v>0</v>
      </c>
      <c r="AT119" s="37">
        <f>AS119* (1 + Scenarios!$K$10)</f>
        <v>0</v>
      </c>
      <c r="AU119" s="37">
        <f>AT119* (1 + Scenarios!$K$10)</f>
        <v>0</v>
      </c>
      <c r="AV119" s="37">
        <f>AU119* (1 + Scenarios!$K$10)</f>
        <v>0</v>
      </c>
      <c r="AW119" s="37">
        <f>AV119* (1 + Scenarios!$K$10)</f>
        <v>0</v>
      </c>
      <c r="AX119" s="37">
        <f>AW119* (1 + Scenarios!$K$10)</f>
        <v>0</v>
      </c>
      <c r="AY119" s="37">
        <f>AX119* (1 + Scenarios!$K$10)</f>
        <v>0</v>
      </c>
      <c r="AZ119" s="37">
        <f>AY119* (1 + Scenarios!$K$10)</f>
        <v>0</v>
      </c>
    </row>
    <row r="120" spans="1:52" s="37" customFormat="1">
      <c r="A120" s="77" t="s">
        <v>333</v>
      </c>
    </row>
    <row r="121" spans="1:52" s="37" customFormat="1">
      <c r="A121" s="78" t="s">
        <v>334</v>
      </c>
      <c r="B121" s="88"/>
      <c r="C121" s="88">
        <f>IF(
  MOD(C95-1, Assumptions!$B$57)=0,
  Assumptions!$B$54+Assumptions!$B$55,
  0
)</f>
        <v>1462</v>
      </c>
      <c r="D121" s="37">
        <f>IF(
  MOD(D95-1, Assumptions!$B$57)=0,
  Assumptions!$B$54+Assumptions!$B$55,
  0
)</f>
        <v>0</v>
      </c>
      <c r="E121" s="37">
        <f>IF(
  MOD(E95-1, Assumptions!$B$57)=0,
  Assumptions!$B$54+Assumptions!$B$55,
  0
)</f>
        <v>0</v>
      </c>
      <c r="F121" s="37">
        <f>IF(
  MOD(F95-1, Assumptions!$B$57)=0,
  Assumptions!$B$54+Assumptions!$B$55,
  0
)</f>
        <v>0</v>
      </c>
      <c r="G121" s="37">
        <f>IF(
  MOD(G95-1, Assumptions!$B$57)=0,
  Assumptions!$B$54+Assumptions!$B$55,
  0
)</f>
        <v>1462</v>
      </c>
      <c r="H121" s="37">
        <f>IF(
  MOD(H95-1, Assumptions!$B$57)=0,
  Assumptions!$B$54+Assumptions!$B$55,
  0
)</f>
        <v>0</v>
      </c>
      <c r="I121" s="37">
        <f>IF(
  MOD(I95-1, Assumptions!$B$57)=0,
  Assumptions!$B$54+Assumptions!$B$55,
  0
)</f>
        <v>0</v>
      </c>
      <c r="J121" s="37">
        <f>IF(
  MOD(J95-1, Assumptions!$B$57)=0,
  Assumptions!$B$54+Assumptions!$B$55,
  0
)</f>
        <v>0</v>
      </c>
      <c r="K121" s="37">
        <f>IF(
  MOD(K95-1, Assumptions!$B$57)=0,
  Assumptions!$B$54+Assumptions!$B$55,
  0
)</f>
        <v>1462</v>
      </c>
      <c r="L121" s="37">
        <f>IF(
  MOD(L95-1, Assumptions!$B$57)=0,
  Assumptions!$B$54+Assumptions!$B$55,
  0
)</f>
        <v>0</v>
      </c>
      <c r="M121" s="37">
        <f>IF(
  MOD(M95-1, Assumptions!$B$57)=0,
  Assumptions!$B$54+Assumptions!$B$55,
  0
)</f>
        <v>0</v>
      </c>
      <c r="N121" s="37">
        <f>IF(
  MOD(N95-1, Assumptions!$B$57)=0,
  Assumptions!$B$54+Assumptions!$B$55,
  0
)</f>
        <v>0</v>
      </c>
      <c r="O121" s="37">
        <f>IF(
  MOD(O95-1, Assumptions!$B$57)=0,
  Assumptions!$B$54+Assumptions!$B$55,
  0
)</f>
        <v>1462</v>
      </c>
      <c r="P121" s="37">
        <f>IF(
  MOD(P95-1, Assumptions!$B$57)=0,
  Assumptions!$B$54+Assumptions!$B$55,
  0
)</f>
        <v>0</v>
      </c>
      <c r="Q121" s="37">
        <f>IF(
  MOD(Q95-1, Assumptions!$B$57)=0,
  Assumptions!$B$54+Assumptions!$B$55,
  0
)</f>
        <v>0</v>
      </c>
      <c r="R121" s="37">
        <f>IF(
  MOD(R95-1, Assumptions!$B$57)=0,
  Assumptions!$B$54+Assumptions!$B$55,
  0
)</f>
        <v>0</v>
      </c>
      <c r="S121" s="37">
        <f>IF(
  MOD(S95-1, Assumptions!$B$57)=0,
  Assumptions!$B$54+Assumptions!$B$55,
  0
)</f>
        <v>1462</v>
      </c>
      <c r="T121" s="37">
        <f>IF(
  MOD(T95-1, Assumptions!$B$57)=0,
  Assumptions!$B$54+Assumptions!$B$55,
  0
)</f>
        <v>0</v>
      </c>
      <c r="U121" s="37">
        <f>IF(
  MOD(U95-1, Assumptions!$B$57)=0,
  Assumptions!$B$54+Assumptions!$B$55,
  0
)</f>
        <v>0</v>
      </c>
      <c r="V121" s="37">
        <f>IF(
  MOD(V95-1, Assumptions!$B$57)=0,
  Assumptions!$B$54+Assumptions!$B$55,
  0
)</f>
        <v>0</v>
      </c>
      <c r="W121" s="37">
        <f>IF(
  MOD(W95-1, Assumptions!$B$57)=0,
  Assumptions!$B$54+Assumptions!$B$55,
  0
)</f>
        <v>1462</v>
      </c>
      <c r="X121" s="37">
        <f>IF(
  MOD(X95-1, Assumptions!$B$57)=0,
  Assumptions!$B$54+Assumptions!$B$55,
  0
)</f>
        <v>0</v>
      </c>
      <c r="Y121" s="37">
        <f>IF(
  MOD(Y95-1, Assumptions!$B$57)=0,
  Assumptions!$B$54+Assumptions!$B$55,
  0
)</f>
        <v>0</v>
      </c>
      <c r="Z121" s="37">
        <f>IF(
  MOD(Z95-1, Assumptions!$B$57)=0,
  Assumptions!$B$54+Assumptions!$B$55,
  0
)</f>
        <v>0</v>
      </c>
      <c r="AA121" s="37">
        <f>IF(
  MOD(AA95-1, Assumptions!$B$57)=0,
  Assumptions!$B$54+Assumptions!$B$55,
  0
)</f>
        <v>1462</v>
      </c>
      <c r="AB121" s="37">
        <f>IF(
  MOD(AB95-1, Assumptions!$B$57)=0,
  Assumptions!$B$54+Assumptions!$B$55,
  0
)</f>
        <v>0</v>
      </c>
      <c r="AC121" s="37">
        <f>IF(
  MOD(AC95-1, Assumptions!$B$57)=0,
  Assumptions!$B$54+Assumptions!$B$55,
  0
)</f>
        <v>0</v>
      </c>
      <c r="AD121" s="37">
        <f>IF(
  MOD(AD95-1, Assumptions!$B$57)=0,
  Assumptions!$B$54+Assumptions!$B$55,
  0
)</f>
        <v>0</v>
      </c>
      <c r="AE121" s="37">
        <f>IF(
  MOD(AE95-1, Assumptions!$B$57)=0,
  Assumptions!$B$54+Assumptions!$B$55,
  0
)</f>
        <v>1462</v>
      </c>
      <c r="AF121" s="37">
        <f>IF(
  MOD(AF95-1, Assumptions!$B$57)=0,
  Assumptions!$B$54+Assumptions!$B$55,
  0
)</f>
        <v>0</v>
      </c>
      <c r="AG121" s="37">
        <f>IF(
  MOD(AG95-1, Assumptions!$B$57)=0,
  Assumptions!$B$54+Assumptions!$B$55,
  0
)</f>
        <v>0</v>
      </c>
      <c r="AH121" s="37">
        <f>IF(
  MOD(AH95-1, Assumptions!$B$57)=0,
  Assumptions!$B$54+Assumptions!$B$55,
  0
)</f>
        <v>0</v>
      </c>
      <c r="AI121" s="37">
        <f>IF(
  MOD(AI95-1, Assumptions!$B$57)=0,
  Assumptions!$B$54+Assumptions!$B$55,
  0
)</f>
        <v>1462</v>
      </c>
      <c r="AJ121" s="37">
        <f>IF(
  MOD(AJ95-1, Assumptions!$B$57)=0,
  Assumptions!$B$54+Assumptions!$B$55,
  0
)</f>
        <v>0</v>
      </c>
      <c r="AK121" s="37">
        <f>IF(
  MOD(AK95-1, Assumptions!$B$57)=0,
  Assumptions!$B$54+Assumptions!$B$55,
  0
)</f>
        <v>0</v>
      </c>
      <c r="AL121" s="37">
        <f>IF(
  MOD(AL95-1, Assumptions!$B$57)=0,
  Assumptions!$B$54+Assumptions!$B$55,
  0
)</f>
        <v>0</v>
      </c>
      <c r="AM121" s="37">
        <f>IF(
  MOD(AM95-1, Assumptions!$B$57)=0,
  Assumptions!$B$54+Assumptions!$B$55,
  0
)</f>
        <v>1462</v>
      </c>
      <c r="AN121" s="37">
        <f>IF(
  MOD(AN95-1, Assumptions!$B$57)=0,
  Assumptions!$B$54+Assumptions!$B$55,
  0
)</f>
        <v>0</v>
      </c>
      <c r="AO121" s="37">
        <f>IF(
  MOD(AO95-1, Assumptions!$B$57)=0,
  Assumptions!$B$54+Assumptions!$B$55,
  0
)</f>
        <v>0</v>
      </c>
      <c r="AP121" s="37">
        <f>IF(
  MOD(AP95-1, Assumptions!$B$57)=0,
  Assumptions!$B$54+Assumptions!$B$55,
  0
)</f>
        <v>0</v>
      </c>
      <c r="AQ121" s="37">
        <f>IF(
  MOD(AQ95-1, Assumptions!$B$57)=0,
  Assumptions!$B$54+Assumptions!$B$55,
  0
)</f>
        <v>1462</v>
      </c>
      <c r="AR121" s="37">
        <f>IF(
  MOD(AR95-1, Assumptions!$B$57)=0,
  Assumptions!$B$54+Assumptions!$B$55,
  0
)</f>
        <v>0</v>
      </c>
      <c r="AS121" s="37">
        <f>IF(
  MOD(AS95-1, Assumptions!$B$57)=0,
  Assumptions!$B$54+Assumptions!$B$55,
  0
)</f>
        <v>0</v>
      </c>
      <c r="AT121" s="37">
        <f>IF(
  MOD(AT95-1, Assumptions!$B$57)=0,
  Assumptions!$B$54+Assumptions!$B$55,
  0
)</f>
        <v>0</v>
      </c>
      <c r="AU121" s="37">
        <f>IF(
  MOD(AU95-1, Assumptions!$B$57)=0,
  Assumptions!$B$54+Assumptions!$B$55,
  0
)</f>
        <v>1462</v>
      </c>
      <c r="AV121" s="37">
        <f>IF(
  MOD(AV95-1, Assumptions!$B$57)=0,
  Assumptions!$B$54+Assumptions!$B$55,
  0
)</f>
        <v>0</v>
      </c>
      <c r="AW121" s="37">
        <f>IF(
  MOD(AW95-1, Assumptions!$B$57)=0,
  Assumptions!$B$54+Assumptions!$B$55,
  0
)</f>
        <v>0</v>
      </c>
      <c r="AX121" s="37">
        <f>IF(
  MOD(AX95-1, Assumptions!$B$57)=0,
  Assumptions!$B$54+Assumptions!$B$55,
  0
)</f>
        <v>0</v>
      </c>
      <c r="AY121" s="37">
        <f>IF(
  MOD(AY95-1, Assumptions!$B$57)=0,
  Assumptions!$B$54+Assumptions!$B$55,
  0
)</f>
        <v>1462</v>
      </c>
      <c r="AZ121" s="37">
        <f>IF(
  MOD(AZ95-1, Assumptions!$B$57)=0,
  Assumptions!$B$54+Assumptions!$B$55,
  0
)</f>
        <v>0</v>
      </c>
    </row>
    <row r="122" spans="1:52" s="37" customFormat="1">
      <c r="A122" s="78" t="s">
        <v>335</v>
      </c>
      <c r="B122" s="88"/>
      <c r="C122" s="88">
        <f>0</f>
        <v>0</v>
      </c>
      <c r="D122" s="37">
        <f>C122* (1 + Scenarios!$K$10)</f>
        <v>0</v>
      </c>
      <c r="E122" s="37">
        <f>D122* (1 + Scenarios!$K$10)</f>
        <v>0</v>
      </c>
      <c r="F122" s="37">
        <f>E122* (1 + Scenarios!$K$10)</f>
        <v>0</v>
      </c>
      <c r="G122" s="37">
        <f>F122* (1 + Scenarios!$K$10)</f>
        <v>0</v>
      </c>
      <c r="H122" s="37">
        <f>G122* (1 + Scenarios!$K$10)</f>
        <v>0</v>
      </c>
      <c r="I122" s="37">
        <f>H122* (1 + Scenarios!$K$10)</f>
        <v>0</v>
      </c>
      <c r="J122" s="37">
        <f>I122* (1 + Scenarios!$K$10)</f>
        <v>0</v>
      </c>
      <c r="K122" s="37">
        <f>J122* (1 + Scenarios!$K$10)</f>
        <v>0</v>
      </c>
      <c r="L122" s="37">
        <f>K122* (1 + Scenarios!$K$10)</f>
        <v>0</v>
      </c>
      <c r="M122" s="37">
        <f>L122* (1 + Scenarios!$K$10)</f>
        <v>0</v>
      </c>
      <c r="N122" s="37">
        <f>M122* (1 + Scenarios!$K$10)</f>
        <v>0</v>
      </c>
      <c r="O122" s="37">
        <f>N122* (1 + Scenarios!$K$10)</f>
        <v>0</v>
      </c>
      <c r="P122" s="37">
        <f>O122* (1 + Scenarios!$K$10)</f>
        <v>0</v>
      </c>
      <c r="Q122" s="37">
        <f>P122* (1 + Scenarios!$K$10)</f>
        <v>0</v>
      </c>
      <c r="R122" s="37">
        <f>Q122* (1 + Scenarios!$K$10)</f>
        <v>0</v>
      </c>
      <c r="S122" s="37">
        <f>R122* (1 + Scenarios!$K$10)</f>
        <v>0</v>
      </c>
      <c r="T122" s="37">
        <f>S122* (1 + Scenarios!$K$10)</f>
        <v>0</v>
      </c>
      <c r="U122" s="37">
        <f>T122* (1 + Scenarios!$K$10)</f>
        <v>0</v>
      </c>
      <c r="V122" s="37">
        <f>U122* (1 + Scenarios!$K$10)</f>
        <v>0</v>
      </c>
      <c r="W122" s="37">
        <f>V122* (1 + Scenarios!$K$10)</f>
        <v>0</v>
      </c>
      <c r="X122" s="37">
        <f>W122* (1 + Scenarios!$K$10)</f>
        <v>0</v>
      </c>
      <c r="Y122" s="37">
        <f>X122* (1 + Scenarios!$K$10)</f>
        <v>0</v>
      </c>
      <c r="Z122" s="37">
        <f>Y122* (1 + Scenarios!$K$10)</f>
        <v>0</v>
      </c>
      <c r="AA122" s="37">
        <f>Z122* (1 + Scenarios!$K$10)</f>
        <v>0</v>
      </c>
      <c r="AB122" s="37">
        <f>AA122* (1 + Scenarios!$K$10)</f>
        <v>0</v>
      </c>
      <c r="AC122" s="37">
        <f>AB122* (1 + Scenarios!$K$10)</f>
        <v>0</v>
      </c>
      <c r="AD122" s="37">
        <f>AC122* (1 + Scenarios!$K$10)</f>
        <v>0</v>
      </c>
      <c r="AE122" s="37">
        <f>AD122* (1 + Scenarios!$K$10)</f>
        <v>0</v>
      </c>
      <c r="AF122" s="37">
        <f>AE122* (1 + Scenarios!$K$10)</f>
        <v>0</v>
      </c>
      <c r="AG122" s="37">
        <f>AF122* (1 + Scenarios!$K$10)</f>
        <v>0</v>
      </c>
      <c r="AH122" s="37">
        <f>AG122* (1 + Scenarios!$K$10)</f>
        <v>0</v>
      </c>
      <c r="AI122" s="37">
        <f>AH122* (1 + Scenarios!$K$10)</f>
        <v>0</v>
      </c>
      <c r="AJ122" s="37">
        <f>AI122* (1 + Scenarios!$K$10)</f>
        <v>0</v>
      </c>
      <c r="AK122" s="37">
        <f>AJ122* (1 + Scenarios!$K$10)</f>
        <v>0</v>
      </c>
      <c r="AL122" s="37">
        <f>AK122* (1 + Scenarios!$K$10)</f>
        <v>0</v>
      </c>
      <c r="AM122" s="37">
        <f>AL122* (1 + Scenarios!$K$10)</f>
        <v>0</v>
      </c>
      <c r="AN122" s="37">
        <f>AM122* (1 + Scenarios!$K$10)</f>
        <v>0</v>
      </c>
      <c r="AO122" s="37">
        <f>AN122* (1 + Scenarios!$K$10)</f>
        <v>0</v>
      </c>
      <c r="AP122" s="37">
        <f>AO122* (1 + Scenarios!$K$10)</f>
        <v>0</v>
      </c>
      <c r="AQ122" s="37">
        <f>AP122* (1 + Scenarios!$K$10)</f>
        <v>0</v>
      </c>
      <c r="AR122" s="37">
        <f>AQ122* (1 + Scenarios!$K$10)</f>
        <v>0</v>
      </c>
      <c r="AS122" s="37">
        <f>AR122* (1 + Scenarios!$K$10)</f>
        <v>0</v>
      </c>
      <c r="AT122" s="37">
        <f>AS122* (1 + Scenarios!$K$10)</f>
        <v>0</v>
      </c>
      <c r="AU122" s="37">
        <f>AT122* (1 + Scenarios!$K$10)</f>
        <v>0</v>
      </c>
      <c r="AV122" s="37">
        <f>AU122* (1 + Scenarios!$K$10)</f>
        <v>0</v>
      </c>
      <c r="AW122" s="37">
        <f>AV122* (1 + Scenarios!$K$10)</f>
        <v>0</v>
      </c>
      <c r="AX122" s="37">
        <f>AW122* (1 + Scenarios!$K$10)</f>
        <v>0</v>
      </c>
      <c r="AY122" s="37">
        <f>AX122* (1 + Scenarios!$K$10)</f>
        <v>0</v>
      </c>
      <c r="AZ122" s="37">
        <f>AY122* (1 + Scenarios!$K$10)</f>
        <v>0</v>
      </c>
    </row>
    <row r="123" spans="1:52" s="37" customFormat="1">
      <c r="A123" s="78" t="s">
        <v>336</v>
      </c>
      <c r="B123" s="88"/>
      <c r="C123" s="88">
        <f>0</f>
        <v>0</v>
      </c>
      <c r="D123" s="37">
        <f>C123* (1 + Scenarios!$K$10)</f>
        <v>0</v>
      </c>
      <c r="E123" s="37">
        <f>D123* (1 + Scenarios!$K$10)</f>
        <v>0</v>
      </c>
      <c r="F123" s="37">
        <f>E123* (1 + Scenarios!$K$10)</f>
        <v>0</v>
      </c>
      <c r="G123" s="37">
        <f>F123* (1 + Scenarios!$K$10)</f>
        <v>0</v>
      </c>
      <c r="H123" s="37">
        <f>G123* (1 + Scenarios!$K$10)</f>
        <v>0</v>
      </c>
      <c r="I123" s="37">
        <f>H123* (1 + Scenarios!$K$10)</f>
        <v>0</v>
      </c>
      <c r="J123" s="37">
        <f>I123* (1 + Scenarios!$K$10)</f>
        <v>0</v>
      </c>
      <c r="K123" s="37">
        <f>J123* (1 + Scenarios!$K$10)</f>
        <v>0</v>
      </c>
      <c r="L123" s="37">
        <f>K123* (1 + Scenarios!$K$10)</f>
        <v>0</v>
      </c>
      <c r="M123" s="37">
        <f>L123* (1 + Scenarios!$K$10)</f>
        <v>0</v>
      </c>
      <c r="N123" s="37">
        <f>M123* (1 + Scenarios!$K$10)</f>
        <v>0</v>
      </c>
      <c r="O123" s="37">
        <f>N123* (1 + Scenarios!$K$10)</f>
        <v>0</v>
      </c>
      <c r="P123" s="37">
        <f>O123* (1 + Scenarios!$K$10)</f>
        <v>0</v>
      </c>
      <c r="Q123" s="37">
        <f>P123* (1 + Scenarios!$K$10)</f>
        <v>0</v>
      </c>
      <c r="R123" s="37">
        <f>Q123* (1 + Scenarios!$K$10)</f>
        <v>0</v>
      </c>
      <c r="S123" s="37">
        <f>R123* (1 + Scenarios!$K$10)</f>
        <v>0</v>
      </c>
      <c r="T123" s="37">
        <f>S123* (1 + Scenarios!$K$10)</f>
        <v>0</v>
      </c>
      <c r="U123" s="37">
        <f>T123* (1 + Scenarios!$K$10)</f>
        <v>0</v>
      </c>
      <c r="V123" s="37">
        <f>U123* (1 + Scenarios!$K$10)</f>
        <v>0</v>
      </c>
      <c r="W123" s="37">
        <f>V123* (1 + Scenarios!$K$10)</f>
        <v>0</v>
      </c>
      <c r="X123" s="37">
        <f>W123* (1 + Scenarios!$K$10)</f>
        <v>0</v>
      </c>
      <c r="Y123" s="37">
        <f>X123* (1 + Scenarios!$K$10)</f>
        <v>0</v>
      </c>
      <c r="Z123" s="37">
        <f>Y123* (1 + Scenarios!$K$10)</f>
        <v>0</v>
      </c>
      <c r="AA123" s="37">
        <f>Z123* (1 + Scenarios!$K$10)</f>
        <v>0</v>
      </c>
      <c r="AB123" s="37">
        <f>AA123* (1 + Scenarios!$K$10)</f>
        <v>0</v>
      </c>
      <c r="AC123" s="37">
        <f>AB123* (1 + Scenarios!$K$10)</f>
        <v>0</v>
      </c>
      <c r="AD123" s="37">
        <f>AC123* (1 + Scenarios!$K$10)</f>
        <v>0</v>
      </c>
      <c r="AE123" s="37">
        <f>AD123* (1 + Scenarios!$K$10)</f>
        <v>0</v>
      </c>
      <c r="AF123" s="37">
        <f>AE123* (1 + Scenarios!$K$10)</f>
        <v>0</v>
      </c>
      <c r="AG123" s="37">
        <f>AF123* (1 + Scenarios!$K$10)</f>
        <v>0</v>
      </c>
      <c r="AH123" s="37">
        <f>AG123* (1 + Scenarios!$K$10)</f>
        <v>0</v>
      </c>
      <c r="AI123" s="37">
        <f>AH123* (1 + Scenarios!$K$10)</f>
        <v>0</v>
      </c>
      <c r="AJ123" s="37">
        <f>AI123* (1 + Scenarios!$K$10)</f>
        <v>0</v>
      </c>
      <c r="AK123" s="37">
        <f>AJ123* (1 + Scenarios!$K$10)</f>
        <v>0</v>
      </c>
      <c r="AL123" s="37">
        <f>AK123* (1 + Scenarios!$K$10)</f>
        <v>0</v>
      </c>
      <c r="AM123" s="37">
        <f>AL123* (1 + Scenarios!$K$10)</f>
        <v>0</v>
      </c>
      <c r="AN123" s="37">
        <f>AM123* (1 + Scenarios!$K$10)</f>
        <v>0</v>
      </c>
      <c r="AO123" s="37">
        <f>AN123* (1 + Scenarios!$K$10)</f>
        <v>0</v>
      </c>
      <c r="AP123" s="37">
        <f>AO123* (1 + Scenarios!$K$10)</f>
        <v>0</v>
      </c>
      <c r="AQ123" s="37">
        <f>AP123* (1 + Scenarios!$K$10)</f>
        <v>0</v>
      </c>
      <c r="AR123" s="37">
        <f>AQ123* (1 + Scenarios!$K$10)</f>
        <v>0</v>
      </c>
      <c r="AS123" s="37">
        <f>AR123* (1 + Scenarios!$K$10)</f>
        <v>0</v>
      </c>
      <c r="AT123" s="37">
        <f>AS123* (1 + Scenarios!$K$10)</f>
        <v>0</v>
      </c>
      <c r="AU123" s="37">
        <f>AT123* (1 + Scenarios!$K$10)</f>
        <v>0</v>
      </c>
      <c r="AV123" s="37">
        <f>AU123* (1 + Scenarios!$K$10)</f>
        <v>0</v>
      </c>
      <c r="AW123" s="37">
        <f>AV123* (1 + Scenarios!$K$10)</f>
        <v>0</v>
      </c>
      <c r="AX123" s="37">
        <f>AW123* (1 + Scenarios!$K$10)</f>
        <v>0</v>
      </c>
      <c r="AY123" s="37">
        <f>AX123* (1 + Scenarios!$K$10)</f>
        <v>0</v>
      </c>
      <c r="AZ123" s="37">
        <f>AY123* (1 + Scenarios!$K$10)</f>
        <v>0</v>
      </c>
    </row>
    <row r="124" spans="1:52" s="37" customFormat="1">
      <c r="A124" s="78" t="s">
        <v>337</v>
      </c>
      <c r="B124" s="88"/>
      <c r="C124" s="88">
        <f>0</f>
        <v>0</v>
      </c>
      <c r="D124" s="37">
        <f>C124* (1 + Scenarios!$K$10)</f>
        <v>0</v>
      </c>
      <c r="E124" s="37">
        <f>D124* (1 + Scenarios!$K$10)</f>
        <v>0</v>
      </c>
      <c r="F124" s="37">
        <f>E124* (1 + Scenarios!$K$10)</f>
        <v>0</v>
      </c>
      <c r="G124" s="37">
        <f>F124* (1 + Scenarios!$K$10)</f>
        <v>0</v>
      </c>
      <c r="H124" s="37">
        <f>G124* (1 + Scenarios!$K$10)</f>
        <v>0</v>
      </c>
      <c r="I124" s="37">
        <f>H124* (1 + Scenarios!$K$10)</f>
        <v>0</v>
      </c>
      <c r="J124" s="37">
        <f>I124* (1 + Scenarios!$K$10)</f>
        <v>0</v>
      </c>
      <c r="K124" s="37">
        <f>J124* (1 + Scenarios!$K$10)</f>
        <v>0</v>
      </c>
      <c r="L124" s="37">
        <f>K124* (1 + Scenarios!$K$10)</f>
        <v>0</v>
      </c>
      <c r="M124" s="37">
        <f>L124* (1 + Scenarios!$K$10)</f>
        <v>0</v>
      </c>
      <c r="N124" s="37">
        <f>M124* (1 + Scenarios!$K$10)</f>
        <v>0</v>
      </c>
      <c r="O124" s="37">
        <f>N124* (1 + Scenarios!$K$10)</f>
        <v>0</v>
      </c>
      <c r="P124" s="37">
        <f>O124* (1 + Scenarios!$K$10)</f>
        <v>0</v>
      </c>
      <c r="Q124" s="37">
        <f>P124* (1 + Scenarios!$K$10)</f>
        <v>0</v>
      </c>
      <c r="R124" s="37">
        <f>Q124* (1 + Scenarios!$K$10)</f>
        <v>0</v>
      </c>
      <c r="S124" s="37">
        <f>R124* (1 + Scenarios!$K$10)</f>
        <v>0</v>
      </c>
      <c r="T124" s="37">
        <f>S124* (1 + Scenarios!$K$10)</f>
        <v>0</v>
      </c>
      <c r="U124" s="37">
        <f>T124* (1 + Scenarios!$K$10)</f>
        <v>0</v>
      </c>
      <c r="V124" s="37">
        <f>U124* (1 + Scenarios!$K$10)</f>
        <v>0</v>
      </c>
      <c r="W124" s="37">
        <f>V124* (1 + Scenarios!$K$10)</f>
        <v>0</v>
      </c>
      <c r="X124" s="37">
        <f>W124* (1 + Scenarios!$K$10)</f>
        <v>0</v>
      </c>
      <c r="Y124" s="37">
        <f>X124* (1 + Scenarios!$K$10)</f>
        <v>0</v>
      </c>
      <c r="Z124" s="37">
        <f>Y124* (1 + Scenarios!$K$10)</f>
        <v>0</v>
      </c>
      <c r="AA124" s="37">
        <f>Z124* (1 + Scenarios!$K$10)</f>
        <v>0</v>
      </c>
      <c r="AB124" s="37">
        <f>AA124* (1 + Scenarios!$K$10)</f>
        <v>0</v>
      </c>
      <c r="AC124" s="37">
        <f>AB124* (1 + Scenarios!$K$10)</f>
        <v>0</v>
      </c>
      <c r="AD124" s="37">
        <f>AC124* (1 + Scenarios!$K$10)</f>
        <v>0</v>
      </c>
      <c r="AE124" s="37">
        <f>AD124* (1 + Scenarios!$K$10)</f>
        <v>0</v>
      </c>
      <c r="AF124" s="37">
        <f>AE124* (1 + Scenarios!$K$10)</f>
        <v>0</v>
      </c>
      <c r="AG124" s="37">
        <f>AF124* (1 + Scenarios!$K$10)</f>
        <v>0</v>
      </c>
      <c r="AH124" s="37">
        <f>AG124* (1 + Scenarios!$K$10)</f>
        <v>0</v>
      </c>
      <c r="AI124" s="37">
        <f>AH124* (1 + Scenarios!$K$10)</f>
        <v>0</v>
      </c>
      <c r="AJ124" s="37">
        <f>AI124* (1 + Scenarios!$K$10)</f>
        <v>0</v>
      </c>
      <c r="AK124" s="37">
        <f>AJ124* (1 + Scenarios!$K$10)</f>
        <v>0</v>
      </c>
      <c r="AL124" s="37">
        <f>AK124* (1 + Scenarios!$K$10)</f>
        <v>0</v>
      </c>
      <c r="AM124" s="37">
        <f>AL124* (1 + Scenarios!$K$10)</f>
        <v>0</v>
      </c>
      <c r="AN124" s="37">
        <f>AM124* (1 + Scenarios!$K$10)</f>
        <v>0</v>
      </c>
      <c r="AO124" s="37">
        <f>AN124* (1 + Scenarios!$K$10)</f>
        <v>0</v>
      </c>
      <c r="AP124" s="37">
        <f>AO124* (1 + Scenarios!$K$10)</f>
        <v>0</v>
      </c>
      <c r="AQ124" s="37">
        <f>AP124* (1 + Scenarios!$K$10)</f>
        <v>0</v>
      </c>
      <c r="AR124" s="37">
        <f>AQ124* (1 + Scenarios!$K$10)</f>
        <v>0</v>
      </c>
      <c r="AS124" s="37">
        <f>AR124* (1 + Scenarios!$K$10)</f>
        <v>0</v>
      </c>
      <c r="AT124" s="37">
        <f>AS124* (1 + Scenarios!$K$10)</f>
        <v>0</v>
      </c>
      <c r="AU124" s="37">
        <f>AT124* (1 + Scenarios!$K$10)</f>
        <v>0</v>
      </c>
      <c r="AV124" s="37">
        <f>AU124* (1 + Scenarios!$K$10)</f>
        <v>0</v>
      </c>
      <c r="AW124" s="37">
        <f>AV124* (1 + Scenarios!$K$10)</f>
        <v>0</v>
      </c>
      <c r="AX124" s="37">
        <f>AW124* (1 + Scenarios!$K$10)</f>
        <v>0</v>
      </c>
      <c r="AY124" s="37">
        <f>AX124* (1 + Scenarios!$K$10)</f>
        <v>0</v>
      </c>
      <c r="AZ124" s="37">
        <f>AY124* (1 + Scenarios!$K$10)</f>
        <v>0</v>
      </c>
    </row>
    <row r="125" spans="1:52" s="37" customFormat="1">
      <c r="A125" s="78" t="s">
        <v>338</v>
      </c>
      <c r="B125" s="88"/>
      <c r="C125" s="88">
        <f>0</f>
        <v>0</v>
      </c>
      <c r="D125" s="37">
        <f>C125* (1 + Scenarios!$K$10)</f>
        <v>0</v>
      </c>
      <c r="E125" s="37">
        <f>D125* (1 + Scenarios!$K$10)</f>
        <v>0</v>
      </c>
      <c r="F125" s="37">
        <f>E125* (1 + Scenarios!$K$10)</f>
        <v>0</v>
      </c>
      <c r="G125" s="37">
        <f>F125* (1 + Scenarios!$K$10)</f>
        <v>0</v>
      </c>
      <c r="H125" s="37">
        <f>G125* (1 + Scenarios!$K$10)</f>
        <v>0</v>
      </c>
      <c r="I125" s="37">
        <f>H125* (1 + Scenarios!$K$10)</f>
        <v>0</v>
      </c>
      <c r="J125" s="37">
        <f>I125* (1 + Scenarios!$K$10)</f>
        <v>0</v>
      </c>
      <c r="K125" s="37">
        <f>J125* (1 + Scenarios!$K$10)</f>
        <v>0</v>
      </c>
      <c r="L125" s="37">
        <f>K125* (1 + Scenarios!$K$10)</f>
        <v>0</v>
      </c>
      <c r="M125" s="37">
        <f>L125* (1 + Scenarios!$K$10)</f>
        <v>0</v>
      </c>
      <c r="N125" s="37">
        <f>M125* (1 + Scenarios!$K$10)</f>
        <v>0</v>
      </c>
      <c r="O125" s="37">
        <f>N125* (1 + Scenarios!$K$10)</f>
        <v>0</v>
      </c>
      <c r="P125" s="37">
        <f>O125* (1 + Scenarios!$K$10)</f>
        <v>0</v>
      </c>
      <c r="Q125" s="37">
        <f>P125* (1 + Scenarios!$K$10)</f>
        <v>0</v>
      </c>
      <c r="R125" s="37">
        <f>Q125* (1 + Scenarios!$K$10)</f>
        <v>0</v>
      </c>
      <c r="S125" s="37">
        <f>R125* (1 + Scenarios!$K$10)</f>
        <v>0</v>
      </c>
      <c r="T125" s="37">
        <f>S125* (1 + Scenarios!$K$10)</f>
        <v>0</v>
      </c>
      <c r="U125" s="37">
        <f>T125* (1 + Scenarios!$K$10)</f>
        <v>0</v>
      </c>
      <c r="V125" s="37">
        <f>U125* (1 + Scenarios!$K$10)</f>
        <v>0</v>
      </c>
      <c r="W125" s="37">
        <f>V125* (1 + Scenarios!$K$10)</f>
        <v>0</v>
      </c>
      <c r="X125" s="37">
        <f>W125* (1 + Scenarios!$K$10)</f>
        <v>0</v>
      </c>
      <c r="Y125" s="37">
        <f>X125* (1 + Scenarios!$K$10)</f>
        <v>0</v>
      </c>
      <c r="Z125" s="37">
        <f>Y125* (1 + Scenarios!$K$10)</f>
        <v>0</v>
      </c>
      <c r="AA125" s="37">
        <f>Z125* (1 + Scenarios!$K$10)</f>
        <v>0</v>
      </c>
      <c r="AB125" s="37">
        <f>AA125* (1 + Scenarios!$K$10)</f>
        <v>0</v>
      </c>
      <c r="AC125" s="37">
        <f>AB125* (1 + Scenarios!$K$10)</f>
        <v>0</v>
      </c>
      <c r="AD125" s="37">
        <f>AC125* (1 + Scenarios!$K$10)</f>
        <v>0</v>
      </c>
      <c r="AE125" s="37">
        <f>AD125* (1 + Scenarios!$K$10)</f>
        <v>0</v>
      </c>
      <c r="AF125" s="37">
        <f>AE125* (1 + Scenarios!$K$10)</f>
        <v>0</v>
      </c>
      <c r="AG125" s="37">
        <f>AF125* (1 + Scenarios!$K$10)</f>
        <v>0</v>
      </c>
      <c r="AH125" s="37">
        <f>AG125* (1 + Scenarios!$K$10)</f>
        <v>0</v>
      </c>
      <c r="AI125" s="37">
        <f>AH125* (1 + Scenarios!$K$10)</f>
        <v>0</v>
      </c>
      <c r="AJ125" s="37">
        <f>AI125* (1 + Scenarios!$K$10)</f>
        <v>0</v>
      </c>
      <c r="AK125" s="37">
        <f>AJ125* (1 + Scenarios!$K$10)</f>
        <v>0</v>
      </c>
      <c r="AL125" s="37">
        <f>AK125* (1 + Scenarios!$K$10)</f>
        <v>0</v>
      </c>
      <c r="AM125" s="37">
        <f>AL125* (1 + Scenarios!$K$10)</f>
        <v>0</v>
      </c>
      <c r="AN125" s="37">
        <f>AM125* (1 + Scenarios!$K$10)</f>
        <v>0</v>
      </c>
      <c r="AO125" s="37">
        <f>AN125* (1 + Scenarios!$K$10)</f>
        <v>0</v>
      </c>
      <c r="AP125" s="37">
        <f>AO125* (1 + Scenarios!$K$10)</f>
        <v>0</v>
      </c>
      <c r="AQ125" s="37">
        <f>AP125* (1 + Scenarios!$K$10)</f>
        <v>0</v>
      </c>
      <c r="AR125" s="37">
        <f>AQ125* (1 + Scenarios!$K$10)</f>
        <v>0</v>
      </c>
      <c r="AS125" s="37">
        <f>AR125* (1 + Scenarios!$K$10)</f>
        <v>0</v>
      </c>
      <c r="AT125" s="37">
        <f>AS125* (1 + Scenarios!$K$10)</f>
        <v>0</v>
      </c>
      <c r="AU125" s="37">
        <f>AT125* (1 + Scenarios!$K$10)</f>
        <v>0</v>
      </c>
      <c r="AV125" s="37">
        <f>AU125* (1 + Scenarios!$K$10)</f>
        <v>0</v>
      </c>
      <c r="AW125" s="37">
        <f>AV125* (1 + Scenarios!$K$10)</f>
        <v>0</v>
      </c>
      <c r="AX125" s="37">
        <f>AW125* (1 + Scenarios!$K$10)</f>
        <v>0</v>
      </c>
      <c r="AY125" s="37">
        <f>AX125* (1 + Scenarios!$K$10)</f>
        <v>0</v>
      </c>
      <c r="AZ125" s="37">
        <f>AY125* (1 + Scenarios!$K$10)</f>
        <v>0</v>
      </c>
    </row>
    <row r="126" spans="1:52">
      <c r="A126" s="77" t="s">
        <v>339</v>
      </c>
    </row>
    <row r="127" spans="1:52" s="37" customFormat="1">
      <c r="A127" s="78" t="s">
        <v>340</v>
      </c>
      <c r="B127" s="88"/>
      <c r="C127" s="88"/>
      <c r="D127" s="37">
        <f>C127* (1 + Scenarios!$K$10)</f>
        <v>0</v>
      </c>
      <c r="E127" s="37">
        <f>D127* (1 + Scenarios!$K$10)</f>
        <v>0</v>
      </c>
      <c r="F127" s="37">
        <f>E127* (1 + Scenarios!$K$10)</f>
        <v>0</v>
      </c>
      <c r="G127" s="37">
        <f>F127* (1 + Scenarios!$K$10)</f>
        <v>0</v>
      </c>
      <c r="H127" s="37">
        <f>G127* (1 + Scenarios!$K$10)</f>
        <v>0</v>
      </c>
      <c r="I127" s="37">
        <f>H127* (1 + Scenarios!$K$10)</f>
        <v>0</v>
      </c>
      <c r="J127" s="37">
        <f>I127* (1 + Scenarios!$K$10)</f>
        <v>0</v>
      </c>
      <c r="K127" s="37">
        <f>J127* (1 + Scenarios!$K$10)</f>
        <v>0</v>
      </c>
      <c r="L127" s="37">
        <f>K127* (1 + Scenarios!$K$10)</f>
        <v>0</v>
      </c>
      <c r="M127" s="37">
        <f>L127* (1 + Scenarios!$K$10)</f>
        <v>0</v>
      </c>
      <c r="N127" s="37">
        <f>M127* (1 + Scenarios!$K$10)</f>
        <v>0</v>
      </c>
      <c r="O127" s="37">
        <f>N127* (1 + Scenarios!$K$10)</f>
        <v>0</v>
      </c>
      <c r="P127" s="37">
        <f>O127* (1 + Scenarios!$K$10)</f>
        <v>0</v>
      </c>
      <c r="Q127" s="37">
        <f>P127* (1 + Scenarios!$K$10)</f>
        <v>0</v>
      </c>
      <c r="R127" s="37">
        <f>Q127* (1 + Scenarios!$K$10)</f>
        <v>0</v>
      </c>
      <c r="S127" s="37">
        <f>R127* (1 + Scenarios!$K$10)</f>
        <v>0</v>
      </c>
      <c r="T127" s="37">
        <f>S127* (1 + Scenarios!$K$10)</f>
        <v>0</v>
      </c>
      <c r="U127" s="37">
        <f>T127* (1 + Scenarios!$K$10)</f>
        <v>0</v>
      </c>
      <c r="V127" s="37">
        <f>U127* (1 + Scenarios!$K$10)</f>
        <v>0</v>
      </c>
      <c r="W127" s="37">
        <f>V127* (1 + Scenarios!$K$10)</f>
        <v>0</v>
      </c>
      <c r="X127" s="37">
        <f>W127* (1 + Scenarios!$K$10)</f>
        <v>0</v>
      </c>
      <c r="Y127" s="37">
        <f>X127* (1 + Scenarios!$K$10)</f>
        <v>0</v>
      </c>
      <c r="Z127" s="37">
        <f>Y127* (1 + Scenarios!$K$10)</f>
        <v>0</v>
      </c>
      <c r="AA127" s="37">
        <f>Z127* (1 + Scenarios!$K$10)</f>
        <v>0</v>
      </c>
      <c r="AB127" s="37">
        <f>AA127* (1 + Scenarios!$K$10)</f>
        <v>0</v>
      </c>
      <c r="AC127" s="37">
        <f>AB127* (1 + Scenarios!$K$10)</f>
        <v>0</v>
      </c>
      <c r="AD127" s="37">
        <f>AC127* (1 + Scenarios!$K$10)</f>
        <v>0</v>
      </c>
      <c r="AE127" s="37">
        <f>AD127* (1 + Scenarios!$K$10)</f>
        <v>0</v>
      </c>
      <c r="AF127" s="37">
        <f>AE127* (1 + Scenarios!$K$10)</f>
        <v>0</v>
      </c>
      <c r="AG127" s="37">
        <f>AF127* (1 + Scenarios!$K$10)</f>
        <v>0</v>
      </c>
      <c r="AH127" s="37">
        <f>AG127* (1 + Scenarios!$K$10)</f>
        <v>0</v>
      </c>
      <c r="AI127" s="37">
        <f>AH127* (1 + Scenarios!$K$10)</f>
        <v>0</v>
      </c>
      <c r="AJ127" s="37">
        <f>AI127* (1 + Scenarios!$K$10)</f>
        <v>0</v>
      </c>
      <c r="AK127" s="37">
        <f>AJ127* (1 + Scenarios!$K$10)</f>
        <v>0</v>
      </c>
      <c r="AL127" s="37">
        <f>AK127* (1 + Scenarios!$K$10)</f>
        <v>0</v>
      </c>
      <c r="AM127" s="37">
        <f>AL127* (1 + Scenarios!$K$10)</f>
        <v>0</v>
      </c>
      <c r="AN127" s="37">
        <f>AM127* (1 + Scenarios!$K$10)</f>
        <v>0</v>
      </c>
      <c r="AO127" s="37">
        <f>AN127* (1 + Scenarios!$K$10)</f>
        <v>0</v>
      </c>
      <c r="AP127" s="37">
        <f>AO127* (1 + Scenarios!$K$10)</f>
        <v>0</v>
      </c>
      <c r="AQ127" s="37">
        <f>AP127* (1 + Scenarios!$K$10)</f>
        <v>0</v>
      </c>
      <c r="AR127" s="37">
        <f>AQ127* (1 + Scenarios!$K$10)</f>
        <v>0</v>
      </c>
      <c r="AS127" s="37">
        <f>AR127* (1 + Scenarios!$K$10)</f>
        <v>0</v>
      </c>
      <c r="AT127" s="37">
        <f>AS127* (1 + Scenarios!$K$10)</f>
        <v>0</v>
      </c>
      <c r="AU127" s="37">
        <f>AT127* (1 + Scenarios!$K$10)</f>
        <v>0</v>
      </c>
      <c r="AV127" s="37">
        <f>AU127* (1 + Scenarios!$K$10)</f>
        <v>0</v>
      </c>
      <c r="AW127" s="37">
        <f>AV127* (1 + Scenarios!$K$10)</f>
        <v>0</v>
      </c>
      <c r="AX127" s="37">
        <f>AW127* (1 + Scenarios!$K$10)</f>
        <v>0</v>
      </c>
      <c r="AY127" s="37">
        <f>AX127* (1 + Scenarios!$K$10)</f>
        <v>0</v>
      </c>
      <c r="AZ127" s="37">
        <f>AY127* (1 + Scenarios!$K$10)</f>
        <v>0</v>
      </c>
    </row>
    <row r="128" spans="1:52">
      <c r="A128" s="77" t="s">
        <v>341</v>
      </c>
    </row>
    <row r="129" spans="1:52" s="37" customFormat="1">
      <c r="A129" s="78" t="s">
        <v>342</v>
      </c>
      <c r="B129" s="88"/>
      <c r="C129" s="88">
        <f>0</f>
        <v>0</v>
      </c>
      <c r="D129" s="37">
        <f>0</f>
        <v>0</v>
      </c>
      <c r="E129" s="37">
        <f>0</f>
        <v>0</v>
      </c>
      <c r="F129" s="37">
        <f>0</f>
        <v>0</v>
      </c>
      <c r="G129" s="37">
        <f>0</f>
        <v>0</v>
      </c>
      <c r="H129" s="37">
        <f>0</f>
        <v>0</v>
      </c>
      <c r="I129" s="37">
        <f>0</f>
        <v>0</v>
      </c>
      <c r="J129" s="37">
        <f>0</f>
        <v>0</v>
      </c>
      <c r="K129" s="37">
        <f>0</f>
        <v>0</v>
      </c>
      <c r="L129" s="37">
        <f>0</f>
        <v>0</v>
      </c>
      <c r="M129" s="37">
        <f>0</f>
        <v>0</v>
      </c>
      <c r="N129" s="37">
        <f>0</f>
        <v>0</v>
      </c>
      <c r="O129" s="37">
        <f>0</f>
        <v>0</v>
      </c>
      <c r="P129" s="37">
        <f>0</f>
        <v>0</v>
      </c>
      <c r="Q129" s="37">
        <f>0</f>
        <v>0</v>
      </c>
      <c r="R129" s="37">
        <f>0</f>
        <v>0</v>
      </c>
      <c r="S129" s="37">
        <f>0</f>
        <v>0</v>
      </c>
      <c r="T129" s="37">
        <f>0</f>
        <v>0</v>
      </c>
      <c r="U129" s="37">
        <f>0</f>
        <v>0</v>
      </c>
      <c r="V129" s="37">
        <f>0</f>
        <v>0</v>
      </c>
      <c r="W129" s="37">
        <f>0</f>
        <v>0</v>
      </c>
      <c r="X129" s="37">
        <f>0</f>
        <v>0</v>
      </c>
      <c r="Y129" s="37">
        <f>0</f>
        <v>0</v>
      </c>
      <c r="Z129" s="37">
        <f>0</f>
        <v>0</v>
      </c>
      <c r="AA129" s="37">
        <f>0</f>
        <v>0</v>
      </c>
      <c r="AB129" s="37">
        <f>0</f>
        <v>0</v>
      </c>
      <c r="AC129" s="37">
        <f>0</f>
        <v>0</v>
      </c>
      <c r="AD129" s="37">
        <f>0</f>
        <v>0</v>
      </c>
      <c r="AE129" s="37">
        <f>0</f>
        <v>0</v>
      </c>
      <c r="AF129" s="37">
        <f>0</f>
        <v>0</v>
      </c>
      <c r="AG129" s="37">
        <f>0</f>
        <v>0</v>
      </c>
      <c r="AH129" s="37">
        <f>0</f>
        <v>0</v>
      </c>
      <c r="AI129" s="37">
        <f>0</f>
        <v>0</v>
      </c>
      <c r="AJ129" s="37">
        <f>0</f>
        <v>0</v>
      </c>
      <c r="AK129" s="37">
        <f>0</f>
        <v>0</v>
      </c>
      <c r="AL129" s="37">
        <f>0</f>
        <v>0</v>
      </c>
      <c r="AM129" s="37">
        <f>0</f>
        <v>0</v>
      </c>
      <c r="AN129" s="37">
        <f>0</f>
        <v>0</v>
      </c>
      <c r="AO129" s="37">
        <f>0</f>
        <v>0</v>
      </c>
      <c r="AP129" s="37">
        <f>0</f>
        <v>0</v>
      </c>
      <c r="AQ129" s="37">
        <f>0</f>
        <v>0</v>
      </c>
      <c r="AR129" s="37">
        <f>0</f>
        <v>0</v>
      </c>
      <c r="AS129" s="37">
        <f>0</f>
        <v>0</v>
      </c>
      <c r="AT129" s="37">
        <f>0</f>
        <v>0</v>
      </c>
      <c r="AU129" s="37">
        <f>0</f>
        <v>0</v>
      </c>
      <c r="AV129" s="37">
        <f>0</f>
        <v>0</v>
      </c>
      <c r="AW129" s="37">
        <f>0</f>
        <v>0</v>
      </c>
      <c r="AX129" s="37">
        <f>0</f>
        <v>0</v>
      </c>
      <c r="AY129" s="37">
        <f>0</f>
        <v>0</v>
      </c>
      <c r="AZ129" s="37">
        <f>0</f>
        <v>0</v>
      </c>
    </row>
    <row r="130" spans="1:52" s="37" customFormat="1">
      <c r="A130" s="78" t="s">
        <v>343</v>
      </c>
      <c r="B130" s="88"/>
      <c r="C130" s="88">
        <f>Assumptions!$B$69*Assumptions!$B$70</f>
        <v>5538.7750000000005</v>
      </c>
      <c r="D130" s="37">
        <f>Assumptions!$B$69*Assumptions!$B$70</f>
        <v>5538.7750000000005</v>
      </c>
      <c r="E130" s="37">
        <f>Assumptions!$B$69*Assumptions!$B$70</f>
        <v>5538.7750000000005</v>
      </c>
      <c r="F130" s="37">
        <f>Assumptions!$B$69*Assumptions!$B$70</f>
        <v>5538.7750000000005</v>
      </c>
      <c r="G130" s="37">
        <f>Assumptions!$B$69*Assumptions!$B$70</f>
        <v>5538.7750000000005</v>
      </c>
      <c r="H130" s="37">
        <f>Assumptions!$B$69*Assumptions!$B$70</f>
        <v>5538.7750000000005</v>
      </c>
      <c r="I130" s="37">
        <f>Assumptions!$B$69*Assumptions!$B$70</f>
        <v>5538.7750000000005</v>
      </c>
      <c r="J130" s="37">
        <f>Assumptions!$B$69*Assumptions!$B$70</f>
        <v>5538.7750000000005</v>
      </c>
      <c r="K130" s="37">
        <f>Assumptions!$B$69*Assumptions!$B$70</f>
        <v>5538.7750000000005</v>
      </c>
      <c r="L130" s="37">
        <f>Assumptions!$B$69*Assumptions!$B$70</f>
        <v>5538.7750000000005</v>
      </c>
      <c r="M130" s="37">
        <f>Assumptions!$B$69*Assumptions!$B$70</f>
        <v>5538.7750000000005</v>
      </c>
      <c r="N130" s="37">
        <f>Assumptions!$B$69*Assumptions!$B$70</f>
        <v>5538.7750000000005</v>
      </c>
      <c r="O130" s="37">
        <f>Assumptions!$B$69*Assumptions!$B$70</f>
        <v>5538.7750000000005</v>
      </c>
      <c r="P130" s="37">
        <f>Assumptions!$B$69*Assumptions!$B$70</f>
        <v>5538.7750000000005</v>
      </c>
      <c r="Q130" s="37">
        <f>Assumptions!$B$69*Assumptions!$B$70</f>
        <v>5538.7750000000005</v>
      </c>
      <c r="R130" s="37">
        <f>Assumptions!$B$69*Assumptions!$B$70</f>
        <v>5538.7750000000005</v>
      </c>
      <c r="S130" s="37">
        <f>Assumptions!$B$69*Assumptions!$B$70</f>
        <v>5538.7750000000005</v>
      </c>
      <c r="T130" s="37">
        <f>Assumptions!$B$69*Assumptions!$B$70</f>
        <v>5538.7750000000005</v>
      </c>
      <c r="U130" s="37">
        <f>Assumptions!$B$69*Assumptions!$B$70</f>
        <v>5538.7750000000005</v>
      </c>
      <c r="V130" s="37">
        <f>Assumptions!$B$69*Assumptions!$B$70</f>
        <v>5538.7750000000005</v>
      </c>
      <c r="W130" s="37">
        <f>Assumptions!$B$69*Assumptions!$B$70</f>
        <v>5538.7750000000005</v>
      </c>
      <c r="X130" s="37">
        <f>Assumptions!$B$69*Assumptions!$B$70</f>
        <v>5538.7750000000005</v>
      </c>
      <c r="Y130" s="37">
        <f>Assumptions!$B$69*Assumptions!$B$70</f>
        <v>5538.7750000000005</v>
      </c>
      <c r="Z130" s="37">
        <f>Assumptions!$B$69*Assumptions!$B$70</f>
        <v>5538.7750000000005</v>
      </c>
      <c r="AA130" s="37">
        <f>Assumptions!$B$69*Assumptions!$B$70</f>
        <v>5538.7750000000005</v>
      </c>
      <c r="AB130" s="37">
        <f>Assumptions!$B$69*Assumptions!$B$70</f>
        <v>5538.7750000000005</v>
      </c>
      <c r="AC130" s="37">
        <f>Assumptions!$B$69*Assumptions!$B$70</f>
        <v>5538.7750000000005</v>
      </c>
      <c r="AD130" s="37">
        <f>Assumptions!$B$69*Assumptions!$B$70</f>
        <v>5538.7750000000005</v>
      </c>
      <c r="AE130" s="37">
        <f>Assumptions!$B$69*Assumptions!$B$70</f>
        <v>5538.7750000000005</v>
      </c>
      <c r="AF130" s="37">
        <f>Assumptions!$B$69*Assumptions!$B$70</f>
        <v>5538.7750000000005</v>
      </c>
      <c r="AG130" s="37">
        <f>Assumptions!$B$69*Assumptions!$B$70</f>
        <v>5538.7750000000005</v>
      </c>
      <c r="AH130" s="37">
        <f>Assumptions!$B$69*Assumptions!$B$70</f>
        <v>5538.7750000000005</v>
      </c>
      <c r="AI130" s="37">
        <f>Assumptions!$B$69*Assumptions!$B$70</f>
        <v>5538.7750000000005</v>
      </c>
      <c r="AJ130" s="37">
        <f>Assumptions!$B$69*Assumptions!$B$70</f>
        <v>5538.7750000000005</v>
      </c>
      <c r="AK130" s="37">
        <f>Assumptions!$B$69*Assumptions!$B$70</f>
        <v>5538.7750000000005</v>
      </c>
      <c r="AL130" s="37">
        <f>Assumptions!$B$69*Assumptions!$B$70</f>
        <v>5538.7750000000005</v>
      </c>
      <c r="AM130" s="37">
        <f>Assumptions!$B$69*Assumptions!$B$70</f>
        <v>5538.7750000000005</v>
      </c>
      <c r="AN130" s="37">
        <f>Assumptions!$B$69*Assumptions!$B$70</f>
        <v>5538.7750000000005</v>
      </c>
      <c r="AO130" s="37">
        <f>Assumptions!$B$69*Assumptions!$B$70</f>
        <v>5538.7750000000005</v>
      </c>
      <c r="AP130" s="37">
        <f>Assumptions!$B$69*Assumptions!$B$70</f>
        <v>5538.7750000000005</v>
      </c>
      <c r="AQ130" s="37">
        <f>Assumptions!$B$69*Assumptions!$B$70</f>
        <v>5538.7750000000005</v>
      </c>
      <c r="AR130" s="37">
        <f>Assumptions!$B$69*Assumptions!$B$70</f>
        <v>5538.7750000000005</v>
      </c>
      <c r="AS130" s="37">
        <f>Assumptions!$B$69*Assumptions!$B$70</f>
        <v>5538.7750000000005</v>
      </c>
      <c r="AT130" s="37">
        <f>Assumptions!$B$69*Assumptions!$B$70</f>
        <v>5538.7750000000005</v>
      </c>
      <c r="AU130" s="37">
        <f>Assumptions!$B$69*Assumptions!$B$70</f>
        <v>5538.7750000000005</v>
      </c>
      <c r="AV130" s="37">
        <f>Assumptions!$B$69*Assumptions!$B$70</f>
        <v>5538.7750000000005</v>
      </c>
      <c r="AW130" s="37">
        <f>Assumptions!$B$69*Assumptions!$B$70</f>
        <v>5538.7750000000005</v>
      </c>
      <c r="AX130" s="37">
        <f>Assumptions!$B$69*Assumptions!$B$70</f>
        <v>5538.7750000000005</v>
      </c>
      <c r="AY130" s="37">
        <f>Assumptions!$B$69*Assumptions!$B$70</f>
        <v>5538.7750000000005</v>
      </c>
      <c r="AZ130" s="37">
        <f>Assumptions!$B$69*Assumptions!$B$70</f>
        <v>5538.7750000000005</v>
      </c>
    </row>
    <row r="131" spans="1:52" s="37" customFormat="1">
      <c r="A131" s="78" t="s">
        <v>344</v>
      </c>
      <c r="C131" s="37">
        <f>Loan_IO_to_PI!N156</f>
        <v>0</v>
      </c>
      <c r="D131" s="37">
        <f>Loan_IO_to_PI!O156</f>
        <v>0</v>
      </c>
      <c r="E131" s="37">
        <f>Loan_IO_to_PI!P156</f>
        <v>0</v>
      </c>
      <c r="F131" s="37">
        <f>Loan_IO_to_PI!Q156</f>
        <v>0</v>
      </c>
      <c r="G131" s="37">
        <f>Loan_IO_to_PI!R156</f>
        <v>0</v>
      </c>
      <c r="H131" s="37">
        <f>Loan_IO_to_PI!S156</f>
        <v>0</v>
      </c>
      <c r="I131" s="37">
        <f>Loan_IO_to_PI!T156</f>
        <v>0</v>
      </c>
      <c r="J131" s="37">
        <f>Loan_IO_to_PI!U156</f>
        <v>0</v>
      </c>
      <c r="K131" s="37">
        <f>Loan_IO_to_PI!V156</f>
        <v>0</v>
      </c>
      <c r="L131" s="37">
        <f>Loan_IO_to_PI!W156</f>
        <v>0</v>
      </c>
      <c r="M131" s="37">
        <f>Loan_IO_to_PI!X156</f>
        <v>0</v>
      </c>
      <c r="N131" s="37">
        <f>Loan_IO_to_PI!Y156</f>
        <v>0</v>
      </c>
      <c r="O131" s="37">
        <f>Loan_IO_to_PI!Z156</f>
        <v>0</v>
      </c>
      <c r="P131" s="37">
        <f>Loan_IO_to_PI!AA156</f>
        <v>0</v>
      </c>
      <c r="Q131" s="37">
        <f>Loan_IO_to_PI!AB156</f>
        <v>0</v>
      </c>
      <c r="R131" s="37">
        <f>Loan_IO_to_PI!AC156</f>
        <v>0</v>
      </c>
      <c r="S131" s="37">
        <f>Loan_IO_to_PI!AD156</f>
        <v>0</v>
      </c>
      <c r="T131" s="37">
        <f>Loan_IO_to_PI!AE156</f>
        <v>0</v>
      </c>
      <c r="U131" s="37">
        <f>Loan_IO_to_PI!AF156</f>
        <v>0</v>
      </c>
      <c r="V131" s="37">
        <f>Loan_IO_to_PI!AG156</f>
        <v>0</v>
      </c>
      <c r="W131" s="37">
        <f>Loan_IO_to_PI!AH156</f>
        <v>0</v>
      </c>
      <c r="X131" s="37">
        <f>Loan_IO_to_PI!AI156</f>
        <v>0</v>
      </c>
      <c r="Y131" s="37">
        <f>Loan_IO_to_PI!AJ156</f>
        <v>0</v>
      </c>
      <c r="Z131" s="37">
        <f>Loan_IO_to_PI!AK156</f>
        <v>0</v>
      </c>
      <c r="AA131" s="37">
        <f>Loan_IO_to_PI!AL156</f>
        <v>0</v>
      </c>
      <c r="AB131" s="37">
        <f>Loan_IO_to_PI!AM156</f>
        <v>0</v>
      </c>
      <c r="AC131" s="37">
        <f>Loan_IO_to_PI!AN156</f>
        <v>0</v>
      </c>
      <c r="AD131" s="37">
        <f>Loan_IO_to_PI!AO156</f>
        <v>0</v>
      </c>
      <c r="AE131" s="37">
        <f>Loan_IO_to_PI!AP156</f>
        <v>0</v>
      </c>
      <c r="AF131" s="37">
        <f>Loan_IO_to_PI!AQ156</f>
        <v>0</v>
      </c>
      <c r="AG131" s="37">
        <f>Loan_IO_to_PI!AR156</f>
        <v>0</v>
      </c>
      <c r="AH131" s="37">
        <f>Loan_IO_to_PI!AS156</f>
        <v>0</v>
      </c>
      <c r="AI131" s="37">
        <f>Loan_IO_to_PI!AT156</f>
        <v>0</v>
      </c>
      <c r="AJ131" s="37">
        <f>Loan_IO_to_PI!AU156</f>
        <v>0</v>
      </c>
      <c r="AK131" s="37">
        <f>Loan_IO_to_PI!AV156</f>
        <v>0</v>
      </c>
      <c r="AL131" s="37">
        <f>Loan_IO_to_PI!AW156</f>
        <v>0</v>
      </c>
      <c r="AM131" s="37">
        <f>Loan_IO_to_PI!AX156</f>
        <v>0</v>
      </c>
      <c r="AN131" s="37">
        <f>Loan_IO_to_PI!AY156</f>
        <v>0</v>
      </c>
      <c r="AO131" s="37">
        <f>Loan_IO_to_PI!AZ156</f>
        <v>0</v>
      </c>
      <c r="AP131" s="37">
        <f>Loan_IO_to_PI!BA156</f>
        <v>0</v>
      </c>
      <c r="AQ131" s="37">
        <f>Loan_IO_to_PI!BB156</f>
        <v>0</v>
      </c>
      <c r="AR131" s="37">
        <f>Loan_IO_to_PI!BC156</f>
        <v>0</v>
      </c>
      <c r="AS131" s="37">
        <f>Loan_IO_to_PI!BD156</f>
        <v>0</v>
      </c>
      <c r="AT131" s="37">
        <f>Loan_IO_to_PI!BE156</f>
        <v>0</v>
      </c>
      <c r="AU131" s="37">
        <f>Loan_IO_to_PI!BF156</f>
        <v>0</v>
      </c>
      <c r="AV131" s="37">
        <f>Loan_IO_to_PI!BG156</f>
        <v>0</v>
      </c>
      <c r="AW131" s="37">
        <f>Loan_IO_to_PI!BH156</f>
        <v>0</v>
      </c>
      <c r="AX131" s="37">
        <f>Loan_IO_to_PI!BI156</f>
        <v>0</v>
      </c>
      <c r="AY131" s="37">
        <f>Loan_IO_to_PI!BJ156</f>
        <v>0</v>
      </c>
      <c r="AZ131" s="37">
        <f>Loan_IO_to_PI!BK156</f>
        <v>0</v>
      </c>
    </row>
    <row r="132" spans="1:52" s="37" customFormat="1">
      <c r="A132" s="78" t="s">
        <v>345</v>
      </c>
      <c r="B132" s="88"/>
      <c r="C132" s="88">
        <v>0</v>
      </c>
      <c r="D132" s="37">
        <f>C132* (1 + Scenarios!$K$10)</f>
        <v>0</v>
      </c>
      <c r="E132" s="37">
        <f>D132* (1 + Scenarios!$K$10)</f>
        <v>0</v>
      </c>
      <c r="F132" s="37">
        <f>E132* (1 + Scenarios!$K$10)</f>
        <v>0</v>
      </c>
      <c r="G132" s="37">
        <f>F132* (1 + Scenarios!$K$10)</f>
        <v>0</v>
      </c>
      <c r="H132" s="37">
        <f>G132* (1 + Scenarios!$K$10)</f>
        <v>0</v>
      </c>
      <c r="I132" s="37">
        <f>H132* (1 + Scenarios!$K$10)</f>
        <v>0</v>
      </c>
      <c r="J132" s="37">
        <f>I132* (1 + Scenarios!$K$10)</f>
        <v>0</v>
      </c>
      <c r="K132" s="37">
        <f>J132* (1 + Scenarios!$K$10)</f>
        <v>0</v>
      </c>
      <c r="L132" s="37">
        <f>K132* (1 + Scenarios!$K$10)</f>
        <v>0</v>
      </c>
      <c r="M132" s="37">
        <f>L132* (1 + Scenarios!$K$10)</f>
        <v>0</v>
      </c>
      <c r="N132" s="37">
        <f>M132* (1 + Scenarios!$K$10)</f>
        <v>0</v>
      </c>
      <c r="O132" s="37">
        <f>N132* (1 + Scenarios!$K$10)</f>
        <v>0</v>
      </c>
      <c r="P132" s="37">
        <f>O132* (1 + Scenarios!$K$10)</f>
        <v>0</v>
      </c>
      <c r="Q132" s="37">
        <f>P132* (1 + Scenarios!$K$10)</f>
        <v>0</v>
      </c>
      <c r="R132" s="37">
        <f>Q132* (1 + Scenarios!$K$10)</f>
        <v>0</v>
      </c>
      <c r="S132" s="37">
        <f>R132* (1 + Scenarios!$K$10)</f>
        <v>0</v>
      </c>
      <c r="T132" s="37">
        <f>S132* (1 + Scenarios!$K$10)</f>
        <v>0</v>
      </c>
      <c r="U132" s="37">
        <f>T132* (1 + Scenarios!$K$10)</f>
        <v>0</v>
      </c>
      <c r="V132" s="37">
        <f>U132* (1 + Scenarios!$K$10)</f>
        <v>0</v>
      </c>
      <c r="W132" s="37">
        <f>V132* (1 + Scenarios!$K$10)</f>
        <v>0</v>
      </c>
      <c r="X132" s="37">
        <f>W132* (1 + Scenarios!$K$10)</f>
        <v>0</v>
      </c>
      <c r="Y132" s="37">
        <f>X132* (1 + Scenarios!$K$10)</f>
        <v>0</v>
      </c>
      <c r="Z132" s="37">
        <f>Y132* (1 + Scenarios!$K$10)</f>
        <v>0</v>
      </c>
      <c r="AA132" s="37">
        <f>Z132* (1 + Scenarios!$K$10)</f>
        <v>0</v>
      </c>
      <c r="AB132" s="37">
        <f>AA132* (1 + Scenarios!$K$10)</f>
        <v>0</v>
      </c>
      <c r="AC132" s="37">
        <f>AB132* (1 + Scenarios!$K$10)</f>
        <v>0</v>
      </c>
      <c r="AD132" s="37">
        <f>AC132* (1 + Scenarios!$K$10)</f>
        <v>0</v>
      </c>
      <c r="AE132" s="37">
        <f>AD132* (1 + Scenarios!$K$10)</f>
        <v>0</v>
      </c>
      <c r="AF132" s="37">
        <f>AE132* (1 + Scenarios!$K$10)</f>
        <v>0</v>
      </c>
      <c r="AG132" s="37">
        <f>AF132* (1 + Scenarios!$K$10)</f>
        <v>0</v>
      </c>
      <c r="AH132" s="37">
        <f>AG132* (1 + Scenarios!$K$10)</f>
        <v>0</v>
      </c>
      <c r="AI132" s="37">
        <f>AH132* (1 + Scenarios!$K$10)</f>
        <v>0</v>
      </c>
      <c r="AJ132" s="37">
        <f>AI132* (1 + Scenarios!$K$10)</f>
        <v>0</v>
      </c>
      <c r="AK132" s="37">
        <f>AJ132* (1 + Scenarios!$K$10)</f>
        <v>0</v>
      </c>
      <c r="AL132" s="37">
        <f>AK132* (1 + Scenarios!$K$10)</f>
        <v>0</v>
      </c>
      <c r="AM132" s="37">
        <f>AL132* (1 + Scenarios!$K$10)</f>
        <v>0</v>
      </c>
      <c r="AN132" s="37">
        <f>AM132* (1 + Scenarios!$K$10)</f>
        <v>0</v>
      </c>
      <c r="AO132" s="37">
        <f>AN132* (1 + Scenarios!$K$10)</f>
        <v>0</v>
      </c>
      <c r="AP132" s="37">
        <f>AO132* (1 + Scenarios!$K$10)</f>
        <v>0</v>
      </c>
      <c r="AQ132" s="37">
        <f>AP132* (1 + Scenarios!$K$10)</f>
        <v>0</v>
      </c>
      <c r="AR132" s="37">
        <f>AQ132* (1 + Scenarios!$K$10)</f>
        <v>0</v>
      </c>
      <c r="AS132" s="37">
        <f>AR132* (1 + Scenarios!$K$10)</f>
        <v>0</v>
      </c>
      <c r="AT132" s="37">
        <f>AS132* (1 + Scenarios!$K$10)</f>
        <v>0</v>
      </c>
      <c r="AU132" s="37">
        <f>AT132* (1 + Scenarios!$K$10)</f>
        <v>0</v>
      </c>
      <c r="AV132" s="37">
        <f>AU132* (1 + Scenarios!$K$10)</f>
        <v>0</v>
      </c>
      <c r="AW132" s="37">
        <f>AV132* (1 + Scenarios!$K$10)</f>
        <v>0</v>
      </c>
      <c r="AX132" s="37">
        <f>AW132* (1 + Scenarios!$K$10)</f>
        <v>0</v>
      </c>
      <c r="AY132" s="37">
        <f>AX132* (1 + Scenarios!$K$10)</f>
        <v>0</v>
      </c>
      <c r="AZ132" s="37">
        <f>AY132* (1 + Scenarios!$K$10)</f>
        <v>0</v>
      </c>
    </row>
    <row r="133" spans="1:52" s="37" customFormat="1">
      <c r="A133" s="85" t="s">
        <v>346</v>
      </c>
    </row>
    <row r="134" spans="1:52" s="37" customFormat="1">
      <c r="A134" s="85" t="s">
        <v>347</v>
      </c>
      <c r="C134" s="37">
        <f>SUM(C101,C102,C103,C104,C105,C106,C107,C110,C111,C112,C113,C114,C116,C118,C119,C121,C122,C123,C124,C127,C129,C130,C131,C132)</f>
        <v>17538.695</v>
      </c>
      <c r="D134" s="37">
        <f t="shared" ref="D134:AZ134" si="13">SUM(D101,D102,D103,D104,D105,D106,D107,D110,D111,D112,D113,D114,D116,D118,D119,D121,D122,D123,D124,D127,D129,D130,D131,D132)</f>
        <v>16954.0442</v>
      </c>
      <c r="E134" s="37">
        <f t="shared" si="13"/>
        <v>17282.304265999999</v>
      </c>
      <c r="F134" s="37">
        <f t="shared" si="13"/>
        <v>17620.392133729998</v>
      </c>
      <c r="G134" s="37">
        <f t="shared" si="13"/>
        <v>20080.559542235649</v>
      </c>
      <c r="H134" s="37">
        <f t="shared" si="13"/>
        <v>19200.663165358812</v>
      </c>
      <c r="I134" s="37">
        <f t="shared" si="13"/>
        <v>19604.904746847071</v>
      </c>
      <c r="J134" s="37">
        <f t="shared" si="13"/>
        <v>20021.551239193166</v>
      </c>
      <c r="K134" s="37">
        <f t="shared" si="13"/>
        <v>21912.685586087002</v>
      </c>
      <c r="L134" s="37">
        <f t="shared" si="13"/>
        <v>20893.44442910729</v>
      </c>
      <c r="M134" s="37">
        <f t="shared" si="13"/>
        <v>21349.931443054131</v>
      </c>
      <c r="N134" s="37">
        <f t="shared" si="13"/>
        <v>21820.435873196217</v>
      </c>
      <c r="O134" s="37">
        <f t="shared" si="13"/>
        <v>23767.602927163829</v>
      </c>
      <c r="P134" s="37">
        <f t="shared" si="13"/>
        <v>22805.873938444762</v>
      </c>
      <c r="Q134" s="37">
        <f t="shared" si="13"/>
        <v>23258.213534400769</v>
      </c>
      <c r="R134" s="37">
        <f t="shared" si="13"/>
        <v>23722.481483930525</v>
      </c>
      <c r="S134" s="37">
        <f t="shared" si="13"/>
        <v>25660.994591783619</v>
      </c>
      <c r="T134" s="37">
        <f t="shared" si="13"/>
        <v>24688.078140705686</v>
      </c>
      <c r="U134" s="37">
        <f t="shared" si="13"/>
        <v>25190.066120124629</v>
      </c>
      <c r="V134" s="37">
        <f t="shared" si="13"/>
        <v>25705.301461056082</v>
      </c>
      <c r="W134" s="37">
        <f t="shared" si="13"/>
        <v>27696.136277398669</v>
      </c>
      <c r="X134" s="37">
        <f t="shared" si="13"/>
        <v>26776.932113794312</v>
      </c>
      <c r="Y134" s="37">
        <f t="shared" si="13"/>
        <v>27334.060200233664</v>
      </c>
      <c r="Z134" s="37">
        <f t="shared" si="13"/>
        <v>27905.901713591833</v>
      </c>
      <c r="AA134" s="37">
        <f t="shared" si="13"/>
        <v>29954.848046284529</v>
      </c>
      <c r="AB134" s="37">
        <f t="shared" si="13"/>
        <v>29095.30108224013</v>
      </c>
      <c r="AC134" s="37">
        <f t="shared" si="13"/>
        <v>29713.673480388577</v>
      </c>
      <c r="AD134" s="37">
        <f t="shared" si="13"/>
        <v>30348.388965873499</v>
      </c>
      <c r="AE134" s="37">
        <f t="shared" si="13"/>
        <v>32461.882629199808</v>
      </c>
      <c r="AF134" s="37">
        <f t="shared" si="13"/>
        <v>31668.601233534657</v>
      </c>
      <c r="AG134" s="37">
        <f t="shared" si="13"/>
        <v>32355.003530386028</v>
      </c>
      <c r="AH134" s="37">
        <f t="shared" si="13"/>
        <v>33059.560583889062</v>
      </c>
      <c r="AI134" s="37">
        <f t="shared" si="13"/>
        <v>35244.756103936976</v>
      </c>
      <c r="AJ134" s="37">
        <f t="shared" si="13"/>
        <v>34525.086788399618</v>
      </c>
      <c r="AK134" s="37">
        <f t="shared" si="13"/>
        <v>35287.06267467975</v>
      </c>
      <c r="AL134" s="37">
        <f t="shared" si="13"/>
        <v>36069.207500863988</v>
      </c>
      <c r="AM134" s="37">
        <f t="shared" si="13"/>
        <v>38334.059076732345</v>
      </c>
      <c r="AN134" s="37">
        <f t="shared" si="13"/>
        <v>37696.169664897818</v>
      </c>
      <c r="AO134" s="37">
        <f t="shared" si="13"/>
        <v>38542.106372354836</v>
      </c>
      <c r="AP134" s="37">
        <f t="shared" si="13"/>
        <v>39410.451552723323</v>
      </c>
      <c r="AQ134" s="37">
        <f>SUM(AQ101,AQ102,AQ103,AQ104,AQ105,AQ106,AQ107,AQ110,AQ111,AQ112,AQ113,AQ114,AQ116,AQ118,AQ119,AQ121,AQ122,AQ123,AQ124,AQ127,AQ129,AQ130,AQ131,AQ132)</f>
        <v>41763.803219482812</v>
      </c>
      <c r="AR134" s="37">
        <f t="shared" si="13"/>
        <v>41216.775470499531</v>
      </c>
      <c r="AS134" s="37">
        <f t="shared" si="13"/>
        <v>42155.998924157546</v>
      </c>
      <c r="AT134" s="37">
        <f t="shared" si="13"/>
        <v>43120.12116741389</v>
      </c>
      <c r="AU134" s="37">
        <f t="shared" si="13"/>
        <v>45571.807216106208</v>
      </c>
      <c r="AV134" s="37">
        <f t="shared" si="13"/>
        <v>45125.739987851048</v>
      </c>
      <c r="AW134" s="37">
        <f t="shared" si="13"/>
        <v>46168.620787879772</v>
      </c>
      <c r="AX134" s="37">
        <f t="shared" si="13"/>
        <v>47239.169808169187</v>
      </c>
      <c r="AY134" s="37">
        <f t="shared" si="13"/>
        <v>49800.126640233611</v>
      </c>
      <c r="AZ134" s="37">
        <f t="shared" si="13"/>
        <v>49466.250801955452</v>
      </c>
    </row>
    <row r="135" spans="1:52" s="37" customFormat="1">
      <c r="A135" s="85" t="s">
        <v>348</v>
      </c>
      <c r="C135" s="37">
        <f>C99 - C134</f>
        <v>25101.305</v>
      </c>
      <c r="D135" s="37">
        <f t="shared" ref="D135:AZ135" si="14">D99 - D134</f>
        <v>26965.155800000004</v>
      </c>
      <c r="E135" s="37">
        <f t="shared" si="14"/>
        <v>27954.471734000006</v>
      </c>
      <c r="F135" s="37">
        <f t="shared" si="14"/>
        <v>28973.48714627001</v>
      </c>
      <c r="G135" s="37">
        <f t="shared" si="14"/>
        <v>27911.136116164358</v>
      </c>
      <c r="H135" s="37">
        <f t="shared" si="14"/>
        <v>30230.783362793198</v>
      </c>
      <c r="I135" s="37">
        <f t="shared" si="14"/>
        <v>31309.485177149498</v>
      </c>
      <c r="J135" s="37">
        <f t="shared" si="14"/>
        <v>32420.2703825233</v>
      </c>
      <c r="K135" s="37">
        <f t="shared" si="14"/>
        <v>32102.390684280963</v>
      </c>
      <c r="L135" s="37">
        <f t="shared" si="14"/>
        <v>34742.084129371709</v>
      </c>
      <c r="M135" s="37">
        <f t="shared" si="14"/>
        <v>35954.662972179241</v>
      </c>
      <c r="N135" s="37">
        <f t="shared" si="14"/>
        <v>37203.296374494166</v>
      </c>
      <c r="O135" s="37">
        <f t="shared" si="14"/>
        <v>37026.841287957257</v>
      </c>
      <c r="P135" s="37">
        <f t="shared" si="14"/>
        <v>39812.403603129962</v>
      </c>
      <c r="Q135" s="37">
        <f t="shared" si="14"/>
        <v>41238.612333421195</v>
      </c>
      <c r="R135" s="37">
        <f t="shared" si="14"/>
        <v>42709.249159926105</v>
      </c>
      <c r="S135" s="37">
        <f t="shared" si="14"/>
        <v>42763.687971388717</v>
      </c>
      <c r="T135" s="37">
        <f t="shared" si="14"/>
        <v>45789.344899361815</v>
      </c>
      <c r="U135" s="37">
        <f t="shared" si="14"/>
        <v>47401.679611144908</v>
      </c>
      <c r="V135" s="37">
        <f t="shared" si="14"/>
        <v>49064.196642151539</v>
      </c>
      <c r="W135" s="37">
        <f t="shared" si="14"/>
        <v>49316.446768905174</v>
      </c>
      <c r="X135" s="37">
        <f t="shared" si="14"/>
        <v>52546.028423898642</v>
      </c>
      <c r="Y135" s="37">
        <f t="shared" si="14"/>
        <v>54368.589153590074</v>
      </c>
      <c r="Z135" s="37">
        <f t="shared" si="14"/>
        <v>56247.827120846625</v>
      </c>
      <c r="AA135" s="37">
        <f t="shared" si="14"/>
        <v>56723.492653187088</v>
      </c>
      <c r="AB135" s="37">
        <f t="shared" si="14"/>
        <v>60183.389838215648</v>
      </c>
      <c r="AC135" s="37">
        <f t="shared" si="14"/>
        <v>62243.378167680872</v>
      </c>
      <c r="AD135" s="37">
        <f t="shared" si="14"/>
        <v>64367.374231638038</v>
      </c>
      <c r="AE135" s="37">
        <f t="shared" si="14"/>
        <v>65095.35346423708</v>
      </c>
      <c r="AF135" s="37">
        <f t="shared" si="14"/>
        <v>68815.35194270534</v>
      </c>
      <c r="AG135" s="37">
        <f t="shared" si="14"/>
        <v>71143.468241141178</v>
      </c>
      <c r="AH135" s="37">
        <f t="shared" si="14"/>
        <v>73543.865340783959</v>
      </c>
      <c r="AI135" s="37">
        <f t="shared" si="14"/>
        <v>74556.772598476236</v>
      </c>
      <c r="AJ135" s="37">
        <f t="shared" si="14"/>
        <v>78570.487775085989</v>
      </c>
      <c r="AK135" s="37">
        <f t="shared" si="14"/>
        <v>81201.379125710431</v>
      </c>
      <c r="AL135" s="37">
        <f t="shared" si="14"/>
        <v>83913.887553537905</v>
      </c>
      <c r="AM135" s="37">
        <f t="shared" si="14"/>
        <v>85248.528829301606</v>
      </c>
      <c r="AN135" s="37">
        <f t="shared" si="14"/>
        <v>89593.895878317155</v>
      </c>
      <c r="AO135" s="37">
        <f t="shared" si="14"/>
        <v>92566.661137156567</v>
      </c>
      <c r="AP135" s="37">
        <f t="shared" si="14"/>
        <v>95631.578982073435</v>
      </c>
      <c r="AQ135" s="37">
        <f t="shared" si="14"/>
        <v>97329.488231357871</v>
      </c>
      <c r="AR135" s="37">
        <f t="shared" si="14"/>
        <v>102049.31472386638</v>
      </c>
      <c r="AS135" s="37">
        <f t="shared" si="14"/>
        <v>105408.07397603933</v>
      </c>
      <c r="AT135" s="37">
        <f t="shared" si="14"/>
        <v>108870.87391978889</v>
      </c>
      <c r="AU135" s="37">
        <f t="shared" si="14"/>
        <v>110978.91772371266</v>
      </c>
      <c r="AV135" s="37">
        <f t="shared" si="14"/>
        <v>116121.50670016238</v>
      </c>
      <c r="AW135" s="37">
        <f t="shared" si="14"/>
        <v>119916.04330077406</v>
      </c>
      <c r="AX135" s="37">
        <f t="shared" si="14"/>
        <v>123828.03420314426</v>
      </c>
      <c r="AY135" s="37">
        <f t="shared" si="14"/>
        <v>126399.09349141922</v>
      </c>
      <c r="AZ135" s="37">
        <f t="shared" si="14"/>
        <v>132018.94593364699</v>
      </c>
    </row>
    <row r="136" spans="1:52" s="37" customFormat="1">
      <c r="A136" s="85" t="s">
        <v>349</v>
      </c>
      <c r="C136" s="37">
        <f>C99-C101-C102-C103-C104-C105-C106-C107-C110-C111-C112-C113-C114-C116-C117-C118-C119-C121-C122-C123-C124-C125-C127</f>
        <v>30640.079999999998</v>
      </c>
      <c r="D136" s="37">
        <f t="shared" ref="D136:AZ136" si="15">D99-D101-D102-D103-D104-D105-D106-D107-D110-D111-D112-D113-D114-D116-D117-D118-D119-D121-D122-D123-D124-D125-D127</f>
        <v>32503.930800000006</v>
      </c>
      <c r="E136" s="37">
        <f t="shared" si="15"/>
        <v>33493.246734000008</v>
      </c>
      <c r="F136" s="37">
        <f t="shared" si="15"/>
        <v>34512.262146270004</v>
      </c>
      <c r="G136" s="37">
        <f t="shared" si="15"/>
        <v>33449.91111616436</v>
      </c>
      <c r="H136" s="37">
        <f t="shared" si="15"/>
        <v>35769.558362793206</v>
      </c>
      <c r="I136" s="37">
        <f t="shared" si="15"/>
        <v>36848.260177149503</v>
      </c>
      <c r="J136" s="37">
        <f t="shared" si="15"/>
        <v>37959.045382523305</v>
      </c>
      <c r="K136" s="37">
        <f t="shared" si="15"/>
        <v>37641.165684280968</v>
      </c>
      <c r="L136" s="37">
        <f t="shared" si="15"/>
        <v>40280.859129371711</v>
      </c>
      <c r="M136" s="37">
        <f t="shared" si="15"/>
        <v>41493.437972179243</v>
      </c>
      <c r="N136" s="37">
        <f t="shared" si="15"/>
        <v>42742.07137449416</v>
      </c>
      <c r="O136" s="37">
        <f t="shared" si="15"/>
        <v>42565.616287957266</v>
      </c>
      <c r="P136" s="37">
        <f t="shared" si="15"/>
        <v>45351.178603129971</v>
      </c>
      <c r="Q136" s="37">
        <f t="shared" si="15"/>
        <v>46777.387333421197</v>
      </c>
      <c r="R136" s="37">
        <f t="shared" si="15"/>
        <v>11930.964215268345</v>
      </c>
      <c r="S136" s="37">
        <f t="shared" si="15"/>
        <v>9882.645255935262</v>
      </c>
      <c r="T136" s="37">
        <f t="shared" si="15"/>
        <v>10683.794738183613</v>
      </c>
      <c r="U136" s="37">
        <f t="shared" si="15"/>
        <v>9942.8230231344787</v>
      </c>
      <c r="V136" s="37">
        <f t="shared" si="15"/>
        <v>9115.7771851953221</v>
      </c>
      <c r="W136" s="37">
        <f t="shared" si="15"/>
        <v>6734.3187528912022</v>
      </c>
      <c r="X136" s="37">
        <f t="shared" si="15"/>
        <v>7177.7001232574257</v>
      </c>
      <c r="Y136" s="37">
        <f t="shared" si="15"/>
        <v>6052.7395718417611</v>
      </c>
      <c r="Z136" s="37">
        <f t="shared" si="15"/>
        <v>4813.7947758150767</v>
      </c>
      <c r="AA136" s="37">
        <f t="shared" si="15"/>
        <v>1990.7347628781936</v>
      </c>
      <c r="AB136" s="37">
        <f t="shared" si="15"/>
        <v>65722.164838215642</v>
      </c>
      <c r="AC136" s="37">
        <f t="shared" si="15"/>
        <v>67782.153167680881</v>
      </c>
      <c r="AD136" s="37">
        <f t="shared" si="15"/>
        <v>69906.149231638046</v>
      </c>
      <c r="AE136" s="37">
        <f t="shared" si="15"/>
        <v>70634.128464237074</v>
      </c>
      <c r="AF136" s="37">
        <f t="shared" si="15"/>
        <v>74354.126942705334</v>
      </c>
      <c r="AG136" s="37">
        <f t="shared" si="15"/>
        <v>76682.243241141172</v>
      </c>
      <c r="AH136" s="37">
        <f t="shared" si="15"/>
        <v>79082.640340783953</v>
      </c>
      <c r="AI136" s="37">
        <f t="shared" si="15"/>
        <v>80095.547598476231</v>
      </c>
      <c r="AJ136" s="37">
        <f t="shared" si="15"/>
        <v>84109.262775085983</v>
      </c>
      <c r="AK136" s="37">
        <f t="shared" si="15"/>
        <v>86740.15412571044</v>
      </c>
      <c r="AL136" s="37">
        <f t="shared" si="15"/>
        <v>89452.662553537899</v>
      </c>
      <c r="AM136" s="37">
        <f t="shared" si="15"/>
        <v>90787.303829301585</v>
      </c>
      <c r="AN136" s="37">
        <f t="shared" si="15"/>
        <v>95132.670878317149</v>
      </c>
      <c r="AO136" s="37">
        <f t="shared" si="15"/>
        <v>98105.436137156561</v>
      </c>
      <c r="AP136" s="37">
        <f t="shared" si="15"/>
        <v>101170.35398207343</v>
      </c>
      <c r="AQ136" s="37">
        <f t="shared" si="15"/>
        <v>102868.26323135787</v>
      </c>
      <c r="AR136" s="37">
        <f t="shared" si="15"/>
        <v>107588.0897238664</v>
      </c>
      <c r="AS136" s="37">
        <f t="shared" si="15"/>
        <v>110946.84897603933</v>
      </c>
      <c r="AT136" s="37">
        <f t="shared" si="15"/>
        <v>114409.64891978889</v>
      </c>
      <c r="AU136" s="37">
        <f t="shared" si="15"/>
        <v>116517.69272371264</v>
      </c>
      <c r="AV136" s="37">
        <f t="shared" si="15"/>
        <v>121660.28170016242</v>
      </c>
      <c r="AW136" s="37">
        <f t="shared" si="15"/>
        <v>125454.81830077406</v>
      </c>
      <c r="AX136" s="37">
        <f t="shared" si="15"/>
        <v>129366.80920314426</v>
      </c>
      <c r="AY136" s="37">
        <f t="shared" si="15"/>
        <v>131937.86849141924</v>
      </c>
      <c r="AZ136" s="37">
        <f t="shared" si="15"/>
        <v>137557.72093364695</v>
      </c>
    </row>
    <row r="139" spans="1:52" s="76" customFormat="1" ht="14">
      <c r="C139" s="76">
        <v>2026</v>
      </c>
      <c r="D139" s="76">
        <v>2027</v>
      </c>
      <c r="E139" s="76">
        <v>2028</v>
      </c>
      <c r="F139" s="76">
        <v>2029</v>
      </c>
      <c r="G139" s="76">
        <v>2030</v>
      </c>
      <c r="H139" s="76">
        <v>2031</v>
      </c>
      <c r="I139" s="76">
        <v>2032</v>
      </c>
      <c r="J139" s="76">
        <v>2033</v>
      </c>
      <c r="K139" s="76">
        <v>2034</v>
      </c>
      <c r="L139" s="76">
        <v>2035</v>
      </c>
      <c r="M139" s="76">
        <v>2036</v>
      </c>
      <c r="N139" s="76">
        <v>2037</v>
      </c>
      <c r="O139" s="76">
        <v>2038</v>
      </c>
      <c r="P139" s="76">
        <v>2039</v>
      </c>
      <c r="Q139" s="76">
        <v>2040</v>
      </c>
      <c r="R139" s="76">
        <v>2041</v>
      </c>
      <c r="S139" s="76">
        <v>2042</v>
      </c>
      <c r="T139" s="76">
        <v>2043</v>
      </c>
    </row>
    <row r="140" spans="1:52" ht="17">
      <c r="A140" s="15" t="s">
        <v>310</v>
      </c>
      <c r="B140" s="15"/>
      <c r="C140" s="15">
        <v>1</v>
      </c>
      <c r="D140" s="15">
        <v>2</v>
      </c>
      <c r="E140" s="15">
        <v>3</v>
      </c>
      <c r="F140" s="15">
        <v>4</v>
      </c>
      <c r="G140" s="15">
        <v>5</v>
      </c>
      <c r="H140" s="15">
        <v>6</v>
      </c>
      <c r="I140" s="15">
        <v>7</v>
      </c>
      <c r="J140" s="15">
        <v>8</v>
      </c>
      <c r="K140" s="15">
        <v>9</v>
      </c>
      <c r="L140" s="15">
        <v>10</v>
      </c>
      <c r="M140" s="15">
        <v>11</v>
      </c>
      <c r="N140" s="15">
        <v>12</v>
      </c>
      <c r="O140" s="15">
        <v>13</v>
      </c>
      <c r="P140" s="15">
        <v>14</v>
      </c>
      <c r="Q140" s="15">
        <v>15</v>
      </c>
      <c r="R140" s="15">
        <v>16</v>
      </c>
      <c r="S140" s="15">
        <v>17</v>
      </c>
      <c r="T140" s="15">
        <v>18</v>
      </c>
      <c r="U140" s="15">
        <v>19</v>
      </c>
      <c r="V140" s="15">
        <v>20</v>
      </c>
      <c r="W140" s="15">
        <v>21</v>
      </c>
      <c r="X140" s="15">
        <v>22</v>
      </c>
      <c r="Y140" s="15">
        <v>23</v>
      </c>
      <c r="Z140" s="15">
        <v>24</v>
      </c>
      <c r="AA140" s="15">
        <v>25</v>
      </c>
      <c r="AB140" s="15">
        <v>26</v>
      </c>
      <c r="AC140" s="15">
        <v>27</v>
      </c>
      <c r="AD140" s="15">
        <v>28</v>
      </c>
      <c r="AE140" s="15">
        <v>29</v>
      </c>
      <c r="AF140" s="15">
        <v>30</v>
      </c>
      <c r="AG140" s="15">
        <v>31</v>
      </c>
      <c r="AH140" s="15">
        <v>32</v>
      </c>
      <c r="AI140" s="15">
        <v>33</v>
      </c>
      <c r="AJ140" s="15">
        <v>34</v>
      </c>
      <c r="AK140" s="15">
        <v>35</v>
      </c>
      <c r="AL140" s="15">
        <v>36</v>
      </c>
      <c r="AM140" s="15">
        <v>37</v>
      </c>
      <c r="AN140" s="15">
        <v>38</v>
      </c>
      <c r="AO140" s="15">
        <v>39</v>
      </c>
      <c r="AP140" s="15">
        <v>40</v>
      </c>
      <c r="AQ140" s="15">
        <v>41</v>
      </c>
      <c r="AR140" s="15">
        <v>42</v>
      </c>
      <c r="AS140" s="15">
        <v>43</v>
      </c>
      <c r="AT140" s="15">
        <v>44</v>
      </c>
      <c r="AU140" s="15">
        <v>45</v>
      </c>
      <c r="AV140" s="15">
        <v>46</v>
      </c>
      <c r="AW140" s="15">
        <v>47</v>
      </c>
      <c r="AX140" s="15">
        <v>48</v>
      </c>
      <c r="AY140" s="15">
        <v>49</v>
      </c>
      <c r="AZ140" s="15">
        <v>50</v>
      </c>
    </row>
    <row r="141" spans="1:52">
      <c r="A141" s="77" t="str">
        <f>Properties!A9</f>
        <v>IP3</v>
      </c>
    </row>
    <row r="142" spans="1:52">
      <c r="A142" s="77"/>
    </row>
    <row r="143" spans="1:52">
      <c r="A143" s="77" t="s">
        <v>311</v>
      </c>
    </row>
    <row r="144" spans="1:52" s="37" customFormat="1">
      <c r="A144" s="85" t="s">
        <v>312</v>
      </c>
      <c r="B144" s="88"/>
      <c r="C144" s="88">
        <f>820*52</f>
        <v>42640</v>
      </c>
      <c r="D144" s="37">
        <f>C144 * (1 + Scenarios!$K$13)</f>
        <v>43919.200000000004</v>
      </c>
      <c r="E144" s="37">
        <f>D144 * (1 + Scenarios!$K$13)</f>
        <v>45236.776000000005</v>
      </c>
      <c r="F144" s="37">
        <f>E144 * (1 + Scenarios!$K$13)</f>
        <v>46593.879280000008</v>
      </c>
      <c r="G144" s="37">
        <f>F144 * (1 + Scenarios!$K$13)</f>
        <v>47991.695658400007</v>
      </c>
      <c r="H144" s="37">
        <f>G144 * (1 + Scenarios!$K$13)</f>
        <v>49431.44652815201</v>
      </c>
      <c r="I144" s="37">
        <f>H144 * (1 + Scenarios!$K$13)</f>
        <v>50914.389923996569</v>
      </c>
      <c r="J144" s="37">
        <f>I144 * (1 + Scenarios!$K$13)</f>
        <v>52441.821621716466</v>
      </c>
      <c r="K144" s="37">
        <f>J144 * (1 + Scenarios!$K$13)</f>
        <v>54015.076270367965</v>
      </c>
      <c r="L144" s="37">
        <f>K144 * (1 + Scenarios!$K$13)</f>
        <v>55635.528558479004</v>
      </c>
      <c r="M144" s="37">
        <f>L144 * (1 + Scenarios!$K$13)</f>
        <v>57304.594415233376</v>
      </c>
      <c r="N144" s="37">
        <f>M144 * (1 + Scenarios!$K$13)</f>
        <v>59023.732247690379</v>
      </c>
      <c r="O144" s="37">
        <f>N144 * (1 + Scenarios!$K$13)</f>
        <v>60794.44421512109</v>
      </c>
      <c r="P144" s="37">
        <f>O144 * (1 + Scenarios!$K$13)</f>
        <v>62618.277541574724</v>
      </c>
      <c r="Q144" s="37">
        <f>P144 * (1 + Scenarios!$K$13)</f>
        <v>64496.825867821964</v>
      </c>
      <c r="R144" s="37">
        <f>Q144 * (1 + Scenarios!$K$13)</f>
        <v>66431.73064385663</v>
      </c>
      <c r="S144" s="37">
        <f>R144 * (1 + Scenarios!$K$13)</f>
        <v>68424.682563172333</v>
      </c>
      <c r="T144" s="37">
        <f>S144 * (1 + Scenarios!$K$13)</f>
        <v>70477.423040067501</v>
      </c>
      <c r="U144" s="37">
        <f>T144 * (1 + Scenarios!$K$13)</f>
        <v>72591.745731269533</v>
      </c>
      <c r="V144" s="37">
        <f>U144 * (1 + Scenarios!$K$13)</f>
        <v>74769.498103207618</v>
      </c>
      <c r="W144" s="37">
        <f>V144 * (1 + Scenarios!$K$13)</f>
        <v>77012.583046303844</v>
      </c>
      <c r="X144" s="37">
        <f>W144 * (1 + Scenarios!$K$13)</f>
        <v>79322.960537692954</v>
      </c>
      <c r="Y144" s="37">
        <f>X144 * (1 + Scenarios!$K$13)</f>
        <v>81702.649353823741</v>
      </c>
      <c r="Z144" s="37">
        <f>Y144 * (1 + Scenarios!$K$13)</f>
        <v>84153.728834438458</v>
      </c>
      <c r="AA144" s="37">
        <f>Z144 * (1 + Scenarios!$K$13)</f>
        <v>86678.340699471621</v>
      </c>
      <c r="AB144" s="37">
        <f>AA144 * (1 + Scenarios!$K$13)</f>
        <v>89278.690920455774</v>
      </c>
      <c r="AC144" s="37">
        <f>AB144 * (1 + Scenarios!$K$13)</f>
        <v>91957.05164806945</v>
      </c>
      <c r="AD144" s="37">
        <f>AC144 * (1 + Scenarios!$K$13)</f>
        <v>94715.763197511536</v>
      </c>
      <c r="AE144" s="37">
        <f>AD144 * (1 + Scenarios!$K$13)</f>
        <v>97557.236093436892</v>
      </c>
      <c r="AF144" s="37">
        <f>AE144 * (1 + Scenarios!$K$13)</f>
        <v>100483.95317624</v>
      </c>
      <c r="AG144" s="37">
        <f>AF144 * (1 + Scenarios!$K$13)</f>
        <v>103498.4717715272</v>
      </c>
      <c r="AH144" s="37">
        <f>AG144 * (1 + Scenarios!$K$13)</f>
        <v>106603.42592467302</v>
      </c>
      <c r="AI144" s="37">
        <f>AH144 * (1 + Scenarios!$K$13)</f>
        <v>109801.52870241321</v>
      </c>
      <c r="AJ144" s="37">
        <f>AI144 * (1 + Scenarios!$K$13)</f>
        <v>113095.57456348561</v>
      </c>
      <c r="AK144" s="37">
        <f>AJ144 * (1 + Scenarios!$K$13)</f>
        <v>116488.44180039018</v>
      </c>
      <c r="AL144" s="37">
        <f>AK144 * (1 + Scenarios!$K$13)</f>
        <v>119983.09505440189</v>
      </c>
      <c r="AM144" s="37">
        <f>AL144 * (1 + Scenarios!$K$13)</f>
        <v>123582.58790603395</v>
      </c>
      <c r="AN144" s="37">
        <f>AM144 * (1 + Scenarios!$K$13)</f>
        <v>127290.06554321497</v>
      </c>
      <c r="AO144" s="37">
        <f>AN144 * (1 + Scenarios!$K$13)</f>
        <v>131108.76750951141</v>
      </c>
      <c r="AP144" s="37">
        <f>AO144 * (1 + Scenarios!$K$13)</f>
        <v>135042.03053479677</v>
      </c>
      <c r="AQ144" s="37">
        <f>AP144 * (1 + Scenarios!$K$13)</f>
        <v>139093.29145084068</v>
      </c>
      <c r="AR144" s="37">
        <f>AQ144 * (1 + Scenarios!$K$13)</f>
        <v>143266.09019436591</v>
      </c>
      <c r="AS144" s="37">
        <f>AR144 * (1 + Scenarios!$K$13)</f>
        <v>147564.07290019689</v>
      </c>
      <c r="AT144" s="37">
        <f>AS144 * (1 + Scenarios!$K$13)</f>
        <v>151990.99508720278</v>
      </c>
      <c r="AU144" s="37">
        <f>AT144 * (1 + Scenarios!$K$13)</f>
        <v>156550.72493981887</v>
      </c>
      <c r="AV144" s="37">
        <f>AU144 * (1 + Scenarios!$K$13)</f>
        <v>161247.24668801343</v>
      </c>
      <c r="AW144" s="37">
        <f>AV144 * (1 + Scenarios!$K$13)</f>
        <v>166084.66408865384</v>
      </c>
      <c r="AX144" s="37">
        <f>AW144 * (1 + Scenarios!$K$13)</f>
        <v>171067.20401131344</v>
      </c>
      <c r="AY144" s="37">
        <f>AX144 * (1 + Scenarios!$K$13)</f>
        <v>176199.22013165284</v>
      </c>
      <c r="AZ144" s="37">
        <f>AY144 * (1 + Scenarios!$K$13)</f>
        <v>181485.19673560243</v>
      </c>
    </row>
    <row r="145" spans="1:52" s="37" customFormat="1">
      <c r="A145" s="77" t="s">
        <v>313</v>
      </c>
    </row>
    <row r="146" spans="1:52" s="37" customFormat="1">
      <c r="A146" s="78" t="s">
        <v>314</v>
      </c>
      <c r="B146" s="88"/>
      <c r="C146" s="88">
        <f>660+(660*1+Scenarios!K97)</f>
        <v>1320</v>
      </c>
      <c r="D146" s="37">
        <f>C146 * (1 + Scenarios!$K$10)</f>
        <v>1352.9999999999998</v>
      </c>
      <c r="E146" s="37">
        <f>D146 * (1 + Scenarios!$K$10)</f>
        <v>1386.8249999999996</v>
      </c>
      <c r="F146" s="37">
        <f>E146 * (1 + Scenarios!$K$10)</f>
        <v>1421.4956249999996</v>
      </c>
      <c r="G146" s="37">
        <f>F146 * (1 + Scenarios!$K$10)</f>
        <v>1457.0330156249995</v>
      </c>
      <c r="H146" s="37">
        <f>G146 * (1 + Scenarios!$K$10)</f>
        <v>1493.4588410156243</v>
      </c>
      <c r="I146" s="37">
        <f>H146 * (1 + Scenarios!$K$10)</f>
        <v>1530.7953120410148</v>
      </c>
      <c r="J146" s="37">
        <f>I146 * (1 + Scenarios!$K$10)</f>
        <v>1569.06519484204</v>
      </c>
      <c r="K146" s="37">
        <f>J146 * (1 + Scenarios!$K$10)</f>
        <v>1608.2918247130908</v>
      </c>
      <c r="L146" s="37">
        <f>K146 * (1 + Scenarios!$K$10)</f>
        <v>1648.499120330918</v>
      </c>
      <c r="M146" s="37">
        <f>L146 * (1 + Scenarios!$K$10)</f>
        <v>1689.7115983391909</v>
      </c>
      <c r="N146" s="37">
        <f>M146 * (1 + Scenarios!$K$10)</f>
        <v>1731.9543882976704</v>
      </c>
      <c r="O146" s="37">
        <f>N146 * (1 + Scenarios!$K$10)</f>
        <v>1775.253248005112</v>
      </c>
      <c r="P146" s="37">
        <f>O146 * (1 + Scenarios!$K$10)</f>
        <v>1819.6345792052396</v>
      </c>
      <c r="Q146" s="37">
        <f>P146 * (1 + Scenarios!$K$10)</f>
        <v>1865.1254436853703</v>
      </c>
      <c r="R146" s="37">
        <f>Q146 * (1 + Scenarios!$K$10)</f>
        <v>1911.7535797775045</v>
      </c>
      <c r="S146" s="37">
        <f>R146 * (1 + Scenarios!$K$10)</f>
        <v>1959.5474192719419</v>
      </c>
      <c r="T146" s="37">
        <f>S146 * (1 + Scenarios!$K$10)</f>
        <v>2008.5361047537403</v>
      </c>
      <c r="U146" s="37">
        <f>T146 * (1 + Scenarios!$K$10)</f>
        <v>2058.7495073725836</v>
      </c>
      <c r="V146" s="37">
        <f>U146 * (1 + Scenarios!$K$10)</f>
        <v>2110.218245056898</v>
      </c>
      <c r="W146" s="37">
        <f>V146 * (1 + Scenarios!$K$10)</f>
        <v>2162.9737011833204</v>
      </c>
      <c r="X146" s="37">
        <f>W146 * (1 + Scenarios!$K$10)</f>
        <v>2217.0480437129031</v>
      </c>
      <c r="Y146" s="37">
        <f>X146 * (1 + Scenarios!$K$10)</f>
        <v>2272.4742448057254</v>
      </c>
      <c r="Z146" s="37">
        <f>Y146 * (1 + Scenarios!$K$10)</f>
        <v>2329.2861009258686</v>
      </c>
      <c r="AA146" s="37">
        <f>Z146 * (1 + Scenarios!$K$10)</f>
        <v>2387.518253449015</v>
      </c>
      <c r="AB146" s="37">
        <f>AA146 * (1 + Scenarios!$K$10)</f>
        <v>2447.2062097852399</v>
      </c>
      <c r="AC146" s="37">
        <f>AB146 * (1 + Scenarios!$K$10)</f>
        <v>2508.3863650298708</v>
      </c>
      <c r="AD146" s="37">
        <f>AC146 * (1 + Scenarios!$K$10)</f>
        <v>2571.0960241556172</v>
      </c>
      <c r="AE146" s="37">
        <f>AD146 * (1 + Scenarios!$K$10)</f>
        <v>2635.3734247595075</v>
      </c>
      <c r="AF146" s="37">
        <f>AE146 * (1 + Scenarios!$K$10)</f>
        <v>2701.2577603784948</v>
      </c>
      <c r="AG146" s="37">
        <f>AF146 * (1 + Scenarios!$K$10)</f>
        <v>2768.7892043879569</v>
      </c>
      <c r="AH146" s="37">
        <f>AG146 * (1 + Scenarios!$K$10)</f>
        <v>2838.0089344976554</v>
      </c>
      <c r="AI146" s="37">
        <f>AH146 * (1 + Scenarios!$K$10)</f>
        <v>2908.9591578600966</v>
      </c>
      <c r="AJ146" s="37">
        <f>AI146 * (1 + Scenarios!$K$10)</f>
        <v>2981.6831368065987</v>
      </c>
      <c r="AK146" s="37">
        <f>AJ146 * (1 + Scenarios!$K$10)</f>
        <v>3056.2252152267633</v>
      </c>
      <c r="AL146" s="37">
        <f>AK146 * (1 + Scenarios!$K$10)</f>
        <v>3132.6308456074321</v>
      </c>
      <c r="AM146" s="37">
        <f>AL146 * (1 + Scenarios!$K$10)</f>
        <v>3210.9466167476176</v>
      </c>
      <c r="AN146" s="37">
        <f>AM146 * (1 + Scenarios!$K$10)</f>
        <v>3291.2202821663077</v>
      </c>
      <c r="AO146" s="37">
        <f>AN146 * (1 + Scenarios!$K$10)</f>
        <v>3373.5007892204653</v>
      </c>
      <c r="AP146" s="37">
        <f>AO146 * (1 + Scenarios!$K$10)</f>
        <v>3457.8383089509766</v>
      </c>
      <c r="AQ146" s="37">
        <f>AP146 * (1 + Scenarios!$K$10)</f>
        <v>3544.2842666747506</v>
      </c>
      <c r="AR146" s="37">
        <f>AQ146 * (1 + Scenarios!$K$10)</f>
        <v>3632.8913733416189</v>
      </c>
      <c r="AS146" s="37">
        <f>AR146 * (1 + Scenarios!$K$10)</f>
        <v>3723.7136576751591</v>
      </c>
      <c r="AT146" s="37">
        <f>AS146 * (1 + Scenarios!$K$10)</f>
        <v>3816.8064991170377</v>
      </c>
      <c r="AU146" s="37">
        <f>AT146 * (1 + Scenarios!$K$10)</f>
        <v>3912.2266615949634</v>
      </c>
      <c r="AV146" s="37">
        <f>AU146 * (1 + Scenarios!$K$10)</f>
        <v>4010.0323281348369</v>
      </c>
      <c r="AW146" s="37">
        <f>AV146 * (1 + Scenarios!$K$10)</f>
        <v>4110.2831363382074</v>
      </c>
      <c r="AX146" s="37">
        <f>AW146 * (1 + Scenarios!$K$10)</f>
        <v>4213.0402147466621</v>
      </c>
      <c r="AY146" s="37">
        <f>AX146 * (1 + Scenarios!$K$10)</f>
        <v>4318.3662201153284</v>
      </c>
      <c r="AZ146" s="37">
        <f>AY146 * (1 + Scenarios!$K$10)</f>
        <v>4426.3253756182112</v>
      </c>
    </row>
    <row r="147" spans="1:52" s="37" customFormat="1">
      <c r="A147" s="78" t="s">
        <v>315</v>
      </c>
      <c r="B147" s="88"/>
      <c r="C147" s="88">
        <v>750</v>
      </c>
      <c r="D147" s="37">
        <f>C147* (1 + Scenarios!$K$10)</f>
        <v>768.74999999999989</v>
      </c>
      <c r="E147" s="37">
        <f>D147* (1 + Scenarios!$K$10)</f>
        <v>787.96874999999977</v>
      </c>
      <c r="F147" s="37">
        <f>E147* (1 + Scenarios!$K$10)</f>
        <v>807.66796874999966</v>
      </c>
      <c r="G147" s="37">
        <f>F147* (1 + Scenarios!$K$10)</f>
        <v>827.85966796874959</v>
      </c>
      <c r="H147" s="37">
        <f>G147* (1 + Scenarios!$K$10)</f>
        <v>848.55615966796825</v>
      </c>
      <c r="I147" s="37">
        <f>H147* (1 + Scenarios!$K$10)</f>
        <v>869.77006365966736</v>
      </c>
      <c r="J147" s="37">
        <f>I147* (1 + Scenarios!$K$10)</f>
        <v>891.51431525115902</v>
      </c>
      <c r="K147" s="37">
        <f>J147* (1 + Scenarios!$K$10)</f>
        <v>913.80217313243793</v>
      </c>
      <c r="L147" s="37">
        <f>K147* (1 + Scenarios!$K$10)</f>
        <v>936.64722746074881</v>
      </c>
      <c r="M147" s="37">
        <f>L147* (1 + Scenarios!$K$10)</f>
        <v>960.06340814726741</v>
      </c>
      <c r="N147" s="37">
        <f>M147* (1 + Scenarios!$K$10)</f>
        <v>984.06499335094895</v>
      </c>
      <c r="O147" s="37">
        <f>N147* (1 + Scenarios!$K$10)</f>
        <v>1008.6666181847226</v>
      </c>
      <c r="P147" s="37">
        <f>O147* (1 + Scenarios!$K$10)</f>
        <v>1033.8832836393406</v>
      </c>
      <c r="Q147" s="37">
        <f>P147* (1 + Scenarios!$K$10)</f>
        <v>1059.7303657303239</v>
      </c>
      <c r="R147" s="37">
        <f>Q147* (1 + Scenarios!$K$10)</f>
        <v>1086.2236248735819</v>
      </c>
      <c r="S147" s="37">
        <f>R147* (1 + Scenarios!$K$10)</f>
        <v>1113.3792154954215</v>
      </c>
      <c r="T147" s="37">
        <f>S147* (1 + Scenarios!$K$10)</f>
        <v>1141.2136958828069</v>
      </c>
      <c r="U147" s="37">
        <f>T147* (1 + Scenarios!$K$10)</f>
        <v>1169.744038279877</v>
      </c>
      <c r="V147" s="37">
        <f>U147* (1 + Scenarios!$K$10)</f>
        <v>1198.9876392368737</v>
      </c>
      <c r="W147" s="37">
        <f>V147* (1 + Scenarios!$K$10)</f>
        <v>1228.9623302177954</v>
      </c>
      <c r="X147" s="37">
        <f>W147* (1 + Scenarios!$K$10)</f>
        <v>1259.6863884732402</v>
      </c>
      <c r="Y147" s="37">
        <f>X147* (1 + Scenarios!$K$10)</f>
        <v>1291.1785481850711</v>
      </c>
      <c r="Z147" s="37">
        <f>Y147* (1 + Scenarios!$K$10)</f>
        <v>1323.4580118896977</v>
      </c>
      <c r="AA147" s="37">
        <f>Z147* (1 + Scenarios!$K$10)</f>
        <v>1356.5444621869401</v>
      </c>
      <c r="AB147" s="37">
        <f>AA147* (1 + Scenarios!$K$10)</f>
        <v>1390.4580737416136</v>
      </c>
      <c r="AC147" s="37">
        <f>AB147* (1 + Scenarios!$K$10)</f>
        <v>1425.2195255851539</v>
      </c>
      <c r="AD147" s="37">
        <f>AC147* (1 + Scenarios!$K$10)</f>
        <v>1460.8500137247827</v>
      </c>
      <c r="AE147" s="37">
        <f>AD147* (1 + Scenarios!$K$10)</f>
        <v>1497.3712640679021</v>
      </c>
      <c r="AF147" s="37">
        <f>AE147* (1 + Scenarios!$K$10)</f>
        <v>1534.8055456695995</v>
      </c>
      <c r="AG147" s="37">
        <f>AF147* (1 + Scenarios!$K$10)</f>
        <v>1573.1756843113394</v>
      </c>
      <c r="AH147" s="37">
        <f>AG147* (1 + Scenarios!$K$10)</f>
        <v>1612.5050764191228</v>
      </c>
      <c r="AI147" s="37">
        <f>AH147* (1 + Scenarios!$K$10)</f>
        <v>1652.8177033296008</v>
      </c>
      <c r="AJ147" s="37">
        <f>AI147* (1 + Scenarios!$K$10)</f>
        <v>1694.1381459128406</v>
      </c>
      <c r="AK147" s="37">
        <f>AJ147* (1 + Scenarios!$K$10)</f>
        <v>1736.4915995606616</v>
      </c>
      <c r="AL147" s="37">
        <f>AK147* (1 + Scenarios!$K$10)</f>
        <v>1779.9038895496781</v>
      </c>
      <c r="AM147" s="37">
        <f>AL147* (1 + Scenarios!$K$10)</f>
        <v>1824.4014867884198</v>
      </c>
      <c r="AN147" s="37">
        <f>AM147* (1 + Scenarios!$K$10)</f>
        <v>1870.0115239581301</v>
      </c>
      <c r="AO147" s="37">
        <f>AN147* (1 + Scenarios!$K$10)</f>
        <v>1916.761812057083</v>
      </c>
      <c r="AP147" s="37">
        <f>AO147* (1 + Scenarios!$K$10)</f>
        <v>1964.6808573585099</v>
      </c>
      <c r="AQ147" s="37">
        <f>AP147* (1 + Scenarios!$K$10)</f>
        <v>2013.7978787924724</v>
      </c>
      <c r="AR147" s="37">
        <f>AQ147* (1 + Scenarios!$K$10)</f>
        <v>2064.1428257622838</v>
      </c>
      <c r="AS147" s="37">
        <f>AR147* (1 + Scenarios!$K$10)</f>
        <v>2115.7463964063409</v>
      </c>
      <c r="AT147" s="37">
        <f>AS147* (1 + Scenarios!$K$10)</f>
        <v>2168.6400563164993</v>
      </c>
      <c r="AU147" s="37">
        <f>AT147* (1 + Scenarios!$K$10)</f>
        <v>2222.8560577244116</v>
      </c>
      <c r="AV147" s="37">
        <f>AU147* (1 + Scenarios!$K$10)</f>
        <v>2278.4274591675216</v>
      </c>
      <c r="AW147" s="37">
        <f>AV147* (1 + Scenarios!$K$10)</f>
        <v>2335.3881456467093</v>
      </c>
      <c r="AX147" s="37">
        <f>AW147* (1 + Scenarios!$K$10)</f>
        <v>2393.7728492878769</v>
      </c>
      <c r="AY147" s="37">
        <f>AX147* (1 + Scenarios!$K$10)</f>
        <v>2453.6171705200736</v>
      </c>
      <c r="AZ147" s="37">
        <f>AY147* (1 + Scenarios!$K$10)</f>
        <v>2514.9575997830752</v>
      </c>
    </row>
    <row r="148" spans="1:52" s="37" customFormat="1">
      <c r="A148" s="78" t="s">
        <v>316</v>
      </c>
      <c r="B148" s="88"/>
      <c r="C148" s="88">
        <f>922.72*4</f>
        <v>3690.88</v>
      </c>
      <c r="D148" s="37">
        <f>C148* (1 + Scenarios!$K$10)</f>
        <v>3783.1519999999996</v>
      </c>
      <c r="E148" s="37">
        <f>D148* (1 + Scenarios!$K$10)</f>
        <v>3877.7307999999994</v>
      </c>
      <c r="F148" s="37">
        <f>E148* (1 + Scenarios!$K$10)</f>
        <v>3974.6740699999991</v>
      </c>
      <c r="G148" s="37">
        <f>F148* (1 + Scenarios!$K$10)</f>
        <v>4074.0409217499987</v>
      </c>
      <c r="H148" s="37">
        <f>G148* (1 + Scenarios!$K$10)</f>
        <v>4175.8919447937487</v>
      </c>
      <c r="I148" s="37">
        <f>H148* (1 + Scenarios!$K$10)</f>
        <v>4280.289243413592</v>
      </c>
      <c r="J148" s="37">
        <f>I148* (1 + Scenarios!$K$10)</f>
        <v>4387.2964744989313</v>
      </c>
      <c r="K148" s="37">
        <f>J148* (1 + Scenarios!$K$10)</f>
        <v>4496.978886361404</v>
      </c>
      <c r="L148" s="37">
        <f>K148* (1 + Scenarios!$K$10)</f>
        <v>4609.4033585204388</v>
      </c>
      <c r="M148" s="37">
        <f>L148* (1 + Scenarios!$K$10)</f>
        <v>4724.6384424834496</v>
      </c>
      <c r="N148" s="37">
        <f>M148* (1 + Scenarios!$K$10)</f>
        <v>4842.7544035455358</v>
      </c>
      <c r="O148" s="37">
        <f>N148* (1 + Scenarios!$K$10)</f>
        <v>4963.8232636341736</v>
      </c>
      <c r="P148" s="37">
        <f>O148* (1 + Scenarios!$K$10)</f>
        <v>5087.9188452250273</v>
      </c>
      <c r="Q148" s="37">
        <f>P148* (1 + Scenarios!$K$10)</f>
        <v>5215.1168163556522</v>
      </c>
      <c r="R148" s="37">
        <f>Q148* (1 + Scenarios!$K$10)</f>
        <v>5345.4947367645427</v>
      </c>
      <c r="S148" s="37">
        <f>R148* (1 + Scenarios!$K$10)</f>
        <v>5479.1321051836558</v>
      </c>
      <c r="T148" s="37">
        <f>S148* (1 + Scenarios!$K$10)</f>
        <v>5616.1104078132466</v>
      </c>
      <c r="U148" s="37">
        <f>T148* (1 + Scenarios!$K$10)</f>
        <v>5756.5131680085769</v>
      </c>
      <c r="V148" s="37">
        <f>U148* (1 + Scenarios!$K$10)</f>
        <v>5900.4259972087912</v>
      </c>
      <c r="W148" s="37">
        <f>V148* (1 + Scenarios!$K$10)</f>
        <v>6047.9366471390103</v>
      </c>
      <c r="X148" s="37">
        <f>W148* (1 + Scenarios!$K$10)</f>
        <v>6199.1350633174852</v>
      </c>
      <c r="Y148" s="37">
        <f>X148* (1 + Scenarios!$K$10)</f>
        <v>6354.1134399004222</v>
      </c>
      <c r="Z148" s="37">
        <f>Y148* (1 + Scenarios!$K$10)</f>
        <v>6512.9662758979321</v>
      </c>
      <c r="AA148" s="37">
        <f>Z148* (1 + Scenarios!$K$10)</f>
        <v>6675.7904327953802</v>
      </c>
      <c r="AB148" s="37">
        <f>AA148* (1 + Scenarios!$K$10)</f>
        <v>6842.6851936152643</v>
      </c>
      <c r="AC148" s="37">
        <f>AB148* (1 + Scenarios!$K$10)</f>
        <v>7013.7523234556456</v>
      </c>
      <c r="AD148" s="37">
        <f>AC148* (1 + Scenarios!$K$10)</f>
        <v>7189.0961315420363</v>
      </c>
      <c r="AE148" s="37">
        <f>AD148* (1 + Scenarios!$K$10)</f>
        <v>7368.8235348305871</v>
      </c>
      <c r="AF148" s="37">
        <f>AE148* (1 + Scenarios!$K$10)</f>
        <v>7553.0441232013509</v>
      </c>
      <c r="AG148" s="37">
        <f>AF148* (1 + Scenarios!$K$10)</f>
        <v>7741.870226281384</v>
      </c>
      <c r="AH148" s="37">
        <f>AG148* (1 + Scenarios!$K$10)</f>
        <v>7935.4169819384178</v>
      </c>
      <c r="AI148" s="37">
        <f>AH148* (1 + Scenarios!$K$10)</f>
        <v>8133.8024064868778</v>
      </c>
      <c r="AJ148" s="37">
        <f>AI148* (1 + Scenarios!$K$10)</f>
        <v>8337.1474666490485</v>
      </c>
      <c r="AK148" s="37">
        <f>AJ148* (1 + Scenarios!$K$10)</f>
        <v>8545.5761533152745</v>
      </c>
      <c r="AL148" s="37">
        <f>AK148* (1 + Scenarios!$K$10)</f>
        <v>8759.2155571481562</v>
      </c>
      <c r="AM148" s="37">
        <f>AL148* (1 + Scenarios!$K$10)</f>
        <v>8978.1959460768594</v>
      </c>
      <c r="AN148" s="37">
        <f>AM148* (1 + Scenarios!$K$10)</f>
        <v>9202.6508447287797</v>
      </c>
      <c r="AO148" s="37">
        <f>AN148* (1 + Scenarios!$K$10)</f>
        <v>9432.7171158469991</v>
      </c>
      <c r="AP148" s="37">
        <f>AO148* (1 + Scenarios!$K$10)</f>
        <v>9668.5350437431734</v>
      </c>
      <c r="AQ148" s="37">
        <f>AP148* (1 + Scenarios!$K$10)</f>
        <v>9910.2484198367511</v>
      </c>
      <c r="AR148" s="37">
        <f>AQ148* (1 + Scenarios!$K$10)</f>
        <v>10158.004630332669</v>
      </c>
      <c r="AS148" s="37">
        <f>AR148* (1 + Scenarios!$K$10)</f>
        <v>10411.954746090985</v>
      </c>
      <c r="AT148" s="37">
        <f>AS148* (1 + Scenarios!$K$10)</f>
        <v>10672.253614743258</v>
      </c>
      <c r="AU148" s="37">
        <f>AT148* (1 + Scenarios!$K$10)</f>
        <v>10939.059955111839</v>
      </c>
      <c r="AV148" s="37">
        <f>AU148* (1 + Scenarios!$K$10)</f>
        <v>11212.536453989635</v>
      </c>
      <c r="AW148" s="37">
        <f>AV148* (1 + Scenarios!$K$10)</f>
        <v>11492.849865339374</v>
      </c>
      <c r="AX148" s="37">
        <f>AW148* (1 + Scenarios!$K$10)</f>
        <v>11780.171111972857</v>
      </c>
      <c r="AY148" s="37">
        <f>AX148* (1 + Scenarios!$K$10)</f>
        <v>12074.675389772177</v>
      </c>
      <c r="AZ148" s="37">
        <f>AY148* (1 + Scenarios!$K$10)</f>
        <v>12376.542274516481</v>
      </c>
    </row>
    <row r="149" spans="1:52" s="37" customFormat="1">
      <c r="A149" s="78" t="s">
        <v>317</v>
      </c>
      <c r="B149" s="88">
        <f>Properties!$C$22</f>
        <v>770</v>
      </c>
      <c r="C149" s="88">
        <f t="array" ref="C149">Properties!$D$22</f>
        <v>1262.8</v>
      </c>
      <c r="D149" s="37">
        <f t="array" ref="D149">Properties!$E$22</f>
        <v>1894.2000000000003</v>
      </c>
      <c r="E149" s="37">
        <f t="array" ref="E149">Properties!$F$22</f>
        <v>1969.94</v>
      </c>
      <c r="F149" s="37">
        <f t="array" ref="F149">Properties!$G$22</f>
        <v>2048.7600000000002</v>
      </c>
      <c r="G149" s="37">
        <f t="array" ref="G149">Properties!$H$22</f>
        <v>2130.73</v>
      </c>
      <c r="H149" s="37">
        <f t="array" ref="H149">Properties!$I$22</f>
        <v>3089.52</v>
      </c>
      <c r="I149" s="37">
        <f t="array" ref="I149">Properties!$J$22</f>
        <v>3213.14</v>
      </c>
      <c r="J149" s="37">
        <f t="array" ref="J149">Properties!$K$22</f>
        <v>3341.66</v>
      </c>
      <c r="K149" s="37">
        <f t="array" ref="K149">Properties!$L$22</f>
        <v>3475.29</v>
      </c>
      <c r="L149" s="37">
        <f t="array" ref="L149">Properties!$M$22</f>
        <v>3614.3100000000004</v>
      </c>
      <c r="M149" s="37">
        <f t="array" ref="M149">Properties!$N$22</f>
        <v>3758.9300000000003</v>
      </c>
      <c r="N149" s="37">
        <f t="array" ref="N149">Properties!$O$22</f>
        <v>3909.2200000000003</v>
      </c>
      <c r="O149" s="37">
        <f t="array" ref="O149">Properties!$P$22</f>
        <v>4065.5999999999995</v>
      </c>
      <c r="P149" s="37">
        <f t="array" ref="P149">Properties!$Q$22</f>
        <v>4228.28</v>
      </c>
      <c r="Q149" s="37">
        <f t="array" ref="Q149">P149*(1+Scenarios!$K$10)</f>
        <v>4333.9869999999992</v>
      </c>
      <c r="R149" s="37">
        <f t="array" ref="R149">Q149*(1+Scenarios!$K$10)</f>
        <v>4442.3366749999986</v>
      </c>
      <c r="S149" s="37">
        <f t="array" ref="S149">R149*(1+Scenarios!$K$10)</f>
        <v>4553.3950918749979</v>
      </c>
      <c r="T149" s="37">
        <f t="array" ref="T149">S149*(1+Scenarios!$K$10)</f>
        <v>4667.2299691718727</v>
      </c>
      <c r="U149" s="37">
        <f t="array" ref="U149">T149*(1+Scenarios!$K$10)</f>
        <v>4783.9107184011691</v>
      </c>
      <c r="V149" s="37">
        <f t="array" ref="V149">U149*(1+Scenarios!$K$10)</f>
        <v>4903.5084863611983</v>
      </c>
      <c r="W149" s="37">
        <f t="array" ref="W149">V149*(1+Scenarios!$K$10)</f>
        <v>5026.0961985202275</v>
      </c>
      <c r="X149" s="37">
        <f t="array" ref="X149">W149*(1+Scenarios!$K$10)</f>
        <v>5151.7486034832327</v>
      </c>
      <c r="Y149" s="37">
        <f t="array" ref="Y149">X149*(1+Scenarios!$K$10)</f>
        <v>5280.542318570313</v>
      </c>
      <c r="Z149" s="37">
        <f t="array" ref="Z149">Y149*(1+Scenarios!$K$10)</f>
        <v>5412.5558765345704</v>
      </c>
      <c r="AA149" s="37">
        <f t="array" ref="AA149">Z149*(1+Scenarios!$K$10)</f>
        <v>5547.8697734479338</v>
      </c>
      <c r="AB149" s="37">
        <f t="array" ref="AB149">AA149*(1+Scenarios!$K$10)</f>
        <v>5686.566517784132</v>
      </c>
      <c r="AC149" s="37">
        <f t="array" ref="AC149">AB149*(1+Scenarios!$K$10)</f>
        <v>5828.730680728735</v>
      </c>
      <c r="AD149" s="37">
        <f t="array" ref="AD149">AC149*(1+Scenarios!$K$10)</f>
        <v>5974.4489477469533</v>
      </c>
      <c r="AE149" s="37">
        <f t="array" ref="AE149">AD149*(1+Scenarios!$K$10)</f>
        <v>6123.8101714406266</v>
      </c>
      <c r="AF149" s="37">
        <f t="array" ref="AF149">AE149*(1+Scenarios!$K$10)</f>
        <v>6276.9054257266416</v>
      </c>
      <c r="AG149" s="37">
        <f t="array" ref="AG149">AF149*(1+Scenarios!$K$10)</f>
        <v>6433.8280613698071</v>
      </c>
      <c r="AH149" s="37">
        <f t="array" ref="AH149">AG149*(1+Scenarios!$K$10)</f>
        <v>6594.6737629040517</v>
      </c>
      <c r="AI149" s="37">
        <f t="array" ref="AI149">AH149*(1+Scenarios!$K$10)</f>
        <v>6759.5406069766523</v>
      </c>
      <c r="AJ149" s="37">
        <f t="array" ref="AJ149">AI149*(1+Scenarios!$K$10)</f>
        <v>6928.5291221510679</v>
      </c>
      <c r="AK149" s="37">
        <f t="array" ref="AK149">AJ149*(1+Scenarios!$K$10)</f>
        <v>7101.7423502048441</v>
      </c>
      <c r="AL149" s="37">
        <f t="array" ref="AL149">AK149*(1+Scenarios!$K$10)</f>
        <v>7279.2859089599642</v>
      </c>
      <c r="AM149" s="37">
        <f t="array" ref="AM149">AL149*(1+Scenarios!$K$10)</f>
        <v>7461.2680566839626</v>
      </c>
      <c r="AN149" s="37">
        <f t="array" ref="AN149">AM149*(1+Scenarios!$K$10)</f>
        <v>7647.7997581010613</v>
      </c>
      <c r="AO149" s="37">
        <f t="array" ref="AO149">AN149*(1+Scenarios!$K$10)</f>
        <v>7838.994752053587</v>
      </c>
      <c r="AP149" s="37">
        <f t="array" ref="AP149">AO149*(1+Scenarios!$K$10)</f>
        <v>8034.9696208549258</v>
      </c>
      <c r="AQ149" s="37">
        <f t="array" ref="AQ149">AP149*(1+Scenarios!$K$10)</f>
        <v>8235.8438613762974</v>
      </c>
      <c r="AR149" s="37">
        <f t="array" ref="AR149">AQ149*(1+Scenarios!$K$10)</f>
        <v>8441.7399579107041</v>
      </c>
      <c r="AS149" s="37">
        <f t="array" ref="AS149">AR149*(1+Scenarios!$K$10)</f>
        <v>8652.7834568584713</v>
      </c>
      <c r="AT149" s="37">
        <f t="array" ref="AT149">AS149*(1+Scenarios!$K$10)</f>
        <v>8869.1030432799325</v>
      </c>
      <c r="AU149" s="37">
        <f t="array" ref="AU149">AT149*(1+Scenarios!$K$10)</f>
        <v>9090.8306193619301</v>
      </c>
      <c r="AV149" s="37">
        <f t="array" ref="AV149">AU149*(1+Scenarios!$K$10)</f>
        <v>9318.101384845977</v>
      </c>
      <c r="AW149" s="37">
        <f t="array" ref="AW149">AV149*(1+Scenarios!$K$10)</f>
        <v>9551.0539194671255</v>
      </c>
      <c r="AX149" s="37">
        <f t="array" ref="AX149">AW149*(1+Scenarios!$K$10)</f>
        <v>9789.8302674538027</v>
      </c>
      <c r="AY149" s="37">
        <f t="array" ref="AY149">AX149*(1+Scenarios!$K$10)</f>
        <v>10034.576024140148</v>
      </c>
      <c r="AZ149" s="37">
        <f t="array" ref="AZ149">AY149*(1+Scenarios!$K$10)</f>
        <v>10285.440424743651</v>
      </c>
    </row>
    <row r="150" spans="1:52" s="79" customFormat="1">
      <c r="A150" s="79" t="s">
        <v>318</v>
      </c>
      <c r="B150" s="90"/>
      <c r="C150" s="90">
        <v>0</v>
      </c>
      <c r="D150" s="37">
        <f>C150* (1 + Scenarios!$K$10)</f>
        <v>0</v>
      </c>
      <c r="E150" s="37">
        <f>D150* (1 + Scenarios!$K$10)</f>
        <v>0</v>
      </c>
      <c r="F150" s="37">
        <f>E150* (1 + Scenarios!$K$10)</f>
        <v>0</v>
      </c>
      <c r="G150" s="37">
        <f>F150* (1 + Scenarios!$K$10)</f>
        <v>0</v>
      </c>
      <c r="H150" s="37">
        <f>G150* (1 + Scenarios!$K$10)</f>
        <v>0</v>
      </c>
      <c r="I150" s="37">
        <f>H150* (1 + Scenarios!$K$10)</f>
        <v>0</v>
      </c>
      <c r="J150" s="37">
        <f>I150* (1 + Scenarios!$K$10)</f>
        <v>0</v>
      </c>
      <c r="K150" s="37">
        <f>J150* (1 + Scenarios!$K$10)</f>
        <v>0</v>
      </c>
      <c r="L150" s="37">
        <f>K150* (1 + Scenarios!$K$10)</f>
        <v>0</v>
      </c>
      <c r="M150" s="37">
        <f>L150* (1 + Scenarios!$K$10)</f>
        <v>0</v>
      </c>
      <c r="N150" s="37">
        <f>M150* (1 + Scenarios!$K$10)</f>
        <v>0</v>
      </c>
      <c r="O150" s="37">
        <f>N150* (1 + Scenarios!$K$10)</f>
        <v>0</v>
      </c>
      <c r="P150" s="37">
        <f>O150* (1 + Scenarios!$K$10)</f>
        <v>0</v>
      </c>
      <c r="Q150" s="37">
        <f>P150* (1 + Scenarios!$K$10)</f>
        <v>0</v>
      </c>
      <c r="R150" s="37">
        <f>Q150* (1 + Scenarios!$K$10)</f>
        <v>0</v>
      </c>
      <c r="S150" s="37">
        <f>R150* (1 + Scenarios!$K$10)</f>
        <v>0</v>
      </c>
      <c r="T150" s="37">
        <f>S150* (1 + Scenarios!$K$10)</f>
        <v>0</v>
      </c>
      <c r="U150" s="37">
        <f>T150* (1 + Scenarios!$K$10)</f>
        <v>0</v>
      </c>
      <c r="V150" s="37">
        <f>U150* (1 + Scenarios!$K$10)</f>
        <v>0</v>
      </c>
      <c r="W150" s="37">
        <f>V150* (1 + Scenarios!$K$10)</f>
        <v>0</v>
      </c>
      <c r="X150" s="37">
        <f>W150* (1 + Scenarios!$K$10)</f>
        <v>0</v>
      </c>
      <c r="Y150" s="37">
        <f>X150* (1 + Scenarios!$K$10)</f>
        <v>0</v>
      </c>
      <c r="Z150" s="37">
        <f>Y150* (1 + Scenarios!$K$10)</f>
        <v>0</v>
      </c>
      <c r="AA150" s="37">
        <f>Z150* (1 + Scenarios!$K$10)</f>
        <v>0</v>
      </c>
      <c r="AB150" s="37">
        <f>AA150* (1 + Scenarios!$K$10)</f>
        <v>0</v>
      </c>
      <c r="AC150" s="37">
        <f>AB150* (1 + Scenarios!$K$10)</f>
        <v>0</v>
      </c>
      <c r="AD150" s="37">
        <f>AC150* (1 + Scenarios!$K$10)</f>
        <v>0</v>
      </c>
      <c r="AE150" s="37">
        <f>AD150* (1 + Scenarios!$K$10)</f>
        <v>0</v>
      </c>
      <c r="AF150" s="37">
        <f>AE150* (1 + Scenarios!$K$10)</f>
        <v>0</v>
      </c>
      <c r="AG150" s="37">
        <f>AF150* (1 + Scenarios!$K$10)</f>
        <v>0</v>
      </c>
      <c r="AH150" s="37">
        <f>AG150* (1 + Scenarios!$K$10)</f>
        <v>0</v>
      </c>
      <c r="AI150" s="37">
        <f>AH150* (1 + Scenarios!$K$10)</f>
        <v>0</v>
      </c>
      <c r="AJ150" s="37">
        <f>AI150* (1 + Scenarios!$K$10)</f>
        <v>0</v>
      </c>
      <c r="AK150" s="37">
        <f>AJ150* (1 + Scenarios!$K$10)</f>
        <v>0</v>
      </c>
      <c r="AL150" s="37">
        <f>AK150* (1 + Scenarios!$K$10)</f>
        <v>0</v>
      </c>
      <c r="AM150" s="37">
        <f>AL150* (1 + Scenarios!$K$10)</f>
        <v>0</v>
      </c>
      <c r="AN150" s="37">
        <f>AM150* (1 + Scenarios!$K$10)</f>
        <v>0</v>
      </c>
      <c r="AO150" s="37">
        <f>AN150* (1 + Scenarios!$K$10)</f>
        <v>0</v>
      </c>
      <c r="AP150" s="37">
        <f>AO150* (1 + Scenarios!$K$10)</f>
        <v>0</v>
      </c>
      <c r="AQ150" s="37">
        <f>AP150* (1 + Scenarios!$K$10)</f>
        <v>0</v>
      </c>
      <c r="AR150" s="37">
        <f>AQ150* (1 + Scenarios!$K$10)</f>
        <v>0</v>
      </c>
      <c r="AS150" s="37">
        <f>AR150* (1 + Scenarios!$K$10)</f>
        <v>0</v>
      </c>
      <c r="AT150" s="37">
        <f>AS150* (1 + Scenarios!$K$10)</f>
        <v>0</v>
      </c>
      <c r="AU150" s="37">
        <f>AT150* (1 + Scenarios!$K$10)</f>
        <v>0</v>
      </c>
      <c r="AV150" s="37">
        <f>AU150* (1 + Scenarios!$K$10)</f>
        <v>0</v>
      </c>
      <c r="AW150" s="37">
        <f>AV150* (1 + Scenarios!$K$10)</f>
        <v>0</v>
      </c>
      <c r="AX150" s="37">
        <f>AW150* (1 + Scenarios!$K$10)</f>
        <v>0</v>
      </c>
      <c r="AY150" s="37">
        <f>AX150* (1 + Scenarios!$K$10)</f>
        <v>0</v>
      </c>
      <c r="AZ150" s="37">
        <f>AY150* (1 + Scenarios!$K$10)</f>
        <v>0</v>
      </c>
    </row>
    <row r="151" spans="1:52" s="79" customFormat="1">
      <c r="A151" s="78" t="s">
        <v>319</v>
      </c>
      <c r="B151" s="90"/>
      <c r="C151" s="90">
        <v>0</v>
      </c>
      <c r="D151" s="37">
        <f>C151* (1 + Scenarios!$K$10)</f>
        <v>0</v>
      </c>
      <c r="E151" s="37">
        <f>D151* (1 + Scenarios!$K$10)</f>
        <v>0</v>
      </c>
      <c r="F151" s="37">
        <f>E151* (1 + Scenarios!$K$10)</f>
        <v>0</v>
      </c>
      <c r="G151" s="37">
        <f>F151* (1 + Scenarios!$K$10)</f>
        <v>0</v>
      </c>
      <c r="H151" s="37">
        <f>G151* (1 + Scenarios!$K$10)</f>
        <v>0</v>
      </c>
      <c r="I151" s="37">
        <f>H151* (1 + Scenarios!$K$10)</f>
        <v>0</v>
      </c>
      <c r="J151" s="37">
        <f>I151* (1 + Scenarios!$K$10)</f>
        <v>0</v>
      </c>
      <c r="K151" s="37">
        <f>J151* (1 + Scenarios!$K$10)</f>
        <v>0</v>
      </c>
      <c r="L151" s="37">
        <f>K151* (1 + Scenarios!$K$10)</f>
        <v>0</v>
      </c>
      <c r="M151" s="37">
        <f>L151* (1 + Scenarios!$K$10)</f>
        <v>0</v>
      </c>
      <c r="N151" s="37">
        <f>M151* (1 + Scenarios!$K$10)</f>
        <v>0</v>
      </c>
      <c r="O151" s="37">
        <f>N151* (1 + Scenarios!$K$10)</f>
        <v>0</v>
      </c>
      <c r="P151" s="37">
        <f>O151* (1 + Scenarios!$K$10)</f>
        <v>0</v>
      </c>
      <c r="Q151" s="37">
        <f>P151* (1 + Scenarios!$K$10)</f>
        <v>0</v>
      </c>
      <c r="R151" s="37">
        <f>Q151* (1 + Scenarios!$K$10)</f>
        <v>0</v>
      </c>
      <c r="S151" s="37">
        <f>R151* (1 + Scenarios!$K$10)</f>
        <v>0</v>
      </c>
      <c r="T151" s="37">
        <f>S151* (1 + Scenarios!$K$10)</f>
        <v>0</v>
      </c>
      <c r="U151" s="37">
        <f>T151* (1 + Scenarios!$K$10)</f>
        <v>0</v>
      </c>
      <c r="V151" s="37">
        <f>U151* (1 + Scenarios!$K$10)</f>
        <v>0</v>
      </c>
      <c r="W151" s="37">
        <f>V151* (1 + Scenarios!$K$10)</f>
        <v>0</v>
      </c>
      <c r="X151" s="37">
        <f>W151* (1 + Scenarios!$K$10)</f>
        <v>0</v>
      </c>
      <c r="Y151" s="37">
        <f>X151* (1 + Scenarios!$K$10)</f>
        <v>0</v>
      </c>
      <c r="Z151" s="37">
        <f>Y151* (1 + Scenarios!$K$10)</f>
        <v>0</v>
      </c>
      <c r="AA151" s="37">
        <f>Z151* (1 + Scenarios!$K$10)</f>
        <v>0</v>
      </c>
      <c r="AB151" s="37">
        <f>AA151* (1 + Scenarios!$K$10)</f>
        <v>0</v>
      </c>
      <c r="AC151" s="37">
        <f>AB151* (1 + Scenarios!$K$10)</f>
        <v>0</v>
      </c>
      <c r="AD151" s="37">
        <f>AC151* (1 + Scenarios!$K$10)</f>
        <v>0</v>
      </c>
      <c r="AE151" s="37">
        <f>AD151* (1 + Scenarios!$K$10)</f>
        <v>0</v>
      </c>
      <c r="AF151" s="37">
        <f>AE151* (1 + Scenarios!$K$10)</f>
        <v>0</v>
      </c>
      <c r="AG151" s="37">
        <f>AF151* (1 + Scenarios!$K$10)</f>
        <v>0</v>
      </c>
      <c r="AH151" s="37">
        <f>AG151* (1 + Scenarios!$K$10)</f>
        <v>0</v>
      </c>
      <c r="AI151" s="37">
        <f>AH151* (1 + Scenarios!$K$10)</f>
        <v>0</v>
      </c>
      <c r="AJ151" s="37">
        <f>AI151* (1 + Scenarios!$K$10)</f>
        <v>0</v>
      </c>
      <c r="AK151" s="37">
        <f>AJ151* (1 + Scenarios!$K$10)</f>
        <v>0</v>
      </c>
      <c r="AL151" s="37">
        <f>AK151* (1 + Scenarios!$K$10)</f>
        <v>0</v>
      </c>
      <c r="AM151" s="37">
        <f>AL151* (1 + Scenarios!$K$10)</f>
        <v>0</v>
      </c>
      <c r="AN151" s="37">
        <f>AM151* (1 + Scenarios!$K$10)</f>
        <v>0</v>
      </c>
      <c r="AO151" s="37">
        <f>AN151* (1 + Scenarios!$K$10)</f>
        <v>0</v>
      </c>
      <c r="AP151" s="37">
        <f>AO151* (1 + Scenarios!$K$10)</f>
        <v>0</v>
      </c>
      <c r="AQ151" s="37">
        <f>AP151* (1 + Scenarios!$K$10)</f>
        <v>0</v>
      </c>
      <c r="AR151" s="37">
        <f>AQ151* (1 + Scenarios!$K$10)</f>
        <v>0</v>
      </c>
      <c r="AS151" s="37">
        <f>AR151* (1 + Scenarios!$K$10)</f>
        <v>0</v>
      </c>
      <c r="AT151" s="37">
        <f>AS151* (1 + Scenarios!$K$10)</f>
        <v>0</v>
      </c>
      <c r="AU151" s="37">
        <f>AT151* (1 + Scenarios!$K$10)</f>
        <v>0</v>
      </c>
      <c r="AV151" s="37">
        <f>AU151* (1 + Scenarios!$K$10)</f>
        <v>0</v>
      </c>
      <c r="AW151" s="37">
        <f>AV151* (1 + Scenarios!$K$10)</f>
        <v>0</v>
      </c>
      <c r="AX151" s="37">
        <f>AW151* (1 + Scenarios!$K$10)</f>
        <v>0</v>
      </c>
      <c r="AY151" s="37">
        <f>AX151* (1 + Scenarios!$K$10)</f>
        <v>0</v>
      </c>
      <c r="AZ151" s="37">
        <f>AY151* (1 + Scenarios!$K$10)</f>
        <v>0</v>
      </c>
    </row>
    <row r="152" spans="1:52" s="79" customFormat="1">
      <c r="A152" s="78" t="s">
        <v>320</v>
      </c>
      <c r="B152" s="88"/>
      <c r="C152" s="88">
        <v>700</v>
      </c>
      <c r="D152" s="37">
        <f>C152* (1 + Scenarios!$K$10)</f>
        <v>717.49999999999989</v>
      </c>
      <c r="E152" s="37">
        <f>D152* (1 + Scenarios!$K$10)</f>
        <v>735.43749999999977</v>
      </c>
      <c r="F152" s="37">
        <f>E152* (1 + Scenarios!$K$10)</f>
        <v>753.82343749999973</v>
      </c>
      <c r="G152" s="37">
        <f>F152* (1 + Scenarios!$K$10)</f>
        <v>772.66902343749962</v>
      </c>
      <c r="H152" s="37">
        <f>G152* (1 + Scenarios!$K$10)</f>
        <v>791.98574902343705</v>
      </c>
      <c r="I152" s="37">
        <f>H152* (1 + Scenarios!$K$10)</f>
        <v>811.78539274902289</v>
      </c>
      <c r="J152" s="37">
        <f>I152* (1 + Scenarios!$K$10)</f>
        <v>832.0800275677484</v>
      </c>
      <c r="K152" s="37">
        <f>J152* (1 + Scenarios!$K$10)</f>
        <v>852.88202825694202</v>
      </c>
      <c r="L152" s="37">
        <f>K152* (1 + Scenarios!$K$10)</f>
        <v>874.20407896336553</v>
      </c>
      <c r="M152" s="37">
        <f>L152* (1 + Scenarios!$K$10)</f>
        <v>896.05918093744958</v>
      </c>
      <c r="N152" s="37">
        <f>M152* (1 + Scenarios!$K$10)</f>
        <v>918.46066046088572</v>
      </c>
      <c r="O152" s="37">
        <f>N152* (1 + Scenarios!$K$10)</f>
        <v>941.42217697240778</v>
      </c>
      <c r="P152" s="37">
        <f>O152* (1 + Scenarios!$K$10)</f>
        <v>964.95773139671792</v>
      </c>
      <c r="Q152" s="37">
        <f>P152* (1 + Scenarios!$K$10)</f>
        <v>989.08167468163583</v>
      </c>
      <c r="R152" s="37">
        <f>Q152* (1 + Scenarios!$K$10)</f>
        <v>1013.8087165486767</v>
      </c>
      <c r="S152" s="37">
        <f>R152* (1 + Scenarios!$K$10)</f>
        <v>1039.1539344623934</v>
      </c>
      <c r="T152" s="37">
        <f>S152* (1 + Scenarios!$K$10)</f>
        <v>1065.1327828239532</v>
      </c>
      <c r="U152" s="37">
        <f>T152* (1 + Scenarios!$K$10)</f>
        <v>1091.7611023945519</v>
      </c>
      <c r="V152" s="37">
        <f>U152* (1 + Scenarios!$K$10)</f>
        <v>1119.0551299544156</v>
      </c>
      <c r="W152" s="37">
        <f>V152* (1 + Scenarios!$K$10)</f>
        <v>1147.031508203276</v>
      </c>
      <c r="X152" s="37">
        <f>W152* (1 + Scenarios!$K$10)</f>
        <v>1175.7072959083578</v>
      </c>
      <c r="Y152" s="37">
        <f>X152* (1 + Scenarios!$K$10)</f>
        <v>1205.0999783060665</v>
      </c>
      <c r="Z152" s="37">
        <f>Y152* (1 + Scenarios!$K$10)</f>
        <v>1235.2274777637181</v>
      </c>
      <c r="AA152" s="37">
        <f>Z152* (1 + Scenarios!$K$10)</f>
        <v>1266.1081647078108</v>
      </c>
      <c r="AB152" s="37">
        <f>AA152* (1 + Scenarios!$K$10)</f>
        <v>1297.7608688255059</v>
      </c>
      <c r="AC152" s="37">
        <f>AB152* (1 + Scenarios!$K$10)</f>
        <v>1330.2048905461434</v>
      </c>
      <c r="AD152" s="37">
        <f>AC152* (1 + Scenarios!$K$10)</f>
        <v>1363.4600128097968</v>
      </c>
      <c r="AE152" s="37">
        <f>AD152* (1 + Scenarios!$K$10)</f>
        <v>1397.5465131300416</v>
      </c>
      <c r="AF152" s="37">
        <f>AE152* (1 + Scenarios!$K$10)</f>
        <v>1432.4851759582925</v>
      </c>
      <c r="AG152" s="37">
        <f>AF152* (1 + Scenarios!$K$10)</f>
        <v>1468.2973053572498</v>
      </c>
      <c r="AH152" s="37">
        <f>AG152* (1 + Scenarios!$K$10)</f>
        <v>1505.0047379911809</v>
      </c>
      <c r="AI152" s="37">
        <f>AH152* (1 + Scenarios!$K$10)</f>
        <v>1542.6298564409603</v>
      </c>
      <c r="AJ152" s="37">
        <f>AI152* (1 + Scenarios!$K$10)</f>
        <v>1581.1956028519842</v>
      </c>
      <c r="AK152" s="37">
        <f>AJ152* (1 + Scenarios!$K$10)</f>
        <v>1620.7254929232836</v>
      </c>
      <c r="AL152" s="37">
        <f>AK152* (1 + Scenarios!$K$10)</f>
        <v>1661.2436302463655</v>
      </c>
      <c r="AM152" s="37">
        <f>AL152* (1 + Scenarios!$K$10)</f>
        <v>1702.7747210025245</v>
      </c>
      <c r="AN152" s="37">
        <f>AM152* (1 + Scenarios!$K$10)</f>
        <v>1745.3440890275874</v>
      </c>
      <c r="AO152" s="37">
        <f>AN152* (1 + Scenarios!$K$10)</f>
        <v>1788.977691253277</v>
      </c>
      <c r="AP152" s="37">
        <f>AO152* (1 + Scenarios!$K$10)</f>
        <v>1833.7021335346087</v>
      </c>
      <c r="AQ152" s="37">
        <f>AP152* (1 + Scenarios!$K$10)</f>
        <v>1879.5446868729737</v>
      </c>
      <c r="AR152" s="37">
        <f>AQ152* (1 + Scenarios!$K$10)</f>
        <v>1926.5333040447979</v>
      </c>
      <c r="AS152" s="37">
        <f>AR152* (1 + Scenarios!$K$10)</f>
        <v>1974.6966366459176</v>
      </c>
      <c r="AT152" s="37">
        <f>AS152* (1 + Scenarios!$K$10)</f>
        <v>2024.0640525620654</v>
      </c>
      <c r="AU152" s="37">
        <f>AT152* (1 + Scenarios!$K$10)</f>
        <v>2074.6656538761167</v>
      </c>
      <c r="AV152" s="37">
        <f>AU152* (1 + Scenarios!$K$10)</f>
        <v>2126.5322952230194</v>
      </c>
      <c r="AW152" s="37">
        <f>AV152* (1 + Scenarios!$K$10)</f>
        <v>2179.6956026035946</v>
      </c>
      <c r="AX152" s="37">
        <f>AW152* (1 + Scenarios!$K$10)</f>
        <v>2234.1879926686843</v>
      </c>
      <c r="AY152" s="37">
        <f>AX152* (1 + Scenarios!$K$10)</f>
        <v>2290.0426924854014</v>
      </c>
      <c r="AZ152" s="37">
        <f>AY152* (1 + Scenarios!$K$10)</f>
        <v>2347.293759797536</v>
      </c>
    </row>
    <row r="153" spans="1:52">
      <c r="A153" s="77" t="s">
        <v>321</v>
      </c>
    </row>
    <row r="154" spans="1:52" s="73" customFormat="1">
      <c r="A154" s="86" t="s">
        <v>322</v>
      </c>
      <c r="B154" s="89"/>
      <c r="C154" s="89">
        <v>6.6000000000000003E-2</v>
      </c>
      <c r="D154" s="80">
        <f t="shared" ref="D154:AI154" si="16">C154</f>
        <v>6.6000000000000003E-2</v>
      </c>
      <c r="E154" s="80">
        <f t="shared" si="16"/>
        <v>6.6000000000000003E-2</v>
      </c>
      <c r="F154" s="80">
        <f t="shared" si="16"/>
        <v>6.6000000000000003E-2</v>
      </c>
      <c r="G154" s="80">
        <f t="shared" si="16"/>
        <v>6.6000000000000003E-2</v>
      </c>
      <c r="H154" s="80">
        <f t="shared" si="16"/>
        <v>6.6000000000000003E-2</v>
      </c>
      <c r="I154" s="80">
        <f t="shared" si="16"/>
        <v>6.6000000000000003E-2</v>
      </c>
      <c r="J154" s="80">
        <f t="shared" si="16"/>
        <v>6.6000000000000003E-2</v>
      </c>
      <c r="K154" s="80">
        <f t="shared" si="16"/>
        <v>6.6000000000000003E-2</v>
      </c>
      <c r="L154" s="80">
        <f t="shared" si="16"/>
        <v>6.6000000000000003E-2</v>
      </c>
      <c r="M154" s="80">
        <f t="shared" si="16"/>
        <v>6.6000000000000003E-2</v>
      </c>
      <c r="N154" s="80">
        <f t="shared" si="16"/>
        <v>6.6000000000000003E-2</v>
      </c>
      <c r="O154" s="80">
        <f t="shared" si="16"/>
        <v>6.6000000000000003E-2</v>
      </c>
      <c r="P154" s="80">
        <f t="shared" si="16"/>
        <v>6.6000000000000003E-2</v>
      </c>
      <c r="Q154" s="80">
        <f t="shared" si="16"/>
        <v>6.6000000000000003E-2</v>
      </c>
      <c r="R154" s="80">
        <f t="shared" si="16"/>
        <v>6.6000000000000003E-2</v>
      </c>
      <c r="S154" s="80">
        <f t="shared" si="16"/>
        <v>6.6000000000000003E-2</v>
      </c>
      <c r="T154" s="80">
        <f t="shared" si="16"/>
        <v>6.6000000000000003E-2</v>
      </c>
      <c r="U154" s="80">
        <f t="shared" si="16"/>
        <v>6.6000000000000003E-2</v>
      </c>
      <c r="V154" s="80">
        <f t="shared" si="16"/>
        <v>6.6000000000000003E-2</v>
      </c>
      <c r="W154" s="80">
        <f t="shared" si="16"/>
        <v>6.6000000000000003E-2</v>
      </c>
      <c r="X154" s="80">
        <f t="shared" si="16"/>
        <v>6.6000000000000003E-2</v>
      </c>
      <c r="Y154" s="80">
        <f t="shared" si="16"/>
        <v>6.6000000000000003E-2</v>
      </c>
      <c r="Z154" s="80">
        <f t="shared" si="16"/>
        <v>6.6000000000000003E-2</v>
      </c>
      <c r="AA154" s="80">
        <f t="shared" si="16"/>
        <v>6.6000000000000003E-2</v>
      </c>
      <c r="AB154" s="80">
        <f t="shared" si="16"/>
        <v>6.6000000000000003E-2</v>
      </c>
      <c r="AC154" s="80">
        <f t="shared" si="16"/>
        <v>6.6000000000000003E-2</v>
      </c>
      <c r="AD154" s="80">
        <f t="shared" si="16"/>
        <v>6.6000000000000003E-2</v>
      </c>
      <c r="AE154" s="80">
        <f t="shared" si="16"/>
        <v>6.6000000000000003E-2</v>
      </c>
      <c r="AF154" s="80">
        <f t="shared" si="16"/>
        <v>6.6000000000000003E-2</v>
      </c>
      <c r="AG154" s="80">
        <f t="shared" si="16"/>
        <v>6.6000000000000003E-2</v>
      </c>
      <c r="AH154" s="80">
        <f t="shared" si="16"/>
        <v>6.6000000000000003E-2</v>
      </c>
      <c r="AI154" s="80">
        <f t="shared" si="16"/>
        <v>6.6000000000000003E-2</v>
      </c>
      <c r="AJ154" s="80">
        <f t="shared" ref="AJ154:AZ154" si="17">AI154</f>
        <v>6.6000000000000003E-2</v>
      </c>
      <c r="AK154" s="80">
        <f t="shared" si="17"/>
        <v>6.6000000000000003E-2</v>
      </c>
      <c r="AL154" s="80">
        <f t="shared" si="17"/>
        <v>6.6000000000000003E-2</v>
      </c>
      <c r="AM154" s="80">
        <f t="shared" si="17"/>
        <v>6.6000000000000003E-2</v>
      </c>
      <c r="AN154" s="80">
        <f t="shared" si="17"/>
        <v>6.6000000000000003E-2</v>
      </c>
      <c r="AO154" s="80">
        <f t="shared" si="17"/>
        <v>6.6000000000000003E-2</v>
      </c>
      <c r="AP154" s="80">
        <f t="shared" si="17"/>
        <v>6.6000000000000003E-2</v>
      </c>
      <c r="AQ154" s="80">
        <f t="shared" si="17"/>
        <v>6.6000000000000003E-2</v>
      </c>
      <c r="AR154" s="80">
        <f t="shared" si="17"/>
        <v>6.6000000000000003E-2</v>
      </c>
      <c r="AS154" s="80">
        <f t="shared" si="17"/>
        <v>6.6000000000000003E-2</v>
      </c>
      <c r="AT154" s="80">
        <f t="shared" si="17"/>
        <v>6.6000000000000003E-2</v>
      </c>
      <c r="AU154" s="80">
        <f t="shared" si="17"/>
        <v>6.6000000000000003E-2</v>
      </c>
      <c r="AV154" s="80">
        <f t="shared" si="17"/>
        <v>6.6000000000000003E-2</v>
      </c>
      <c r="AW154" s="80">
        <f t="shared" si="17"/>
        <v>6.6000000000000003E-2</v>
      </c>
      <c r="AX154" s="80">
        <f t="shared" si="17"/>
        <v>6.6000000000000003E-2</v>
      </c>
      <c r="AY154" s="80">
        <f t="shared" si="17"/>
        <v>6.6000000000000003E-2</v>
      </c>
      <c r="AZ154" s="80">
        <f t="shared" si="17"/>
        <v>6.6000000000000003E-2</v>
      </c>
    </row>
    <row r="155" spans="1:52" s="37" customFormat="1">
      <c r="A155" s="78" t="s">
        <v>323</v>
      </c>
      <c r="C155" s="37">
        <f t="shared" ref="C155:J155" si="18">C144*C154</f>
        <v>2814.2400000000002</v>
      </c>
      <c r="D155" s="37">
        <f t="shared" si="18"/>
        <v>2898.6672000000003</v>
      </c>
      <c r="E155" s="37">
        <f t="shared" si="18"/>
        <v>2985.6272160000003</v>
      </c>
      <c r="F155" s="37">
        <f t="shared" si="18"/>
        <v>3075.1960324800007</v>
      </c>
      <c r="G155" s="37">
        <f t="shared" si="18"/>
        <v>3167.4519134544007</v>
      </c>
      <c r="H155" s="37">
        <f t="shared" si="18"/>
        <v>3262.4754708580326</v>
      </c>
      <c r="I155" s="37">
        <f t="shared" si="18"/>
        <v>3360.3497349837735</v>
      </c>
      <c r="J155" s="37">
        <f t="shared" si="18"/>
        <v>3461.1602270332869</v>
      </c>
      <c r="K155" s="37">
        <f>'Property Expenses (Detail)'!$C$7*Property_CF!K144</f>
        <v>3564.6656736231253</v>
      </c>
      <c r="L155" s="37">
        <f>'Property Expenses (Detail)'!$C$7*Property_CF!L144</f>
        <v>3671.6056438318187</v>
      </c>
      <c r="M155" s="37">
        <f>'Property Expenses (Detail)'!$C$7*Property_CF!M144</f>
        <v>3781.7538131467736</v>
      </c>
      <c r="N155" s="37">
        <f>'Property Expenses (Detail)'!$C$7*Property_CF!N144</f>
        <v>3895.2064275411767</v>
      </c>
      <c r="O155" s="37">
        <f>'Property Expenses (Detail)'!$C$7*Property_CF!O144</f>
        <v>4012.0626203674119</v>
      </c>
      <c r="P155" s="37">
        <f>'Property Expenses (Detail)'!$C$7*Property_CF!P144</f>
        <v>4132.4244989784347</v>
      </c>
      <c r="Q155" s="37">
        <f>'Property Expenses (Detail)'!$C$7*Property_CF!Q144</f>
        <v>4256.3972339477878</v>
      </c>
      <c r="R155" s="37">
        <f>'Property Expenses (Detail)'!$C$7*Property_CF!R144</f>
        <v>4384.0891509662215</v>
      </c>
      <c r="S155" s="37">
        <f>'Property Expenses (Detail)'!$C$7*Property_CF!S144</f>
        <v>4515.6118254952089</v>
      </c>
      <c r="T155" s="37">
        <f>'Property Expenses (Detail)'!$C$7*Property_CF!T144</f>
        <v>4651.0801802600645</v>
      </c>
      <c r="U155" s="37">
        <f>'Property Expenses (Detail)'!$C$7*Property_CF!U144</f>
        <v>4790.6125856678673</v>
      </c>
      <c r="V155" s="37">
        <f>'Property Expenses (Detail)'!$C$7*Property_CF!V144</f>
        <v>4934.3309632379032</v>
      </c>
      <c r="W155" s="37">
        <f>'Property Expenses (Detail)'!$C$7*Property_CF!W144</f>
        <v>5082.3608921350396</v>
      </c>
      <c r="X155" s="37">
        <f>'Property Expenses (Detail)'!$C$7*Property_CF!X144</f>
        <v>5234.8317188990904</v>
      </c>
      <c r="Y155" s="37">
        <f>'Property Expenses (Detail)'!$C$7*Property_CF!Y144</f>
        <v>5391.8766704660629</v>
      </c>
      <c r="Z155" s="37">
        <f>'Property Expenses (Detail)'!$C$7*Property_CF!Z144</f>
        <v>5553.6329705800454</v>
      </c>
      <c r="AA155" s="37">
        <f>'Property Expenses (Detail)'!$C$7*Property_CF!AA144</f>
        <v>5720.2419596974478</v>
      </c>
      <c r="AB155" s="37">
        <f>'Property Expenses (Detail)'!$C$7*Property_CF!AB144</f>
        <v>5891.8492184883717</v>
      </c>
      <c r="AC155" s="37">
        <f>'Property Expenses (Detail)'!$C$7*Property_CF!AC144</f>
        <v>6068.6046950430227</v>
      </c>
      <c r="AD155" s="37">
        <f>'Property Expenses (Detail)'!$C$7*Property_CF!AD144</f>
        <v>6250.6628358943135</v>
      </c>
      <c r="AE155" s="37">
        <f>'Property Expenses (Detail)'!$C$7*Property_CF!AE144</f>
        <v>6438.1827209711437</v>
      </c>
      <c r="AF155" s="37">
        <f>'Property Expenses (Detail)'!$C$7*Property_CF!AF144</f>
        <v>6631.328202600278</v>
      </c>
      <c r="AG155" s="37">
        <f>'Property Expenses (Detail)'!$C$7*Property_CF!AG144</f>
        <v>6830.2680486782865</v>
      </c>
      <c r="AH155" s="37">
        <f>'Property Expenses (Detail)'!$C$7*Property_CF!AH144</f>
        <v>7035.1760901386351</v>
      </c>
      <c r="AI155" s="37">
        <f>'Property Expenses (Detail)'!$C$7*Property_CF!AI144</f>
        <v>7246.2313728427944</v>
      </c>
      <c r="AJ155" s="37">
        <f>'Property Expenses (Detail)'!$C$7*Property_CF!AJ144</f>
        <v>7463.6183140280782</v>
      </c>
      <c r="AK155" s="37">
        <f>'Property Expenses (Detail)'!$C$7*Property_CF!AK144</f>
        <v>7687.5268634489203</v>
      </c>
      <c r="AL155" s="37">
        <f>'Property Expenses (Detail)'!$C$7*Property_CF!AL144</f>
        <v>7918.1526693523883</v>
      </c>
      <c r="AM155" s="37">
        <f>'Property Expenses (Detail)'!$C$7*Property_CF!AM144</f>
        <v>8155.6972494329602</v>
      </c>
      <c r="AN155" s="37">
        <f>'Property Expenses (Detail)'!$C$7*Property_CF!AN144</f>
        <v>8400.3681669159487</v>
      </c>
      <c r="AO155" s="37">
        <f>'Property Expenses (Detail)'!$C$7*Property_CF!AO144</f>
        <v>8652.3792119234276</v>
      </c>
      <c r="AP155" s="37">
        <f>'Property Expenses (Detail)'!$C$7*Property_CF!AP144</f>
        <v>8911.9505882811318</v>
      </c>
      <c r="AQ155" s="37">
        <f>'Property Expenses (Detail)'!$C$7*Property_CF!AQ144</f>
        <v>9179.3091059295657</v>
      </c>
      <c r="AR155" s="37">
        <f>'Property Expenses (Detail)'!$C$7*Property_CF!AR144</f>
        <v>9454.6883791074524</v>
      </c>
      <c r="AS155" s="37">
        <f>'Property Expenses (Detail)'!$C$7*Property_CF!AS144</f>
        <v>9738.329030480676</v>
      </c>
      <c r="AT155" s="37">
        <f>'Property Expenses (Detail)'!$C$7*Property_CF!AT144</f>
        <v>10030.478901395096</v>
      </c>
      <c r="AU155" s="37">
        <f>'Property Expenses (Detail)'!$C$7*Property_CF!AU144</f>
        <v>10331.39326843695</v>
      </c>
      <c r="AV155" s="37">
        <f>'Property Expenses (Detail)'!$C$7*Property_CF!AV144</f>
        <v>10641.335066490057</v>
      </c>
      <c r="AW155" s="37">
        <f>'Property Expenses (Detail)'!$C$7*Property_CF!AW144</f>
        <v>10960.57511848476</v>
      </c>
      <c r="AX155" s="37">
        <f>'Property Expenses (Detail)'!$C$7*Property_CF!AX144</f>
        <v>11289.392372039301</v>
      </c>
      <c r="AY155" s="37">
        <f>'Property Expenses (Detail)'!$C$7*Property_CF!AY144</f>
        <v>11628.07414320048</v>
      </c>
      <c r="AZ155" s="37">
        <f>'Property Expenses (Detail)'!$C$7*Property_CF!AZ144</f>
        <v>11976.916367496495</v>
      </c>
    </row>
    <row r="156" spans="1:52" s="37" customFormat="1">
      <c r="A156" s="78" t="s">
        <v>324</v>
      </c>
      <c r="B156" s="88"/>
      <c r="C156" s="88"/>
      <c r="D156" s="37">
        <f>C156* (1 + Scenarios!$K$10)</f>
        <v>0</v>
      </c>
      <c r="E156" s="37">
        <f>D156* (1 + Scenarios!$K$10)</f>
        <v>0</v>
      </c>
      <c r="F156" s="37">
        <f>E156* (1 + Scenarios!$K$10)</f>
        <v>0</v>
      </c>
      <c r="G156" s="37">
        <f>F156* (1 + Scenarios!$K$10)</f>
        <v>0</v>
      </c>
      <c r="H156" s="37">
        <f>G156* (1 + Scenarios!$K$10)</f>
        <v>0</v>
      </c>
      <c r="I156" s="37">
        <f>H156* (1 + Scenarios!$K$10)</f>
        <v>0</v>
      </c>
      <c r="J156" s="37">
        <f>I156* (1 + Scenarios!$K$10)</f>
        <v>0</v>
      </c>
      <c r="K156" s="37">
        <f>J156* (1 + Scenarios!$K$10)</f>
        <v>0</v>
      </c>
      <c r="L156" s="37">
        <f>K156* (1 + Scenarios!$K$10)</f>
        <v>0</v>
      </c>
      <c r="M156" s="37">
        <f>L156* (1 + Scenarios!$K$10)</f>
        <v>0</v>
      </c>
      <c r="N156" s="37">
        <f>M156* (1 + Scenarios!$K$10)</f>
        <v>0</v>
      </c>
      <c r="O156" s="37">
        <f>N156* (1 + Scenarios!$K$10)</f>
        <v>0</v>
      </c>
      <c r="P156" s="37">
        <f>O156* (1 + Scenarios!$K$10)</f>
        <v>0</v>
      </c>
      <c r="Q156" s="37">
        <f>P156* (1 + Scenarios!$K$10)</f>
        <v>0</v>
      </c>
      <c r="R156" s="37">
        <f>Q156* (1 + Scenarios!$K$10)</f>
        <v>0</v>
      </c>
      <c r="S156" s="37">
        <f>R156* (1 + Scenarios!$K$10)</f>
        <v>0</v>
      </c>
      <c r="T156" s="37">
        <f>S156* (1 + Scenarios!$K$10)</f>
        <v>0</v>
      </c>
      <c r="U156" s="37">
        <f>T156* (1 + Scenarios!$K$10)</f>
        <v>0</v>
      </c>
      <c r="V156" s="37">
        <f>U156* (1 + Scenarios!$K$10)</f>
        <v>0</v>
      </c>
      <c r="W156" s="37">
        <f>V156* (1 + Scenarios!$K$10)</f>
        <v>0</v>
      </c>
      <c r="X156" s="37">
        <f>W156* (1 + Scenarios!$K$10)</f>
        <v>0</v>
      </c>
      <c r="Y156" s="37">
        <f>X156* (1 + Scenarios!$K$10)</f>
        <v>0</v>
      </c>
      <c r="Z156" s="37">
        <f>Y156* (1 + Scenarios!$K$10)</f>
        <v>0</v>
      </c>
      <c r="AA156" s="37">
        <f>Z156* (1 + Scenarios!$K$10)</f>
        <v>0</v>
      </c>
      <c r="AB156" s="37">
        <f>AA156* (1 + Scenarios!$K$10)</f>
        <v>0</v>
      </c>
      <c r="AC156" s="37">
        <f>AB156* (1 + Scenarios!$K$10)</f>
        <v>0</v>
      </c>
      <c r="AD156" s="37">
        <f>AC156* (1 + Scenarios!$K$10)</f>
        <v>0</v>
      </c>
      <c r="AE156" s="37">
        <f>AD156* (1 + Scenarios!$K$10)</f>
        <v>0</v>
      </c>
      <c r="AF156" s="37">
        <f>AE156* (1 + Scenarios!$K$10)</f>
        <v>0</v>
      </c>
      <c r="AG156" s="37">
        <f>AF156* (1 + Scenarios!$K$10)</f>
        <v>0</v>
      </c>
      <c r="AH156" s="37">
        <f>AG156* (1 + Scenarios!$K$10)</f>
        <v>0</v>
      </c>
      <c r="AI156" s="37">
        <f>AH156* (1 + Scenarios!$K$10)</f>
        <v>0</v>
      </c>
      <c r="AJ156" s="37">
        <f>AI156* (1 + Scenarios!$K$10)</f>
        <v>0</v>
      </c>
      <c r="AK156" s="37">
        <f>AJ156* (1 + Scenarios!$K$10)</f>
        <v>0</v>
      </c>
      <c r="AL156" s="37">
        <f>AK156* (1 + Scenarios!$K$10)</f>
        <v>0</v>
      </c>
      <c r="AM156" s="37">
        <f>AL156* (1 + Scenarios!$K$10)</f>
        <v>0</v>
      </c>
      <c r="AN156" s="37">
        <f>AM156* (1 + Scenarios!$K$10)</f>
        <v>0</v>
      </c>
      <c r="AO156" s="37">
        <f>AN156* (1 + Scenarios!$K$10)</f>
        <v>0</v>
      </c>
      <c r="AP156" s="37">
        <f>AO156* (1 + Scenarios!$K$10)</f>
        <v>0</v>
      </c>
      <c r="AQ156" s="37">
        <f>AP156* (1 + Scenarios!$K$10)</f>
        <v>0</v>
      </c>
      <c r="AR156" s="37">
        <f>AQ156* (1 + Scenarios!$K$10)</f>
        <v>0</v>
      </c>
      <c r="AS156" s="37">
        <f>AR156* (1 + Scenarios!$K$10)</f>
        <v>0</v>
      </c>
      <c r="AT156" s="37">
        <f>AS156* (1 + Scenarios!$K$10)</f>
        <v>0</v>
      </c>
      <c r="AU156" s="37">
        <f>AT156* (1 + Scenarios!$K$10)</f>
        <v>0</v>
      </c>
      <c r="AV156" s="37">
        <f>AU156* (1 + Scenarios!$K$10)</f>
        <v>0</v>
      </c>
      <c r="AW156" s="37">
        <f>AV156* (1 + Scenarios!$K$10)</f>
        <v>0</v>
      </c>
      <c r="AX156" s="37">
        <f>AW156* (1 + Scenarios!$K$10)</f>
        <v>0</v>
      </c>
      <c r="AY156" s="37">
        <f>AX156* (1 + Scenarios!$K$10)</f>
        <v>0</v>
      </c>
      <c r="AZ156" s="37">
        <f>AY156* (1 + Scenarios!$K$10)</f>
        <v>0</v>
      </c>
    </row>
    <row r="157" spans="1:52" s="37" customFormat="1">
      <c r="A157" s="78" t="s">
        <v>325</v>
      </c>
      <c r="B157" s="90"/>
      <c r="C157" s="90">
        <v>0</v>
      </c>
      <c r="D157" s="37">
        <f>C157* (1 + Scenarios!$K$10)</f>
        <v>0</v>
      </c>
      <c r="E157" s="37">
        <f>D157* (1 + Scenarios!$K$10)</f>
        <v>0</v>
      </c>
      <c r="F157" s="37">
        <f>E157* (1 + Scenarios!$K$10)</f>
        <v>0</v>
      </c>
      <c r="G157" s="37">
        <f>F157* (1 + Scenarios!$K$10)</f>
        <v>0</v>
      </c>
      <c r="H157" s="37">
        <f>G157* (1 + Scenarios!$K$10)</f>
        <v>0</v>
      </c>
      <c r="I157" s="37">
        <f>H157* (1 + Scenarios!$K$10)</f>
        <v>0</v>
      </c>
      <c r="J157" s="37">
        <f>I157* (1 + Scenarios!$K$10)</f>
        <v>0</v>
      </c>
      <c r="K157" s="37">
        <f>J157* (1 + Scenarios!$K$10)</f>
        <v>0</v>
      </c>
      <c r="L157" s="37">
        <f>K157* (1 + Scenarios!$K$10)</f>
        <v>0</v>
      </c>
      <c r="M157" s="37">
        <f>L157* (1 + Scenarios!$K$10)</f>
        <v>0</v>
      </c>
      <c r="N157" s="37">
        <f>M157* (1 + Scenarios!$K$10)</f>
        <v>0</v>
      </c>
      <c r="O157" s="37">
        <f>N157* (1 + Scenarios!$K$10)</f>
        <v>0</v>
      </c>
      <c r="P157" s="37">
        <f>O157* (1 + Scenarios!$K$10)</f>
        <v>0</v>
      </c>
      <c r="Q157" s="37">
        <f>P157* (1 + Scenarios!$K$10)</f>
        <v>0</v>
      </c>
      <c r="R157" s="37">
        <f>Q157* (1 + Scenarios!$K$10)</f>
        <v>0</v>
      </c>
      <c r="S157" s="37">
        <f>R157* (1 + Scenarios!$K$10)</f>
        <v>0</v>
      </c>
      <c r="T157" s="37">
        <f>S157* (1 + Scenarios!$K$10)</f>
        <v>0</v>
      </c>
      <c r="U157" s="37">
        <f>T157* (1 + Scenarios!$K$10)</f>
        <v>0</v>
      </c>
      <c r="V157" s="37">
        <f>U157* (1 + Scenarios!$K$10)</f>
        <v>0</v>
      </c>
      <c r="W157" s="37">
        <f>V157* (1 + Scenarios!$K$10)</f>
        <v>0</v>
      </c>
      <c r="X157" s="37">
        <f>W157* (1 + Scenarios!$K$10)</f>
        <v>0</v>
      </c>
      <c r="Y157" s="37">
        <f>X157* (1 + Scenarios!$K$10)</f>
        <v>0</v>
      </c>
      <c r="Z157" s="37">
        <f>Y157* (1 + Scenarios!$K$10)</f>
        <v>0</v>
      </c>
      <c r="AA157" s="37">
        <f>Z157* (1 + Scenarios!$K$10)</f>
        <v>0</v>
      </c>
      <c r="AB157" s="37">
        <f>AA157* (1 + Scenarios!$K$10)</f>
        <v>0</v>
      </c>
      <c r="AC157" s="37">
        <f>AB157* (1 + Scenarios!$K$10)</f>
        <v>0</v>
      </c>
      <c r="AD157" s="37">
        <f>AC157* (1 + Scenarios!$K$10)</f>
        <v>0</v>
      </c>
      <c r="AE157" s="37">
        <f>AD157* (1 + Scenarios!$K$10)</f>
        <v>0</v>
      </c>
      <c r="AF157" s="37">
        <f>AE157* (1 + Scenarios!$K$10)</f>
        <v>0</v>
      </c>
      <c r="AG157" s="37">
        <f>AF157* (1 + Scenarios!$K$10)</f>
        <v>0</v>
      </c>
      <c r="AH157" s="37">
        <f>AG157* (1 + Scenarios!$K$10)</f>
        <v>0</v>
      </c>
      <c r="AI157" s="37">
        <f>AH157* (1 + Scenarios!$K$10)</f>
        <v>0</v>
      </c>
      <c r="AJ157" s="37">
        <f>AI157* (1 + Scenarios!$K$10)</f>
        <v>0</v>
      </c>
      <c r="AK157" s="37">
        <f>AJ157* (1 + Scenarios!$K$10)</f>
        <v>0</v>
      </c>
      <c r="AL157" s="37">
        <f>AK157* (1 + Scenarios!$K$10)</f>
        <v>0</v>
      </c>
      <c r="AM157" s="37">
        <f>AL157* (1 + Scenarios!$K$10)</f>
        <v>0</v>
      </c>
      <c r="AN157" s="37">
        <f>AM157* (1 + Scenarios!$K$10)</f>
        <v>0</v>
      </c>
      <c r="AO157" s="37">
        <f>AN157* (1 + Scenarios!$K$10)</f>
        <v>0</v>
      </c>
      <c r="AP157" s="37">
        <f>AO157* (1 + Scenarios!$K$10)</f>
        <v>0</v>
      </c>
      <c r="AQ157" s="37">
        <f>AP157* (1 + Scenarios!$K$10)</f>
        <v>0</v>
      </c>
      <c r="AR157" s="37">
        <f>AQ157* (1 + Scenarios!$K$10)</f>
        <v>0</v>
      </c>
      <c r="AS157" s="37">
        <f>AR157* (1 + Scenarios!$K$10)</f>
        <v>0</v>
      </c>
      <c r="AT157" s="37">
        <f>AS157* (1 + Scenarios!$K$10)</f>
        <v>0</v>
      </c>
      <c r="AU157" s="37">
        <f>AT157* (1 + Scenarios!$K$10)</f>
        <v>0</v>
      </c>
      <c r="AV157" s="37">
        <f>AU157* (1 + Scenarios!$K$10)</f>
        <v>0</v>
      </c>
      <c r="AW157" s="37">
        <f>AV157* (1 + Scenarios!$K$10)</f>
        <v>0</v>
      </c>
      <c r="AX157" s="37">
        <f>AW157* (1 + Scenarios!$K$10)</f>
        <v>0</v>
      </c>
      <c r="AY157" s="37">
        <f>AX157* (1 + Scenarios!$K$10)</f>
        <v>0</v>
      </c>
      <c r="AZ157" s="37">
        <f>AY157* (1 + Scenarios!$K$10)</f>
        <v>0</v>
      </c>
    </row>
    <row r="158" spans="1:52" s="37" customFormat="1">
      <c r="A158" s="78" t="s">
        <v>326</v>
      </c>
      <c r="B158" s="90"/>
      <c r="C158" s="90">
        <v>0</v>
      </c>
      <c r="D158" s="37">
        <f>C158* (1 + Scenarios!$K$10)</f>
        <v>0</v>
      </c>
      <c r="E158" s="37">
        <f>D158* (1 + Scenarios!$K$10)</f>
        <v>0</v>
      </c>
      <c r="F158" s="37">
        <f>E158* (1 + Scenarios!$K$10)</f>
        <v>0</v>
      </c>
      <c r="G158" s="37">
        <f>F158* (1 + Scenarios!$K$10)</f>
        <v>0</v>
      </c>
      <c r="H158" s="37">
        <f>G158* (1 + Scenarios!$K$10)</f>
        <v>0</v>
      </c>
      <c r="I158" s="37">
        <f>H158* (1 + Scenarios!$K$10)</f>
        <v>0</v>
      </c>
      <c r="J158" s="37">
        <f>I158* (1 + Scenarios!$K$10)</f>
        <v>0</v>
      </c>
      <c r="K158" s="37">
        <f>J158* (1 + Scenarios!$K$10)</f>
        <v>0</v>
      </c>
      <c r="L158" s="37">
        <f>K158* (1 + Scenarios!$K$10)</f>
        <v>0</v>
      </c>
      <c r="M158" s="37">
        <f>L158* (1 + Scenarios!$K$10)</f>
        <v>0</v>
      </c>
      <c r="N158" s="37">
        <f>M158* (1 + Scenarios!$K$10)</f>
        <v>0</v>
      </c>
      <c r="O158" s="37">
        <f>N158* (1 + Scenarios!$K$10)</f>
        <v>0</v>
      </c>
      <c r="P158" s="37">
        <f>O158* (1 + Scenarios!$K$10)</f>
        <v>0</v>
      </c>
      <c r="Q158" s="37">
        <f>P158* (1 + Scenarios!$K$10)</f>
        <v>0</v>
      </c>
      <c r="R158" s="37">
        <f>Q158* (1 + Scenarios!$K$10)</f>
        <v>0</v>
      </c>
      <c r="S158" s="37">
        <f>R158* (1 + Scenarios!$K$10)</f>
        <v>0</v>
      </c>
      <c r="T158" s="37">
        <f>S158* (1 + Scenarios!$K$10)</f>
        <v>0</v>
      </c>
      <c r="U158" s="37">
        <f>T158* (1 + Scenarios!$K$10)</f>
        <v>0</v>
      </c>
      <c r="V158" s="37">
        <f>U158* (1 + Scenarios!$K$10)</f>
        <v>0</v>
      </c>
      <c r="W158" s="37">
        <f>V158* (1 + Scenarios!$K$10)</f>
        <v>0</v>
      </c>
      <c r="X158" s="37">
        <f>W158* (1 + Scenarios!$K$10)</f>
        <v>0</v>
      </c>
      <c r="Y158" s="37">
        <f>X158* (1 + Scenarios!$K$10)</f>
        <v>0</v>
      </c>
      <c r="Z158" s="37">
        <f>Y158* (1 + Scenarios!$K$10)</f>
        <v>0</v>
      </c>
      <c r="AA158" s="37">
        <f>Z158* (1 + Scenarios!$K$10)</f>
        <v>0</v>
      </c>
      <c r="AB158" s="37">
        <f>AA158* (1 + Scenarios!$K$10)</f>
        <v>0</v>
      </c>
      <c r="AC158" s="37">
        <f>AB158* (1 + Scenarios!$K$10)</f>
        <v>0</v>
      </c>
      <c r="AD158" s="37">
        <f>AC158* (1 + Scenarios!$K$10)</f>
        <v>0</v>
      </c>
      <c r="AE158" s="37">
        <f>AD158* (1 + Scenarios!$K$10)</f>
        <v>0</v>
      </c>
      <c r="AF158" s="37">
        <f>AE158* (1 + Scenarios!$K$10)</f>
        <v>0</v>
      </c>
      <c r="AG158" s="37">
        <f>AF158* (1 + Scenarios!$K$10)</f>
        <v>0</v>
      </c>
      <c r="AH158" s="37">
        <f>AG158* (1 + Scenarios!$K$10)</f>
        <v>0</v>
      </c>
      <c r="AI158" s="37">
        <f>AH158* (1 + Scenarios!$K$10)</f>
        <v>0</v>
      </c>
      <c r="AJ158" s="37">
        <f>AI158* (1 + Scenarios!$K$10)</f>
        <v>0</v>
      </c>
      <c r="AK158" s="37">
        <f>AJ158* (1 + Scenarios!$K$10)</f>
        <v>0</v>
      </c>
      <c r="AL158" s="37">
        <f>AK158* (1 + Scenarios!$K$10)</f>
        <v>0</v>
      </c>
      <c r="AM158" s="37">
        <f>AL158* (1 + Scenarios!$K$10)</f>
        <v>0</v>
      </c>
      <c r="AN158" s="37">
        <f>AM158* (1 + Scenarios!$K$10)</f>
        <v>0</v>
      </c>
      <c r="AO158" s="37">
        <f>AN158* (1 + Scenarios!$K$10)</f>
        <v>0</v>
      </c>
      <c r="AP158" s="37">
        <f>AO158* (1 + Scenarios!$K$10)</f>
        <v>0</v>
      </c>
      <c r="AQ158" s="37">
        <f>AP158* (1 + Scenarios!$K$10)</f>
        <v>0</v>
      </c>
      <c r="AR158" s="37">
        <f>AQ158* (1 + Scenarios!$K$10)</f>
        <v>0</v>
      </c>
      <c r="AS158" s="37">
        <f>AR158* (1 + Scenarios!$K$10)</f>
        <v>0</v>
      </c>
      <c r="AT158" s="37">
        <f>AS158* (1 + Scenarios!$K$10)</f>
        <v>0</v>
      </c>
      <c r="AU158" s="37">
        <f>AT158* (1 + Scenarios!$K$10)</f>
        <v>0</v>
      </c>
      <c r="AV158" s="37">
        <f>AU158* (1 + Scenarios!$K$10)</f>
        <v>0</v>
      </c>
      <c r="AW158" s="37">
        <f>AV158* (1 + Scenarios!$K$10)</f>
        <v>0</v>
      </c>
      <c r="AX158" s="37">
        <f>AW158* (1 + Scenarios!$K$10)</f>
        <v>0</v>
      </c>
      <c r="AY158" s="37">
        <f>AX158* (1 + Scenarios!$K$10)</f>
        <v>0</v>
      </c>
      <c r="AZ158" s="37">
        <f>AY158* (1 + Scenarios!$K$10)</f>
        <v>0</v>
      </c>
    </row>
    <row r="159" spans="1:52" s="37" customFormat="1">
      <c r="A159" s="78" t="s">
        <v>327</v>
      </c>
      <c r="B159" s="90"/>
      <c r="C159" s="90">
        <v>0</v>
      </c>
      <c r="D159" s="37">
        <f>C159* (1 + Scenarios!$K$10)</f>
        <v>0</v>
      </c>
      <c r="E159" s="37">
        <f>D159* (1 + Scenarios!$K$10)</f>
        <v>0</v>
      </c>
      <c r="F159" s="37">
        <f>E159* (1 + Scenarios!$K$10)</f>
        <v>0</v>
      </c>
      <c r="G159" s="37">
        <f>F159* (1 + Scenarios!$K$10)</f>
        <v>0</v>
      </c>
      <c r="H159" s="37">
        <f>G159* (1 + Scenarios!$K$10)</f>
        <v>0</v>
      </c>
      <c r="I159" s="37">
        <f>H159* (1 + Scenarios!$K$10)</f>
        <v>0</v>
      </c>
      <c r="J159" s="37">
        <f>I159* (1 + Scenarios!$K$10)</f>
        <v>0</v>
      </c>
      <c r="K159" s="37">
        <f>J159* (1 + Scenarios!$K$10)</f>
        <v>0</v>
      </c>
      <c r="L159" s="37">
        <f>K159* (1 + Scenarios!$K$10)</f>
        <v>0</v>
      </c>
      <c r="M159" s="37">
        <f>L159* (1 + Scenarios!$K$10)</f>
        <v>0</v>
      </c>
      <c r="N159" s="37">
        <f>M159* (1 + Scenarios!$K$10)</f>
        <v>0</v>
      </c>
      <c r="O159" s="37">
        <f>N159* (1 + Scenarios!$K$10)</f>
        <v>0</v>
      </c>
      <c r="P159" s="37">
        <f>O159* (1 + Scenarios!$K$10)</f>
        <v>0</v>
      </c>
      <c r="Q159" s="37">
        <f>P159* (1 + Scenarios!$K$10)</f>
        <v>0</v>
      </c>
      <c r="R159" s="37">
        <f>Q159* (1 + Scenarios!$K$10)</f>
        <v>0</v>
      </c>
      <c r="S159" s="37">
        <f>R159* (1 + Scenarios!$K$10)</f>
        <v>0</v>
      </c>
      <c r="T159" s="37">
        <f>S159* (1 + Scenarios!$K$10)</f>
        <v>0</v>
      </c>
      <c r="U159" s="37">
        <f>T159* (1 + Scenarios!$K$10)</f>
        <v>0</v>
      </c>
      <c r="V159" s="37">
        <f>U159* (1 + Scenarios!$K$10)</f>
        <v>0</v>
      </c>
      <c r="W159" s="37">
        <f>V159* (1 + Scenarios!$K$10)</f>
        <v>0</v>
      </c>
      <c r="X159" s="37">
        <f>W159* (1 + Scenarios!$K$10)</f>
        <v>0</v>
      </c>
      <c r="Y159" s="37">
        <f>X159* (1 + Scenarios!$K$10)</f>
        <v>0</v>
      </c>
      <c r="Z159" s="37">
        <f>Y159* (1 + Scenarios!$K$10)</f>
        <v>0</v>
      </c>
      <c r="AA159" s="37">
        <f>Z159* (1 + Scenarios!$K$10)</f>
        <v>0</v>
      </c>
      <c r="AB159" s="37">
        <f>AA159* (1 + Scenarios!$K$10)</f>
        <v>0</v>
      </c>
      <c r="AC159" s="37">
        <f>AB159* (1 + Scenarios!$K$10)</f>
        <v>0</v>
      </c>
      <c r="AD159" s="37">
        <f>AC159* (1 + Scenarios!$K$10)</f>
        <v>0</v>
      </c>
      <c r="AE159" s="37">
        <f>AD159* (1 + Scenarios!$K$10)</f>
        <v>0</v>
      </c>
      <c r="AF159" s="37">
        <f>AE159* (1 + Scenarios!$K$10)</f>
        <v>0</v>
      </c>
      <c r="AG159" s="37">
        <f>AF159* (1 + Scenarios!$K$10)</f>
        <v>0</v>
      </c>
      <c r="AH159" s="37">
        <f>AG159* (1 + Scenarios!$K$10)</f>
        <v>0</v>
      </c>
      <c r="AI159" s="37">
        <f>AH159* (1 + Scenarios!$K$10)</f>
        <v>0</v>
      </c>
      <c r="AJ159" s="37">
        <f>AI159* (1 + Scenarios!$K$10)</f>
        <v>0</v>
      </c>
      <c r="AK159" s="37">
        <f>AJ159* (1 + Scenarios!$K$10)</f>
        <v>0</v>
      </c>
      <c r="AL159" s="37">
        <f>AK159* (1 + Scenarios!$K$10)</f>
        <v>0</v>
      </c>
      <c r="AM159" s="37">
        <f>AL159* (1 + Scenarios!$K$10)</f>
        <v>0</v>
      </c>
      <c r="AN159" s="37">
        <f>AM159* (1 + Scenarios!$K$10)</f>
        <v>0</v>
      </c>
      <c r="AO159" s="37">
        <f>AN159* (1 + Scenarios!$K$10)</f>
        <v>0</v>
      </c>
      <c r="AP159" s="37">
        <f>AO159* (1 + Scenarios!$K$10)</f>
        <v>0</v>
      </c>
      <c r="AQ159" s="37">
        <f>AP159* (1 + Scenarios!$K$10)</f>
        <v>0</v>
      </c>
      <c r="AR159" s="37">
        <f>AQ159* (1 + Scenarios!$K$10)</f>
        <v>0</v>
      </c>
      <c r="AS159" s="37">
        <f>AR159* (1 + Scenarios!$K$10)</f>
        <v>0</v>
      </c>
      <c r="AT159" s="37">
        <f>AS159* (1 + Scenarios!$K$10)</f>
        <v>0</v>
      </c>
      <c r="AU159" s="37">
        <f>AT159* (1 + Scenarios!$K$10)</f>
        <v>0</v>
      </c>
      <c r="AV159" s="37">
        <f>AU159* (1 + Scenarios!$K$10)</f>
        <v>0</v>
      </c>
      <c r="AW159" s="37">
        <f>AV159* (1 + Scenarios!$K$10)</f>
        <v>0</v>
      </c>
      <c r="AX159" s="37">
        <f>AW159* (1 + Scenarios!$K$10)</f>
        <v>0</v>
      </c>
      <c r="AY159" s="37">
        <f>AX159* (1 + Scenarios!$K$10)</f>
        <v>0</v>
      </c>
      <c r="AZ159" s="37">
        <f>AY159* (1 + Scenarios!$K$10)</f>
        <v>0</v>
      </c>
    </row>
    <row r="160" spans="1:52" s="37" customFormat="1">
      <c r="A160" s="77" t="s">
        <v>328</v>
      </c>
    </row>
    <row r="161" spans="1:52" s="37" customFormat="1">
      <c r="A161" s="78" t="s">
        <v>329</v>
      </c>
      <c r="C161" s="37">
        <f>Loan_IO_to_PI!N195</f>
        <v>0</v>
      </c>
      <c r="D161" s="37">
        <f>Loan_IO_to_PI!O195</f>
        <v>0</v>
      </c>
      <c r="E161" s="37">
        <f>Loan_IO_to_PI!P195</f>
        <v>0</v>
      </c>
      <c r="F161" s="37">
        <f>Loan_IO_to_PI!Q195</f>
        <v>0</v>
      </c>
      <c r="G161" s="37">
        <f>Loan_IO_to_PI!R195</f>
        <v>0</v>
      </c>
      <c r="H161" s="37">
        <f>Loan_IO_to_PI!S195</f>
        <v>0</v>
      </c>
      <c r="I161" s="37">
        <f>Loan_IO_to_PI!T195</f>
        <v>0</v>
      </c>
      <c r="J161" s="37">
        <f>Loan_IO_to_PI!U195</f>
        <v>0</v>
      </c>
      <c r="K161" s="37">
        <f>Loan_IO_to_PI!V195</f>
        <v>0</v>
      </c>
      <c r="L161" s="37">
        <f>Loan_IO_to_PI!W195</f>
        <v>0</v>
      </c>
      <c r="M161" s="37">
        <f>Loan_IO_to_PI!X195</f>
        <v>0</v>
      </c>
      <c r="N161" s="37">
        <f>Loan_IO_to_PI!Y195</f>
        <v>0</v>
      </c>
      <c r="O161" s="37">
        <f>Loan_IO_to_PI!Z195</f>
        <v>0</v>
      </c>
      <c r="P161" s="37">
        <f>Loan_IO_to_PI!AA195</f>
        <v>0</v>
      </c>
      <c r="Q161" s="37">
        <f>Loan_IO_to_PI!AB195</f>
        <v>0</v>
      </c>
      <c r="R161" s="37">
        <f>Loan_IO_to_PI!AC195</f>
        <v>0</v>
      </c>
      <c r="S161" s="37">
        <f>Loan_IO_to_PI!AD195</f>
        <v>0</v>
      </c>
      <c r="T161" s="37">
        <f>Loan_IO_to_PI!AE195</f>
        <v>0</v>
      </c>
      <c r="U161" s="37">
        <f>Loan_IO_to_PI!AF195</f>
        <v>0</v>
      </c>
      <c r="V161" s="37">
        <f>Loan_IO_to_PI!AG195</f>
        <v>0</v>
      </c>
      <c r="W161" s="37">
        <f>Loan_IO_to_PI!AH195</f>
        <v>0</v>
      </c>
      <c r="X161" s="37">
        <f>Loan_IO_to_PI!AI195</f>
        <v>0</v>
      </c>
      <c r="Y161" s="37">
        <f>Loan_IO_to_PI!AJ195</f>
        <v>0</v>
      </c>
      <c r="Z161" s="37">
        <f>Loan_IO_to_PI!AK195</f>
        <v>0</v>
      </c>
      <c r="AA161" s="37">
        <f>Loan_IO_to_PI!AL195</f>
        <v>0</v>
      </c>
      <c r="AB161" s="37">
        <f>Loan_IO_to_PI!AM195</f>
        <v>0</v>
      </c>
      <c r="AC161" s="37">
        <f>Loan_IO_to_PI!AN195</f>
        <v>0</v>
      </c>
      <c r="AD161" s="37">
        <f>Loan_IO_to_PI!AO195</f>
        <v>0</v>
      </c>
      <c r="AE161" s="37">
        <f>Loan_IO_to_PI!AP195</f>
        <v>0</v>
      </c>
      <c r="AF161" s="37">
        <f>Loan_IO_to_PI!AQ195</f>
        <v>0</v>
      </c>
      <c r="AG161" s="37">
        <f>Loan_IO_to_PI!AR195</f>
        <v>0</v>
      </c>
      <c r="AH161" s="37">
        <f>Loan_IO_to_PI!AS195</f>
        <v>0</v>
      </c>
      <c r="AI161" s="37">
        <f>Loan_IO_to_PI!AT195</f>
        <v>0</v>
      </c>
      <c r="AJ161" s="37">
        <f>Loan_IO_to_PI!AU195</f>
        <v>0</v>
      </c>
      <c r="AK161" s="37">
        <f>Loan_IO_to_PI!AV195</f>
        <v>0</v>
      </c>
      <c r="AL161" s="37">
        <f>Loan_IO_to_PI!AW195</f>
        <v>0</v>
      </c>
      <c r="AM161" s="37">
        <f>Loan_IO_to_PI!AX195</f>
        <v>0</v>
      </c>
      <c r="AN161" s="37">
        <f>Loan_IO_to_PI!AY195</f>
        <v>0</v>
      </c>
      <c r="AO161" s="37">
        <f>Loan_IO_to_PI!AZ195</f>
        <v>0</v>
      </c>
      <c r="AP161" s="37">
        <f>Loan_IO_to_PI!BA195</f>
        <v>0</v>
      </c>
      <c r="AQ161" s="37">
        <f>Loan_IO_to_PI!BB195</f>
        <v>0</v>
      </c>
      <c r="AR161" s="37">
        <f>Loan_IO_to_PI!BC195</f>
        <v>0</v>
      </c>
      <c r="AS161" s="37">
        <f>Loan_IO_to_PI!BD195</f>
        <v>0</v>
      </c>
      <c r="AT161" s="37">
        <f>Loan_IO_to_PI!BE195</f>
        <v>0</v>
      </c>
      <c r="AU161" s="37">
        <f>Loan_IO_to_PI!BF195</f>
        <v>0</v>
      </c>
      <c r="AV161" s="37">
        <f>Loan_IO_to_PI!BG195</f>
        <v>0</v>
      </c>
      <c r="AW161" s="37">
        <f>Loan_IO_to_PI!BH195</f>
        <v>0</v>
      </c>
      <c r="AX161" s="37">
        <f>Loan_IO_to_PI!BI195</f>
        <v>0</v>
      </c>
      <c r="AY161" s="37">
        <f>Loan_IO_to_PI!BJ195</f>
        <v>0</v>
      </c>
      <c r="AZ161" s="37">
        <f>Loan_IO_to_PI!BK195</f>
        <v>0</v>
      </c>
    </row>
    <row r="162" spans="1:52" s="37" customFormat="1">
      <c r="A162" s="78" t="s">
        <v>330</v>
      </c>
      <c r="C162" s="37">
        <f>Loan_IO_to_PI!C92</f>
        <v>0</v>
      </c>
      <c r="D162" s="37">
        <f>Loan_IO_to_PI!D92</f>
        <v>0</v>
      </c>
      <c r="E162" s="37">
        <f>Loan_IO_to_PI!E92</f>
        <v>0</v>
      </c>
      <c r="F162" s="37">
        <f>Loan_IO_to_PI!F92</f>
        <v>0</v>
      </c>
      <c r="G162" s="37">
        <f>Loan_IO_to_PI!G92</f>
        <v>0</v>
      </c>
      <c r="H162" s="37">
        <f>Loan_IO_to_PI!H92</f>
        <v>0</v>
      </c>
      <c r="I162" s="37">
        <f>Loan_IO_to_PI!I92</f>
        <v>0</v>
      </c>
      <c r="J162" s="37">
        <f>Loan_IO_to_PI!J92</f>
        <v>0</v>
      </c>
      <c r="K162" s="37">
        <f>Loan_IO_to_PI!K92</f>
        <v>0</v>
      </c>
      <c r="L162" s="37">
        <f>Loan_IO_to_PI!L92</f>
        <v>0</v>
      </c>
      <c r="M162" s="37">
        <f>Loan_IO_to_PI!M92</f>
        <v>0</v>
      </c>
      <c r="N162" s="37">
        <f>Loan_IO_to_PI!N92</f>
        <v>0</v>
      </c>
      <c r="O162" s="37">
        <f>Loan_IO_to_PI!O92</f>
        <v>0</v>
      </c>
      <c r="P162" s="37">
        <f>Loan_IO_to_PI!P92</f>
        <v>0</v>
      </c>
      <c r="Q162" s="37">
        <f>Loan_IO_to_PI!Q92</f>
        <v>0</v>
      </c>
      <c r="R162" s="37">
        <f>Loan_IO_to_PI!R92</f>
        <v>52077.610933130971</v>
      </c>
      <c r="S162" s="37">
        <f>Loan_IO_to_PI!S92</f>
        <v>54579.207725970569</v>
      </c>
      <c r="T162" s="37">
        <f>Loan_IO_to_PI!T92</f>
        <v>57214.107634820473</v>
      </c>
      <c r="U162" s="37">
        <f>Loan_IO_to_PI!U92</f>
        <v>59988.432219515351</v>
      </c>
      <c r="V162" s="37">
        <f>Loan_IO_to_PI!V92</f>
        <v>62908.07089918245</v>
      </c>
      <c r="W162" s="37">
        <f>Loan_IO_to_PI!W92</f>
        <v>65978.215452070552</v>
      </c>
      <c r="X162" s="37">
        <f>Loan_IO_to_PI!X92</f>
        <v>69202.302625539611</v>
      </c>
      <c r="Y162" s="37">
        <f>Loan_IO_to_PI!Y92</f>
        <v>72579.199013081641</v>
      </c>
      <c r="Z162" s="37">
        <f>Loan_IO_to_PI!Z92</f>
        <v>76093.430217661837</v>
      </c>
      <c r="AA162" s="37">
        <f>Loan_IO_to_PI!AA92</f>
        <v>79657.251260503152</v>
      </c>
      <c r="AB162" s="37">
        <f>Loan_IO_to_PI!AB92</f>
        <v>0</v>
      </c>
      <c r="AC162" s="37">
        <f>Loan_IO_to_PI!AC92</f>
        <v>0</v>
      </c>
      <c r="AD162" s="37">
        <f>Loan_IO_to_PI!AD92</f>
        <v>0</v>
      </c>
      <c r="AE162" s="37">
        <f>Loan_IO_to_PI!AE92</f>
        <v>0</v>
      </c>
      <c r="AF162" s="37">
        <f>Loan_IO_to_PI!AF92</f>
        <v>0</v>
      </c>
      <c r="AG162" s="37">
        <f>Loan_IO_to_PI!AG92</f>
        <v>0</v>
      </c>
      <c r="AH162" s="37">
        <f>Loan_IO_to_PI!AH92</f>
        <v>0</v>
      </c>
      <c r="AI162" s="37">
        <f>Loan_IO_to_PI!AI92</f>
        <v>0</v>
      </c>
      <c r="AJ162" s="37">
        <f>Loan_IO_to_PI!AJ92</f>
        <v>0</v>
      </c>
      <c r="AK162" s="37">
        <f>Loan_IO_to_PI!AK92</f>
        <v>0</v>
      </c>
      <c r="AL162" s="37">
        <f>Loan_IO_to_PI!AL92</f>
        <v>0</v>
      </c>
      <c r="AM162" s="37">
        <f>Loan_IO_to_PI!AM92</f>
        <v>0</v>
      </c>
      <c r="AN162" s="37">
        <f>Loan_IO_to_PI!AN92</f>
        <v>0</v>
      </c>
      <c r="AO162" s="37">
        <f>Loan_IO_to_PI!AO92</f>
        <v>0</v>
      </c>
      <c r="AP162" s="37">
        <f>Loan_IO_to_PI!AP92</f>
        <v>0</v>
      </c>
      <c r="AQ162" s="37">
        <f>Loan_IO_to_PI!AQ92</f>
        <v>0</v>
      </c>
      <c r="AR162" s="37">
        <f>Loan_IO_to_PI!AR92</f>
        <v>0</v>
      </c>
      <c r="AS162" s="37">
        <f>Loan_IO_to_PI!AS92</f>
        <v>0</v>
      </c>
      <c r="AT162" s="37">
        <f>Loan_IO_to_PI!AT92</f>
        <v>0</v>
      </c>
      <c r="AU162" s="37">
        <f>Loan_IO_to_PI!AU92</f>
        <v>0</v>
      </c>
      <c r="AV162" s="37">
        <f>Loan_IO_to_PI!AV92</f>
        <v>0</v>
      </c>
      <c r="AW162" s="37">
        <f>Loan_IO_to_PI!AW92</f>
        <v>0</v>
      </c>
      <c r="AX162" s="37">
        <f>Loan_IO_to_PI!AX92</f>
        <v>0</v>
      </c>
      <c r="AY162" s="37">
        <f>Loan_IO_to_PI!AY92</f>
        <v>0</v>
      </c>
      <c r="AZ162" s="37">
        <f>Loan_IO_to_PI!AZ92</f>
        <v>0</v>
      </c>
    </row>
    <row r="163" spans="1:52" s="37" customFormat="1">
      <c r="A163" s="78" t="s">
        <v>331</v>
      </c>
      <c r="B163" s="88"/>
      <c r="C163" s="88">
        <f>IF(
  AND(
    Loan_IO_to_PI!N$24="P&amp;I",
    Loan_IO_to_PI!M$24="IO",
    Loan_IO_to_PI!N$28&gt;0
  ),
  Loan_IO_to_PI!$B$8,
  0
)</f>
        <v>0</v>
      </c>
      <c r="D163" s="37">
        <f>IF(
  AND(
    Loan_IO_to_PI!O$24="P&amp;I",
    Loan_IO_to_PI!N$24="IO",
    Loan_IO_to_PI!O$28&gt;0
  ),
  Loan_IO_to_PI!$B$8,
  0
)</f>
        <v>0</v>
      </c>
      <c r="E163" s="37">
        <f>IF(
  AND(
    Loan_IO_to_PI!P$24="P&amp;I",
    Loan_IO_to_PI!O$24="IO",
    Loan_IO_to_PI!P$28&gt;0
  ),
  Loan_IO_to_PI!$B$8,
  0
)</f>
        <v>0</v>
      </c>
      <c r="F163" s="37">
        <f>IF(
  AND(
    Loan_IO_to_PI!Q$24="P&amp;I",
    Loan_IO_to_PI!P$24="IO",
    Loan_IO_to_PI!Q$28&gt;0
  ),
  Loan_IO_to_PI!$B$8,
  0
)</f>
        <v>0</v>
      </c>
      <c r="G163" s="37">
        <f>IF(
  AND(
    Loan_IO_to_PI!R$24="P&amp;I",
    Loan_IO_to_PI!Q$24="IO",
    Loan_IO_to_PI!R$28&gt;0
  ),
  Loan_IO_to_PI!$B$8,
  0
)</f>
        <v>650</v>
      </c>
      <c r="H163" s="37">
        <f>IF(
  AND(
    Loan_IO_to_PI!S$24="P&amp;I",
    Loan_IO_to_PI!R$24="IO",
    Loan_IO_to_PI!S$28&gt;0
  ),
  Loan_IO_to_PI!$B$8,
  0
)</f>
        <v>0</v>
      </c>
      <c r="I163" s="37">
        <f>IF(
  AND(
    Loan_IO_to_PI!T$24="P&amp;I",
    Loan_IO_to_PI!S$24="IO",
    Loan_IO_to_PI!T$28&gt;0
  ),
  Loan_IO_to_PI!$B$8,
  0
)</f>
        <v>0</v>
      </c>
      <c r="J163" s="37">
        <f>IF(
  AND(
    Loan_IO_to_PI!U$24="P&amp;I",
    Loan_IO_to_PI!T$24="IO",
    Loan_IO_to_PI!U$28&gt;0
  ),
  Loan_IO_to_PI!$B$8,
  0
)</f>
        <v>0</v>
      </c>
      <c r="K163" s="37">
        <f>IF(
  AND(
    Loan_IO_to_PI!V$24="P&amp;I",
    Loan_IO_to_PI!U$24="IO",
    Loan_IO_to_PI!V$28&gt;0
  ),
  Loan_IO_to_PI!$B$8,
  0
)</f>
        <v>0</v>
      </c>
      <c r="L163" s="37">
        <f>IF(
  AND(
    Loan_IO_to_PI!W$24="P&amp;I",
    Loan_IO_to_PI!V$24="IO",
    Loan_IO_to_PI!W$28&gt;0
  ),
  Loan_IO_to_PI!$B$8,
  0
)</f>
        <v>0</v>
      </c>
      <c r="M163" s="37">
        <f>IF(
  AND(
    Loan_IO_to_PI!X$24="P&amp;I",
    Loan_IO_to_PI!W$24="IO",
    Loan_IO_to_PI!X$28&gt;0
  ),
  Loan_IO_to_PI!$B$8,
  0
)</f>
        <v>0</v>
      </c>
      <c r="N163" s="37">
        <f>IF(
  AND(
    Loan_IO_to_PI!Y$24="P&amp;I",
    Loan_IO_to_PI!X$24="IO",
    Loan_IO_to_PI!Y$28&gt;0
  ),
  Loan_IO_to_PI!$B$8,
  0
)</f>
        <v>0</v>
      </c>
      <c r="O163" s="37">
        <f>IF(
  AND(
    Loan_IO_to_PI!Z$24="P&amp;I",
    Loan_IO_to_PI!Y$24="IO",
    Loan_IO_to_PI!Z$28&gt;0
  ),
  Loan_IO_to_PI!$B$8,
  0
)</f>
        <v>0</v>
      </c>
      <c r="P163" s="37">
        <f>IF(
  AND(
    Loan_IO_to_PI!AA$24="P&amp;I",
    Loan_IO_to_PI!Z$24="IO",
    Loan_IO_to_PI!AA$28&gt;0
  ),
  Loan_IO_to_PI!$B$8,
  0
)</f>
        <v>0</v>
      </c>
      <c r="Q163" s="37">
        <f>IF(
  AND(
    Loan_IO_to_PI!AB$24="P&amp;I",
    Loan_IO_to_PI!AA$24="IO",
    Loan_IO_to_PI!AB$28&gt;0
  ),
  Loan_IO_to_PI!$B$8,
  0
)</f>
        <v>0</v>
      </c>
      <c r="R163" s="37">
        <f>IF(
  AND(
    Loan_IO_to_PI!AC$24="P&amp;I",
    Loan_IO_to_PI!AB$24="IO",
    Loan_IO_to_PI!AC$28&gt;0
  ),
  Loan_IO_to_PI!$B$8,
  0
)</f>
        <v>0</v>
      </c>
      <c r="S163" s="37">
        <f>IF(
  AND(
    Loan_IO_to_PI!AD$24="P&amp;I",
    Loan_IO_to_PI!AC$24="IO",
    Loan_IO_to_PI!AD$28&gt;0
  ),
  Loan_IO_to_PI!$B$8,
  0
)</f>
        <v>0</v>
      </c>
      <c r="T163" s="37">
        <f>IF(
  AND(
    Loan_IO_to_PI!AE$24="P&amp;I",
    Loan_IO_to_PI!AD$24="IO",
    Loan_IO_to_PI!AE$28&gt;0
  ),
  Loan_IO_to_PI!$B$8,
  0
)</f>
        <v>0</v>
      </c>
      <c r="U163" s="37">
        <f>IF(
  AND(
    Loan_IO_to_PI!AF$24="P&amp;I",
    Loan_IO_to_PI!AE$24="IO",
    Loan_IO_to_PI!AF$28&gt;0
  ),
  Loan_IO_to_PI!$B$8,
  0
)</f>
        <v>0</v>
      </c>
      <c r="V163" s="37">
        <f>IF(
  AND(
    Loan_IO_to_PI!AG$24="P&amp;I",
    Loan_IO_to_PI!AF$24="IO",
    Loan_IO_to_PI!AG$28&gt;0
  ),
  Loan_IO_to_PI!$B$8,
  0
)</f>
        <v>0</v>
      </c>
      <c r="W163" s="37">
        <f>IF(
  AND(
    Loan_IO_to_PI!AH$24="P&amp;I",
    Loan_IO_to_PI!AG$24="IO",
    Loan_IO_to_PI!AH$28&gt;0
  ),
  Loan_IO_to_PI!$B$8,
  0
)</f>
        <v>0</v>
      </c>
      <c r="X163" s="37">
        <f>IF(
  AND(
    Loan_IO_to_PI!AI$24="P&amp;I",
    Loan_IO_to_PI!AH$24="IO",
    Loan_IO_to_PI!AI$28&gt;0
  ),
  Loan_IO_to_PI!$B$8,
  0
)</f>
        <v>0</v>
      </c>
      <c r="Y163" s="37">
        <f>IF(
  AND(
    Loan_IO_to_PI!AJ$24="P&amp;I",
    Loan_IO_to_PI!AI$24="IO",
    Loan_IO_to_PI!AJ$28&gt;0
  ),
  Loan_IO_to_PI!$B$8,
  0
)</f>
        <v>0</v>
      </c>
      <c r="Z163" s="37">
        <f>IF(
  AND(
    Loan_IO_to_PI!AK$24="P&amp;I",
    Loan_IO_to_PI!AJ$24="IO",
    Loan_IO_to_PI!AK$28&gt;0
  ),
  Loan_IO_to_PI!$B$8,
  0
)</f>
        <v>0</v>
      </c>
      <c r="AA163" s="37">
        <f>IF(
  AND(
    Loan_IO_to_PI!AL$24="P&amp;I",
    Loan_IO_to_PI!AK$24="IO",
    Loan_IO_to_PI!AL$28&gt;0
  ),
  Loan_IO_to_PI!$B$8,
  0
)</f>
        <v>0</v>
      </c>
      <c r="AB163" s="37">
        <f>IF(
  AND(
    Loan_IO_to_PI!AM$24="P&amp;I",
    Loan_IO_to_PI!AL$24="IO",
    Loan_IO_to_PI!AM$28&gt;0
  ),
  Loan_IO_to_PI!$B$8,
  0
)</f>
        <v>0</v>
      </c>
      <c r="AC163" s="37">
        <f>IF(
  AND(
    Loan_IO_to_PI!AN$24="P&amp;I",
    Loan_IO_to_PI!AM$24="IO",
    Loan_IO_to_PI!AN$28&gt;0
  ),
  Loan_IO_to_PI!$B$8,
  0
)</f>
        <v>0</v>
      </c>
      <c r="AD163" s="37">
        <f>IF(
  AND(
    Loan_IO_to_PI!AO$24="P&amp;I",
    Loan_IO_to_PI!AN$24="IO",
    Loan_IO_to_PI!AO$28&gt;0
  ),
  Loan_IO_to_PI!$B$8,
  0
)</f>
        <v>0</v>
      </c>
      <c r="AE163" s="37">
        <f>IF(
  AND(
    Loan_IO_to_PI!AP$24="P&amp;I",
    Loan_IO_to_PI!AO$24="IO",
    Loan_IO_to_PI!AP$28&gt;0
  ),
  Loan_IO_to_PI!$B$8,
  0
)</f>
        <v>0</v>
      </c>
      <c r="AF163" s="37">
        <f>IF(
  AND(
    Loan_IO_to_PI!AQ$24="P&amp;I",
    Loan_IO_to_PI!AP$24="IO",
    Loan_IO_to_PI!AQ$28&gt;0
  ),
  Loan_IO_to_PI!$B$8,
  0
)</f>
        <v>0</v>
      </c>
      <c r="AG163" s="37">
        <f>IF(
  AND(
    Loan_IO_to_PI!AR$24="P&amp;I",
    Loan_IO_to_PI!AQ$24="IO",
    Loan_IO_to_PI!AR$28&gt;0
  ),
  Loan_IO_to_PI!$B$8,
  0
)</f>
        <v>0</v>
      </c>
      <c r="AH163" s="37">
        <f>IF(
  AND(
    Loan_IO_to_PI!AS$24="P&amp;I",
    Loan_IO_to_PI!AR$24="IO",
    Loan_IO_to_PI!AS$28&gt;0
  ),
  Loan_IO_to_PI!$B$8,
  0
)</f>
        <v>0</v>
      </c>
      <c r="AI163" s="37">
        <f>IF(
  AND(
    Loan_IO_to_PI!AT$24="P&amp;I",
    Loan_IO_to_PI!AS$24="IO",
    Loan_IO_to_PI!AT$28&gt;0
  ),
  Loan_IO_to_PI!$B$8,
  0
)</f>
        <v>0</v>
      </c>
      <c r="AJ163" s="37">
        <f>IF(
  AND(
    Loan_IO_to_PI!AU$24="P&amp;I",
    Loan_IO_to_PI!AT$24="IO",
    Loan_IO_to_PI!AU$28&gt;0
  ),
  Loan_IO_to_PI!$B$8,
  0
)</f>
        <v>0</v>
      </c>
      <c r="AK163" s="37">
        <f>IF(
  AND(
    Loan_IO_to_PI!AV$24="P&amp;I",
    Loan_IO_to_PI!AU$24="IO",
    Loan_IO_to_PI!AV$28&gt;0
  ),
  Loan_IO_to_PI!$B$8,
  0
)</f>
        <v>0</v>
      </c>
      <c r="AL163" s="37">
        <f>IF(
  AND(
    Loan_IO_to_PI!AW$24="P&amp;I",
    Loan_IO_to_PI!AV$24="IO",
    Loan_IO_to_PI!AW$28&gt;0
  ),
  Loan_IO_to_PI!$B$8,
  0
)</f>
        <v>0</v>
      </c>
      <c r="AM163" s="37">
        <f>IF(
  AND(
    Loan_IO_to_PI!AX$24="P&amp;I",
    Loan_IO_to_PI!AW$24="IO",
    Loan_IO_to_PI!AX$28&gt;0
  ),
  Loan_IO_to_PI!$B$8,
  0
)</f>
        <v>0</v>
      </c>
      <c r="AN163" s="37">
        <f>IF(
  AND(
    Loan_IO_to_PI!AY$24="P&amp;I",
    Loan_IO_to_PI!AX$24="IO",
    Loan_IO_to_PI!AY$28&gt;0
  ),
  Loan_IO_to_PI!$B$8,
  0
)</f>
        <v>0</v>
      </c>
      <c r="AO163" s="37">
        <f>IF(
  AND(
    Loan_IO_to_PI!AZ$24="P&amp;I",
    Loan_IO_to_PI!AY$24="IO",
    Loan_IO_to_PI!AZ$28&gt;0
  ),
  Loan_IO_to_PI!$B$8,
  0
)</f>
        <v>0</v>
      </c>
      <c r="AP163" s="37">
        <f>IF(
  AND(
    Loan_IO_to_PI!BA$24="P&amp;I",
    Loan_IO_to_PI!AZ$24="IO",
    Loan_IO_to_PI!BA$28&gt;0
  ),
  Loan_IO_to_PI!$B$8,
  0
)</f>
        <v>0</v>
      </c>
      <c r="AQ163" s="37">
        <f>IF(
  AND(
    Loan_IO_to_PI!BB$24="P&amp;I",
    Loan_IO_to_PI!BA$24="IO",
    Loan_IO_to_PI!BB$28&gt;0
  ),
  Loan_IO_to_PI!$B$8,
  0
)</f>
        <v>0</v>
      </c>
      <c r="AR163" s="37">
        <f>IF(
  AND(
    Loan_IO_to_PI!BC$24="P&amp;I",
    Loan_IO_to_PI!BB$24="IO",
    Loan_IO_to_PI!BC$28&gt;0
  ),
  Loan_IO_to_PI!$B$8,
  0
)</f>
        <v>0</v>
      </c>
      <c r="AS163" s="37">
        <f>IF(
  AND(
    Loan_IO_to_PI!BD$24="P&amp;I",
    Loan_IO_to_PI!BC$24="IO",
    Loan_IO_to_PI!BD$28&gt;0
  ),
  Loan_IO_to_PI!$B$8,
  0
)</f>
        <v>0</v>
      </c>
      <c r="AT163" s="37">
        <f>IF(
  AND(
    Loan_IO_to_PI!BE$24="P&amp;I",
    Loan_IO_to_PI!BD$24="IO",
    Loan_IO_to_PI!BE$28&gt;0
  ),
  Loan_IO_to_PI!$B$8,
  0
)</f>
        <v>0</v>
      </c>
      <c r="AU163" s="37">
        <f>IF(
  AND(
    Loan_IO_to_PI!BF$24="P&amp;I",
    Loan_IO_to_PI!BE$24="IO",
    Loan_IO_to_PI!BF$28&gt;0
  ),
  Loan_IO_to_PI!$B$8,
  0
)</f>
        <v>0</v>
      </c>
      <c r="AV163" s="37">
        <f>IF(
  AND(
    Loan_IO_to_PI!BG$24="P&amp;I",
    Loan_IO_to_PI!BF$24="IO",
    Loan_IO_to_PI!BG$28&gt;0
  ),
  Loan_IO_to_PI!$B$8,
  0
)</f>
        <v>0</v>
      </c>
      <c r="AW163" s="37">
        <f>IF(
  AND(
    Loan_IO_to_PI!BH$24="P&amp;I",
    Loan_IO_to_PI!BG$24="IO",
    Loan_IO_to_PI!BH$28&gt;0
  ),
  Loan_IO_to_PI!$B$8,
  0
)</f>
        <v>0</v>
      </c>
      <c r="AX163" s="37">
        <f>IF(
  AND(
    Loan_IO_to_PI!BI$24="P&amp;I",
    Loan_IO_to_PI!BH$24="IO",
    Loan_IO_to_PI!BI$28&gt;0
  ),
  Loan_IO_to_PI!$B$8,
  0
)</f>
        <v>0</v>
      </c>
      <c r="AY163" s="37">
        <f>IF(
  AND(
    Loan_IO_to_PI!BJ$24="P&amp;I",
    Loan_IO_to_PI!BI$24="IO",
    Loan_IO_to_PI!BJ$28&gt;0
  ),
  Loan_IO_to_PI!$B$8,
  0
)</f>
        <v>0</v>
      </c>
      <c r="AZ163" s="37">
        <f>IF(
  AND(
    Loan_IO_to_PI!BK$24="P&amp;I",
    Loan_IO_to_PI!BJ$24="IO",
    Loan_IO_to_PI!BK$28&gt;0
  ),
  Loan_IO_to_PI!$B$8,
  0
)</f>
        <v>0</v>
      </c>
    </row>
    <row r="164" spans="1:52" s="37" customFormat="1">
      <c r="A164" s="78" t="s">
        <v>332</v>
      </c>
      <c r="B164" s="88"/>
      <c r="C164" s="88">
        <f>0</f>
        <v>0</v>
      </c>
      <c r="D164" s="37">
        <f>C164* (1 + Scenarios!$K$10)</f>
        <v>0</v>
      </c>
      <c r="E164" s="37">
        <f>D164* (1 + Scenarios!$K$10)</f>
        <v>0</v>
      </c>
      <c r="F164" s="37">
        <f>E164* (1 + Scenarios!$K$10)</f>
        <v>0</v>
      </c>
      <c r="G164" s="37">
        <f>F164* (1 + Scenarios!$K$10)</f>
        <v>0</v>
      </c>
      <c r="H164" s="37">
        <f>G164* (1 + Scenarios!$K$10)</f>
        <v>0</v>
      </c>
      <c r="I164" s="37">
        <f>H164* (1 + Scenarios!$K$10)</f>
        <v>0</v>
      </c>
      <c r="J164" s="37">
        <f>I164* (1 + Scenarios!$K$10)</f>
        <v>0</v>
      </c>
      <c r="K164" s="37">
        <f>J164* (1 + Scenarios!$K$10)</f>
        <v>0</v>
      </c>
      <c r="L164" s="37">
        <f>K164* (1 + Scenarios!$K$10)</f>
        <v>0</v>
      </c>
      <c r="M164" s="37">
        <f>L164* (1 + Scenarios!$K$10)</f>
        <v>0</v>
      </c>
      <c r="N164" s="37">
        <f>M164* (1 + Scenarios!$K$10)</f>
        <v>0</v>
      </c>
      <c r="O164" s="37">
        <f>N164* (1 + Scenarios!$K$10)</f>
        <v>0</v>
      </c>
      <c r="P164" s="37">
        <f>O164* (1 + Scenarios!$K$10)</f>
        <v>0</v>
      </c>
      <c r="Q164" s="37">
        <f>P164* (1 + Scenarios!$K$10)</f>
        <v>0</v>
      </c>
      <c r="R164" s="37">
        <f>Q164* (1 + Scenarios!$K$10)</f>
        <v>0</v>
      </c>
      <c r="S164" s="37">
        <f>R164* (1 + Scenarios!$K$10)</f>
        <v>0</v>
      </c>
      <c r="T164" s="37">
        <f>S164* (1 + Scenarios!$K$10)</f>
        <v>0</v>
      </c>
      <c r="U164" s="37">
        <f>T164* (1 + Scenarios!$K$10)</f>
        <v>0</v>
      </c>
      <c r="V164" s="37">
        <f>U164* (1 + Scenarios!$K$10)</f>
        <v>0</v>
      </c>
      <c r="W164" s="37">
        <f>V164* (1 + Scenarios!$K$10)</f>
        <v>0</v>
      </c>
      <c r="X164" s="37">
        <f>W164* (1 + Scenarios!$K$10)</f>
        <v>0</v>
      </c>
      <c r="Y164" s="37">
        <f>X164* (1 + Scenarios!$K$10)</f>
        <v>0</v>
      </c>
      <c r="Z164" s="37">
        <f>Y164* (1 + Scenarios!$K$10)</f>
        <v>0</v>
      </c>
      <c r="AA164" s="37">
        <f>Z164* (1 + Scenarios!$K$10)</f>
        <v>0</v>
      </c>
      <c r="AB164" s="37">
        <f>AA164* (1 + Scenarios!$K$10)</f>
        <v>0</v>
      </c>
      <c r="AC164" s="37">
        <f>AB164* (1 + Scenarios!$K$10)</f>
        <v>0</v>
      </c>
      <c r="AD164" s="37">
        <f>AC164* (1 + Scenarios!$K$10)</f>
        <v>0</v>
      </c>
      <c r="AE164" s="37">
        <f>AD164* (1 + Scenarios!$K$10)</f>
        <v>0</v>
      </c>
      <c r="AF164" s="37">
        <f>AE164* (1 + Scenarios!$K$10)</f>
        <v>0</v>
      </c>
      <c r="AG164" s="37">
        <f>AF164* (1 + Scenarios!$K$10)</f>
        <v>0</v>
      </c>
      <c r="AH164" s="37">
        <f>AG164* (1 + Scenarios!$K$10)</f>
        <v>0</v>
      </c>
      <c r="AI164" s="37">
        <f>AH164* (1 + Scenarios!$K$10)</f>
        <v>0</v>
      </c>
      <c r="AJ164" s="37">
        <f>AI164* (1 + Scenarios!$K$10)</f>
        <v>0</v>
      </c>
      <c r="AK164" s="37">
        <f>AJ164* (1 + Scenarios!$K$10)</f>
        <v>0</v>
      </c>
      <c r="AL164" s="37">
        <f>AK164* (1 + Scenarios!$K$10)</f>
        <v>0</v>
      </c>
      <c r="AM164" s="37">
        <f>AL164* (1 + Scenarios!$K$10)</f>
        <v>0</v>
      </c>
      <c r="AN164" s="37">
        <f>AM164* (1 + Scenarios!$K$10)</f>
        <v>0</v>
      </c>
      <c r="AO164" s="37">
        <f>AN164* (1 + Scenarios!$K$10)</f>
        <v>0</v>
      </c>
      <c r="AP164" s="37">
        <f>AO164* (1 + Scenarios!$K$10)</f>
        <v>0</v>
      </c>
      <c r="AQ164" s="37">
        <f>AP164* (1 + Scenarios!$K$10)</f>
        <v>0</v>
      </c>
      <c r="AR164" s="37">
        <f>AQ164* (1 + Scenarios!$K$10)</f>
        <v>0</v>
      </c>
      <c r="AS164" s="37">
        <f>AR164* (1 + Scenarios!$K$10)</f>
        <v>0</v>
      </c>
      <c r="AT164" s="37">
        <f>AS164* (1 + Scenarios!$K$10)</f>
        <v>0</v>
      </c>
      <c r="AU164" s="37">
        <f>AT164* (1 + Scenarios!$K$10)</f>
        <v>0</v>
      </c>
      <c r="AV164" s="37">
        <f>AU164* (1 + Scenarios!$K$10)</f>
        <v>0</v>
      </c>
      <c r="AW164" s="37">
        <f>AV164* (1 + Scenarios!$K$10)</f>
        <v>0</v>
      </c>
      <c r="AX164" s="37">
        <f>AW164* (1 + Scenarios!$K$10)</f>
        <v>0</v>
      </c>
      <c r="AY164" s="37">
        <f>AX164* (1 + Scenarios!$K$10)</f>
        <v>0</v>
      </c>
      <c r="AZ164" s="37">
        <f>AY164* (1 + Scenarios!$K$10)</f>
        <v>0</v>
      </c>
    </row>
    <row r="165" spans="1:52" s="37" customFormat="1">
      <c r="A165" s="77" t="s">
        <v>333</v>
      </c>
    </row>
    <row r="166" spans="1:52" s="37" customFormat="1">
      <c r="A166" s="78" t="s">
        <v>334</v>
      </c>
      <c r="B166" s="88"/>
      <c r="C166" s="88">
        <f>IF(
  MOD(C140-1, Assumptions!$B$57)=0,
  Assumptions!$B$54+Assumptions!$B$55,
  0
)</f>
        <v>1462</v>
      </c>
      <c r="D166" s="37">
        <f>IF(
  MOD(D140-1, Assumptions!$B$57)=0,
  Assumptions!$B$54+Assumptions!$B$55,
  0
)</f>
        <v>0</v>
      </c>
      <c r="E166" s="37">
        <f>IF(
  MOD(E140-1, Assumptions!$B$57)=0,
  Assumptions!$B$54+Assumptions!$B$55,
  0
)</f>
        <v>0</v>
      </c>
      <c r="F166" s="37">
        <f>IF(
  MOD(F140-1, Assumptions!$B$57)=0,
  Assumptions!$B$54+Assumptions!$B$55,
  0
)</f>
        <v>0</v>
      </c>
      <c r="G166" s="37">
        <f>IF(
  MOD(G140-1, Assumptions!$B$57)=0,
  Assumptions!$B$54+Assumptions!$B$55,
  0
)</f>
        <v>1462</v>
      </c>
      <c r="H166" s="37">
        <f>IF(
  MOD(H140-1, Assumptions!$B$57)=0,
  Assumptions!$B$54+Assumptions!$B$55,
  0
)</f>
        <v>0</v>
      </c>
      <c r="I166" s="37">
        <f>IF(
  MOD(I140-1, Assumptions!$B$57)=0,
  Assumptions!$B$54+Assumptions!$B$55,
  0
)</f>
        <v>0</v>
      </c>
      <c r="J166" s="37">
        <f>IF(
  MOD(J140-1, Assumptions!$B$57)=0,
  Assumptions!$B$54+Assumptions!$B$55,
  0
)</f>
        <v>0</v>
      </c>
      <c r="K166" s="37">
        <f>IF(
  MOD(K140-1, Assumptions!$B$57)=0,
  Assumptions!$B$54+Assumptions!$B$55,
  0
)</f>
        <v>1462</v>
      </c>
      <c r="L166" s="37">
        <f>IF(
  MOD(L140-1, Assumptions!$B$57)=0,
  Assumptions!$B$54+Assumptions!$B$55,
  0
)</f>
        <v>0</v>
      </c>
      <c r="M166" s="37">
        <f>IF(
  MOD(M140-1, Assumptions!$B$57)=0,
  Assumptions!$B$54+Assumptions!$B$55,
  0
)</f>
        <v>0</v>
      </c>
      <c r="N166" s="37">
        <f>IF(
  MOD(N140-1, Assumptions!$B$57)=0,
  Assumptions!$B$54+Assumptions!$B$55,
  0
)</f>
        <v>0</v>
      </c>
      <c r="O166" s="37">
        <f>IF(
  MOD(O140-1, Assumptions!$B$57)=0,
  Assumptions!$B$54+Assumptions!$B$55,
  0
)</f>
        <v>1462</v>
      </c>
      <c r="P166" s="37">
        <f>IF(
  MOD(P140-1, Assumptions!$B$57)=0,
  Assumptions!$B$54+Assumptions!$B$55,
  0
)</f>
        <v>0</v>
      </c>
      <c r="Q166" s="37">
        <f>IF(
  MOD(Q140-1, Assumptions!$B$57)=0,
  Assumptions!$B$54+Assumptions!$B$55,
  0
)</f>
        <v>0</v>
      </c>
      <c r="R166" s="37">
        <f>IF(
  MOD(R140-1, Assumptions!$B$57)=0,
  Assumptions!$B$54+Assumptions!$B$55,
  0
)</f>
        <v>0</v>
      </c>
      <c r="S166" s="37">
        <f>IF(
  MOD(S140-1, Assumptions!$B$57)=0,
  Assumptions!$B$54+Assumptions!$B$55,
  0
)</f>
        <v>1462</v>
      </c>
      <c r="T166" s="37">
        <f>IF(
  MOD(T140-1, Assumptions!$B$57)=0,
  Assumptions!$B$54+Assumptions!$B$55,
  0
)</f>
        <v>0</v>
      </c>
      <c r="U166" s="37">
        <f>IF(
  MOD(U140-1, Assumptions!$B$57)=0,
  Assumptions!$B$54+Assumptions!$B$55,
  0
)</f>
        <v>0</v>
      </c>
      <c r="V166" s="37">
        <f>IF(
  MOD(V140-1, Assumptions!$B$57)=0,
  Assumptions!$B$54+Assumptions!$B$55,
  0
)</f>
        <v>0</v>
      </c>
      <c r="W166" s="37">
        <f>IF(
  MOD(W140-1, Assumptions!$B$57)=0,
  Assumptions!$B$54+Assumptions!$B$55,
  0
)</f>
        <v>1462</v>
      </c>
      <c r="X166" s="37">
        <f>IF(
  MOD(X140-1, Assumptions!$B$57)=0,
  Assumptions!$B$54+Assumptions!$B$55,
  0
)</f>
        <v>0</v>
      </c>
      <c r="Y166" s="37">
        <f>IF(
  MOD(Y140-1, Assumptions!$B$57)=0,
  Assumptions!$B$54+Assumptions!$B$55,
  0
)</f>
        <v>0</v>
      </c>
      <c r="Z166" s="37">
        <f>IF(
  MOD(Z140-1, Assumptions!$B$57)=0,
  Assumptions!$B$54+Assumptions!$B$55,
  0
)</f>
        <v>0</v>
      </c>
      <c r="AA166" s="37">
        <f>IF(
  MOD(AA140-1, Assumptions!$B$57)=0,
  Assumptions!$B$54+Assumptions!$B$55,
  0
)</f>
        <v>1462</v>
      </c>
      <c r="AB166" s="37">
        <f>IF(
  MOD(AB140-1, Assumptions!$B$57)=0,
  Assumptions!$B$54+Assumptions!$B$55,
  0
)</f>
        <v>0</v>
      </c>
      <c r="AC166" s="37">
        <f>IF(
  MOD(AC140-1, Assumptions!$B$57)=0,
  Assumptions!$B$54+Assumptions!$B$55,
  0
)</f>
        <v>0</v>
      </c>
      <c r="AD166" s="37">
        <f>IF(
  MOD(AD140-1, Assumptions!$B$57)=0,
  Assumptions!$B$54+Assumptions!$B$55,
  0
)</f>
        <v>0</v>
      </c>
      <c r="AE166" s="37">
        <f>IF(
  MOD(AE140-1, Assumptions!$B$57)=0,
  Assumptions!$B$54+Assumptions!$B$55,
  0
)</f>
        <v>1462</v>
      </c>
      <c r="AF166" s="37">
        <f>IF(
  MOD(AF140-1, Assumptions!$B$57)=0,
  Assumptions!$B$54+Assumptions!$B$55,
  0
)</f>
        <v>0</v>
      </c>
      <c r="AG166" s="37">
        <f>IF(
  MOD(AG140-1, Assumptions!$B$57)=0,
  Assumptions!$B$54+Assumptions!$B$55,
  0
)</f>
        <v>0</v>
      </c>
      <c r="AH166" s="37">
        <f>IF(
  MOD(AH140-1, Assumptions!$B$57)=0,
  Assumptions!$B$54+Assumptions!$B$55,
  0
)</f>
        <v>0</v>
      </c>
      <c r="AI166" s="37">
        <f>IF(
  MOD(AI140-1, Assumptions!$B$57)=0,
  Assumptions!$B$54+Assumptions!$B$55,
  0
)</f>
        <v>1462</v>
      </c>
      <c r="AJ166" s="37">
        <f>IF(
  MOD(AJ140-1, Assumptions!$B$57)=0,
  Assumptions!$B$54+Assumptions!$B$55,
  0
)</f>
        <v>0</v>
      </c>
      <c r="AK166" s="37">
        <f>IF(
  MOD(AK140-1, Assumptions!$B$57)=0,
  Assumptions!$B$54+Assumptions!$B$55,
  0
)</f>
        <v>0</v>
      </c>
      <c r="AL166" s="37">
        <f>IF(
  MOD(AL140-1, Assumptions!$B$57)=0,
  Assumptions!$B$54+Assumptions!$B$55,
  0
)</f>
        <v>0</v>
      </c>
      <c r="AM166" s="37">
        <f>IF(
  MOD(AM140-1, Assumptions!$B$57)=0,
  Assumptions!$B$54+Assumptions!$B$55,
  0
)</f>
        <v>1462</v>
      </c>
      <c r="AN166" s="37">
        <f>IF(
  MOD(AN140-1, Assumptions!$B$57)=0,
  Assumptions!$B$54+Assumptions!$B$55,
  0
)</f>
        <v>0</v>
      </c>
      <c r="AO166" s="37">
        <f>IF(
  MOD(AO140-1, Assumptions!$B$57)=0,
  Assumptions!$B$54+Assumptions!$B$55,
  0
)</f>
        <v>0</v>
      </c>
      <c r="AP166" s="37">
        <f>IF(
  MOD(AP140-1, Assumptions!$B$57)=0,
  Assumptions!$B$54+Assumptions!$B$55,
  0
)</f>
        <v>0</v>
      </c>
      <c r="AQ166" s="37">
        <f>IF(
  MOD(AQ140-1, Assumptions!$B$57)=0,
  Assumptions!$B$54+Assumptions!$B$55,
  0
)</f>
        <v>1462</v>
      </c>
      <c r="AR166" s="37">
        <f>IF(
  MOD(AR140-1, Assumptions!$B$57)=0,
  Assumptions!$B$54+Assumptions!$B$55,
  0
)</f>
        <v>0</v>
      </c>
      <c r="AS166" s="37">
        <f>IF(
  MOD(AS140-1, Assumptions!$B$57)=0,
  Assumptions!$B$54+Assumptions!$B$55,
  0
)</f>
        <v>0</v>
      </c>
      <c r="AT166" s="37">
        <f>IF(
  MOD(AT140-1, Assumptions!$B$57)=0,
  Assumptions!$B$54+Assumptions!$B$55,
  0
)</f>
        <v>0</v>
      </c>
      <c r="AU166" s="37">
        <f>IF(
  MOD(AU140-1, Assumptions!$B$57)=0,
  Assumptions!$B$54+Assumptions!$B$55,
  0
)</f>
        <v>1462</v>
      </c>
      <c r="AV166" s="37">
        <f>IF(
  MOD(AV140-1, Assumptions!$B$57)=0,
  Assumptions!$B$54+Assumptions!$B$55,
  0
)</f>
        <v>0</v>
      </c>
      <c r="AW166" s="37">
        <f>IF(
  MOD(AW140-1, Assumptions!$B$57)=0,
  Assumptions!$B$54+Assumptions!$B$55,
  0
)</f>
        <v>0</v>
      </c>
      <c r="AX166" s="37">
        <f>IF(
  MOD(AX140-1, Assumptions!$B$57)=0,
  Assumptions!$B$54+Assumptions!$B$55,
  0
)</f>
        <v>0</v>
      </c>
      <c r="AY166" s="37">
        <f>IF(
  MOD(AY140-1, Assumptions!$B$57)=0,
  Assumptions!$B$54+Assumptions!$B$55,
  0
)</f>
        <v>1462</v>
      </c>
      <c r="AZ166" s="37">
        <f>IF(
  MOD(AZ140-1, Assumptions!$B$57)=0,
  Assumptions!$B$54+Assumptions!$B$55,
  0
)</f>
        <v>0</v>
      </c>
    </row>
    <row r="167" spans="1:52" s="37" customFormat="1">
      <c r="A167" s="78" t="s">
        <v>335</v>
      </c>
      <c r="B167" s="88"/>
      <c r="C167" s="88">
        <f>0</f>
        <v>0</v>
      </c>
      <c r="D167" s="37">
        <f>C167* (1 + Scenarios!$K$10)</f>
        <v>0</v>
      </c>
      <c r="E167" s="37">
        <f>D167* (1 + Scenarios!$K$10)</f>
        <v>0</v>
      </c>
      <c r="F167" s="37">
        <f>E167* (1 + Scenarios!$K$10)</f>
        <v>0</v>
      </c>
      <c r="G167" s="37">
        <f>F167* (1 + Scenarios!$K$10)</f>
        <v>0</v>
      </c>
      <c r="H167" s="37">
        <f>G167* (1 + Scenarios!$K$10)</f>
        <v>0</v>
      </c>
      <c r="I167" s="37">
        <f>H167* (1 + Scenarios!$K$10)</f>
        <v>0</v>
      </c>
      <c r="J167" s="37">
        <f>I167* (1 + Scenarios!$K$10)</f>
        <v>0</v>
      </c>
      <c r="K167" s="37">
        <f>J167* (1 + Scenarios!$K$10)</f>
        <v>0</v>
      </c>
      <c r="L167" s="37">
        <f>K167* (1 + Scenarios!$K$10)</f>
        <v>0</v>
      </c>
      <c r="M167" s="37">
        <f>L167* (1 + Scenarios!$K$10)</f>
        <v>0</v>
      </c>
      <c r="N167" s="37">
        <f>M167* (1 + Scenarios!$K$10)</f>
        <v>0</v>
      </c>
      <c r="O167" s="37">
        <f>N167* (1 + Scenarios!$K$10)</f>
        <v>0</v>
      </c>
      <c r="P167" s="37">
        <f>O167* (1 + Scenarios!$K$10)</f>
        <v>0</v>
      </c>
      <c r="Q167" s="37">
        <f>P167* (1 + Scenarios!$K$10)</f>
        <v>0</v>
      </c>
      <c r="R167" s="37">
        <f>Q167* (1 + Scenarios!$K$10)</f>
        <v>0</v>
      </c>
      <c r="S167" s="37">
        <f>R167* (1 + Scenarios!$K$10)</f>
        <v>0</v>
      </c>
      <c r="T167" s="37">
        <f>S167* (1 + Scenarios!$K$10)</f>
        <v>0</v>
      </c>
      <c r="U167" s="37">
        <f>T167* (1 + Scenarios!$K$10)</f>
        <v>0</v>
      </c>
      <c r="V167" s="37">
        <f>U167* (1 + Scenarios!$K$10)</f>
        <v>0</v>
      </c>
      <c r="W167" s="37">
        <f>V167* (1 + Scenarios!$K$10)</f>
        <v>0</v>
      </c>
      <c r="X167" s="37">
        <f>W167* (1 + Scenarios!$K$10)</f>
        <v>0</v>
      </c>
      <c r="Y167" s="37">
        <f>X167* (1 + Scenarios!$K$10)</f>
        <v>0</v>
      </c>
      <c r="Z167" s="37">
        <f>Y167* (1 + Scenarios!$K$10)</f>
        <v>0</v>
      </c>
      <c r="AA167" s="37">
        <f>Z167* (1 + Scenarios!$K$10)</f>
        <v>0</v>
      </c>
      <c r="AB167" s="37">
        <f>AA167* (1 + Scenarios!$K$10)</f>
        <v>0</v>
      </c>
      <c r="AC167" s="37">
        <f>AB167* (1 + Scenarios!$K$10)</f>
        <v>0</v>
      </c>
      <c r="AD167" s="37">
        <f>AC167* (1 + Scenarios!$K$10)</f>
        <v>0</v>
      </c>
      <c r="AE167" s="37">
        <f>AD167* (1 + Scenarios!$K$10)</f>
        <v>0</v>
      </c>
      <c r="AF167" s="37">
        <f>AE167* (1 + Scenarios!$K$10)</f>
        <v>0</v>
      </c>
      <c r="AG167" s="37">
        <f>AF167* (1 + Scenarios!$K$10)</f>
        <v>0</v>
      </c>
      <c r="AH167" s="37">
        <f>AG167* (1 + Scenarios!$K$10)</f>
        <v>0</v>
      </c>
      <c r="AI167" s="37">
        <f>AH167* (1 + Scenarios!$K$10)</f>
        <v>0</v>
      </c>
      <c r="AJ167" s="37">
        <f>AI167* (1 + Scenarios!$K$10)</f>
        <v>0</v>
      </c>
      <c r="AK167" s="37">
        <f>AJ167* (1 + Scenarios!$K$10)</f>
        <v>0</v>
      </c>
      <c r="AL167" s="37">
        <f>AK167* (1 + Scenarios!$K$10)</f>
        <v>0</v>
      </c>
      <c r="AM167" s="37">
        <f>AL167* (1 + Scenarios!$K$10)</f>
        <v>0</v>
      </c>
      <c r="AN167" s="37">
        <f>AM167* (1 + Scenarios!$K$10)</f>
        <v>0</v>
      </c>
      <c r="AO167" s="37">
        <f>AN167* (1 + Scenarios!$K$10)</f>
        <v>0</v>
      </c>
      <c r="AP167" s="37">
        <f>AO167* (1 + Scenarios!$K$10)</f>
        <v>0</v>
      </c>
      <c r="AQ167" s="37">
        <f>AP167* (1 + Scenarios!$K$10)</f>
        <v>0</v>
      </c>
      <c r="AR167" s="37">
        <f>AQ167* (1 + Scenarios!$K$10)</f>
        <v>0</v>
      </c>
      <c r="AS167" s="37">
        <f>AR167* (1 + Scenarios!$K$10)</f>
        <v>0</v>
      </c>
      <c r="AT167" s="37">
        <f>AS167* (1 + Scenarios!$K$10)</f>
        <v>0</v>
      </c>
      <c r="AU167" s="37">
        <f>AT167* (1 + Scenarios!$K$10)</f>
        <v>0</v>
      </c>
      <c r="AV167" s="37">
        <f>AU167* (1 + Scenarios!$K$10)</f>
        <v>0</v>
      </c>
      <c r="AW167" s="37">
        <f>AV167* (1 + Scenarios!$K$10)</f>
        <v>0</v>
      </c>
      <c r="AX167" s="37">
        <f>AW167* (1 + Scenarios!$K$10)</f>
        <v>0</v>
      </c>
      <c r="AY167" s="37">
        <f>AX167* (1 + Scenarios!$K$10)</f>
        <v>0</v>
      </c>
      <c r="AZ167" s="37">
        <f>AY167* (1 + Scenarios!$K$10)</f>
        <v>0</v>
      </c>
    </row>
    <row r="168" spans="1:52" s="37" customFormat="1">
      <c r="A168" s="78" t="s">
        <v>336</v>
      </c>
      <c r="B168" s="88"/>
      <c r="C168" s="88">
        <f>0</f>
        <v>0</v>
      </c>
      <c r="D168" s="37">
        <f>C168* (1 + Scenarios!$K$10)</f>
        <v>0</v>
      </c>
      <c r="E168" s="37">
        <f>D168* (1 + Scenarios!$K$10)</f>
        <v>0</v>
      </c>
      <c r="F168" s="37">
        <f>E168* (1 + Scenarios!$K$10)</f>
        <v>0</v>
      </c>
      <c r="G168" s="37">
        <f>F168* (1 + Scenarios!$K$10)</f>
        <v>0</v>
      </c>
      <c r="H168" s="37">
        <f>G168* (1 + Scenarios!$K$10)</f>
        <v>0</v>
      </c>
      <c r="I168" s="37">
        <f>H168* (1 + Scenarios!$K$10)</f>
        <v>0</v>
      </c>
      <c r="J168" s="37">
        <f>I168* (1 + Scenarios!$K$10)</f>
        <v>0</v>
      </c>
      <c r="K168" s="37">
        <f>J168* (1 + Scenarios!$K$10)</f>
        <v>0</v>
      </c>
      <c r="L168" s="37">
        <f>K168* (1 + Scenarios!$K$10)</f>
        <v>0</v>
      </c>
      <c r="M168" s="37">
        <f>L168* (1 + Scenarios!$K$10)</f>
        <v>0</v>
      </c>
      <c r="N168" s="37">
        <f>M168* (1 + Scenarios!$K$10)</f>
        <v>0</v>
      </c>
      <c r="O168" s="37">
        <f>N168* (1 + Scenarios!$K$10)</f>
        <v>0</v>
      </c>
      <c r="P168" s="37">
        <f>O168* (1 + Scenarios!$K$10)</f>
        <v>0</v>
      </c>
      <c r="Q168" s="37">
        <f>P168* (1 + Scenarios!$K$10)</f>
        <v>0</v>
      </c>
      <c r="R168" s="37">
        <f>Q168* (1 + Scenarios!$K$10)</f>
        <v>0</v>
      </c>
      <c r="S168" s="37">
        <f>R168* (1 + Scenarios!$K$10)</f>
        <v>0</v>
      </c>
      <c r="T168" s="37">
        <f>S168* (1 + Scenarios!$K$10)</f>
        <v>0</v>
      </c>
      <c r="U168" s="37">
        <f>T168* (1 + Scenarios!$K$10)</f>
        <v>0</v>
      </c>
      <c r="V168" s="37">
        <f>U168* (1 + Scenarios!$K$10)</f>
        <v>0</v>
      </c>
      <c r="W168" s="37">
        <f>V168* (1 + Scenarios!$K$10)</f>
        <v>0</v>
      </c>
      <c r="X168" s="37">
        <f>W168* (1 + Scenarios!$K$10)</f>
        <v>0</v>
      </c>
      <c r="Y168" s="37">
        <f>X168* (1 + Scenarios!$K$10)</f>
        <v>0</v>
      </c>
      <c r="Z168" s="37">
        <f>Y168* (1 + Scenarios!$K$10)</f>
        <v>0</v>
      </c>
      <c r="AA168" s="37">
        <f>Z168* (1 + Scenarios!$K$10)</f>
        <v>0</v>
      </c>
      <c r="AB168" s="37">
        <f>AA168* (1 + Scenarios!$K$10)</f>
        <v>0</v>
      </c>
      <c r="AC168" s="37">
        <f>AB168* (1 + Scenarios!$K$10)</f>
        <v>0</v>
      </c>
      <c r="AD168" s="37">
        <f>AC168* (1 + Scenarios!$K$10)</f>
        <v>0</v>
      </c>
      <c r="AE168" s="37">
        <f>AD168* (1 + Scenarios!$K$10)</f>
        <v>0</v>
      </c>
      <c r="AF168" s="37">
        <f>AE168* (1 + Scenarios!$K$10)</f>
        <v>0</v>
      </c>
      <c r="AG168" s="37">
        <f>AF168* (1 + Scenarios!$K$10)</f>
        <v>0</v>
      </c>
      <c r="AH168" s="37">
        <f>AG168* (1 + Scenarios!$K$10)</f>
        <v>0</v>
      </c>
      <c r="AI168" s="37">
        <f>AH168* (1 + Scenarios!$K$10)</f>
        <v>0</v>
      </c>
      <c r="AJ168" s="37">
        <f>AI168* (1 + Scenarios!$K$10)</f>
        <v>0</v>
      </c>
      <c r="AK168" s="37">
        <f>AJ168* (1 + Scenarios!$K$10)</f>
        <v>0</v>
      </c>
      <c r="AL168" s="37">
        <f>AK168* (1 + Scenarios!$K$10)</f>
        <v>0</v>
      </c>
      <c r="AM168" s="37">
        <f>AL168* (1 + Scenarios!$K$10)</f>
        <v>0</v>
      </c>
      <c r="AN168" s="37">
        <f>AM168* (1 + Scenarios!$K$10)</f>
        <v>0</v>
      </c>
      <c r="AO168" s="37">
        <f>AN168* (1 + Scenarios!$K$10)</f>
        <v>0</v>
      </c>
      <c r="AP168" s="37">
        <f>AO168* (1 + Scenarios!$K$10)</f>
        <v>0</v>
      </c>
      <c r="AQ168" s="37">
        <f>AP168* (1 + Scenarios!$K$10)</f>
        <v>0</v>
      </c>
      <c r="AR168" s="37">
        <f>AQ168* (1 + Scenarios!$K$10)</f>
        <v>0</v>
      </c>
      <c r="AS168" s="37">
        <f>AR168* (1 + Scenarios!$K$10)</f>
        <v>0</v>
      </c>
      <c r="AT168" s="37">
        <f>AS168* (1 + Scenarios!$K$10)</f>
        <v>0</v>
      </c>
      <c r="AU168" s="37">
        <f>AT168* (1 + Scenarios!$K$10)</f>
        <v>0</v>
      </c>
      <c r="AV168" s="37">
        <f>AU168* (1 + Scenarios!$K$10)</f>
        <v>0</v>
      </c>
      <c r="AW168" s="37">
        <f>AV168* (1 + Scenarios!$K$10)</f>
        <v>0</v>
      </c>
      <c r="AX168" s="37">
        <f>AW168* (1 + Scenarios!$K$10)</f>
        <v>0</v>
      </c>
      <c r="AY168" s="37">
        <f>AX168* (1 + Scenarios!$K$10)</f>
        <v>0</v>
      </c>
      <c r="AZ168" s="37">
        <f>AY168* (1 + Scenarios!$K$10)</f>
        <v>0</v>
      </c>
    </row>
    <row r="169" spans="1:52" s="37" customFormat="1">
      <c r="A169" s="78" t="s">
        <v>337</v>
      </c>
      <c r="B169" s="88"/>
      <c r="C169" s="88">
        <f>0</f>
        <v>0</v>
      </c>
      <c r="D169" s="37">
        <f>C169* (1 + Scenarios!$K$10)</f>
        <v>0</v>
      </c>
      <c r="E169" s="37">
        <f>D169* (1 + Scenarios!$K$10)</f>
        <v>0</v>
      </c>
      <c r="F169" s="37">
        <f>E169* (1 + Scenarios!$K$10)</f>
        <v>0</v>
      </c>
      <c r="G169" s="37">
        <f>F169* (1 + Scenarios!$K$10)</f>
        <v>0</v>
      </c>
      <c r="H169" s="37">
        <f>G169* (1 + Scenarios!$K$10)</f>
        <v>0</v>
      </c>
      <c r="I169" s="37">
        <f>H169* (1 + Scenarios!$K$10)</f>
        <v>0</v>
      </c>
      <c r="J169" s="37">
        <f>I169* (1 + Scenarios!$K$10)</f>
        <v>0</v>
      </c>
      <c r="K169" s="37">
        <f>J169* (1 + Scenarios!$K$10)</f>
        <v>0</v>
      </c>
      <c r="L169" s="37">
        <f>K169* (1 + Scenarios!$K$10)</f>
        <v>0</v>
      </c>
      <c r="M169" s="37">
        <f>L169* (1 + Scenarios!$K$10)</f>
        <v>0</v>
      </c>
      <c r="N169" s="37">
        <f>M169* (1 + Scenarios!$K$10)</f>
        <v>0</v>
      </c>
      <c r="O169" s="37">
        <f>N169* (1 + Scenarios!$K$10)</f>
        <v>0</v>
      </c>
      <c r="P169" s="37">
        <f>O169* (1 + Scenarios!$K$10)</f>
        <v>0</v>
      </c>
      <c r="Q169" s="37">
        <f>P169* (1 + Scenarios!$K$10)</f>
        <v>0</v>
      </c>
      <c r="R169" s="37">
        <f>Q169* (1 + Scenarios!$K$10)</f>
        <v>0</v>
      </c>
      <c r="S169" s="37">
        <f>R169* (1 + Scenarios!$K$10)</f>
        <v>0</v>
      </c>
      <c r="T169" s="37">
        <f>S169* (1 + Scenarios!$K$10)</f>
        <v>0</v>
      </c>
      <c r="U169" s="37">
        <f>T169* (1 + Scenarios!$K$10)</f>
        <v>0</v>
      </c>
      <c r="V169" s="37">
        <f>U169* (1 + Scenarios!$K$10)</f>
        <v>0</v>
      </c>
      <c r="W169" s="37">
        <f>V169* (1 + Scenarios!$K$10)</f>
        <v>0</v>
      </c>
      <c r="X169" s="37">
        <f>W169* (1 + Scenarios!$K$10)</f>
        <v>0</v>
      </c>
      <c r="Y169" s="37">
        <f>X169* (1 + Scenarios!$K$10)</f>
        <v>0</v>
      </c>
      <c r="Z169" s="37">
        <f>Y169* (1 + Scenarios!$K$10)</f>
        <v>0</v>
      </c>
      <c r="AA169" s="37">
        <f>Z169* (1 + Scenarios!$K$10)</f>
        <v>0</v>
      </c>
      <c r="AB169" s="37">
        <f>AA169* (1 + Scenarios!$K$10)</f>
        <v>0</v>
      </c>
      <c r="AC169" s="37">
        <f>AB169* (1 + Scenarios!$K$10)</f>
        <v>0</v>
      </c>
      <c r="AD169" s="37">
        <f>AC169* (1 + Scenarios!$K$10)</f>
        <v>0</v>
      </c>
      <c r="AE169" s="37">
        <f>AD169* (1 + Scenarios!$K$10)</f>
        <v>0</v>
      </c>
      <c r="AF169" s="37">
        <f>AE169* (1 + Scenarios!$K$10)</f>
        <v>0</v>
      </c>
      <c r="AG169" s="37">
        <f>AF169* (1 + Scenarios!$K$10)</f>
        <v>0</v>
      </c>
      <c r="AH169" s="37">
        <f>AG169* (1 + Scenarios!$K$10)</f>
        <v>0</v>
      </c>
      <c r="AI169" s="37">
        <f>AH169* (1 + Scenarios!$K$10)</f>
        <v>0</v>
      </c>
      <c r="AJ169" s="37">
        <f>AI169* (1 + Scenarios!$K$10)</f>
        <v>0</v>
      </c>
      <c r="AK169" s="37">
        <f>AJ169* (1 + Scenarios!$K$10)</f>
        <v>0</v>
      </c>
      <c r="AL169" s="37">
        <f>AK169* (1 + Scenarios!$K$10)</f>
        <v>0</v>
      </c>
      <c r="AM169" s="37">
        <f>AL169* (1 + Scenarios!$K$10)</f>
        <v>0</v>
      </c>
      <c r="AN169" s="37">
        <f>AM169* (1 + Scenarios!$K$10)</f>
        <v>0</v>
      </c>
      <c r="AO169" s="37">
        <f>AN169* (1 + Scenarios!$K$10)</f>
        <v>0</v>
      </c>
      <c r="AP169" s="37">
        <f>AO169* (1 + Scenarios!$K$10)</f>
        <v>0</v>
      </c>
      <c r="AQ169" s="37">
        <f>AP169* (1 + Scenarios!$K$10)</f>
        <v>0</v>
      </c>
      <c r="AR169" s="37">
        <f>AQ169* (1 + Scenarios!$K$10)</f>
        <v>0</v>
      </c>
      <c r="AS169" s="37">
        <f>AR169* (1 + Scenarios!$K$10)</f>
        <v>0</v>
      </c>
      <c r="AT169" s="37">
        <f>AS169* (1 + Scenarios!$K$10)</f>
        <v>0</v>
      </c>
      <c r="AU169" s="37">
        <f>AT169* (1 + Scenarios!$K$10)</f>
        <v>0</v>
      </c>
      <c r="AV169" s="37">
        <f>AU169* (1 + Scenarios!$K$10)</f>
        <v>0</v>
      </c>
      <c r="AW169" s="37">
        <f>AV169* (1 + Scenarios!$K$10)</f>
        <v>0</v>
      </c>
      <c r="AX169" s="37">
        <f>AW169* (1 + Scenarios!$K$10)</f>
        <v>0</v>
      </c>
      <c r="AY169" s="37">
        <f>AX169* (1 + Scenarios!$K$10)</f>
        <v>0</v>
      </c>
      <c r="AZ169" s="37">
        <f>AY169* (1 + Scenarios!$K$10)</f>
        <v>0</v>
      </c>
    </row>
    <row r="170" spans="1:52" s="37" customFormat="1">
      <c r="A170" s="78" t="s">
        <v>338</v>
      </c>
      <c r="B170" s="88"/>
      <c r="C170" s="88">
        <f>0</f>
        <v>0</v>
      </c>
      <c r="D170" s="37">
        <f>C170* (1 + Scenarios!$K$10)</f>
        <v>0</v>
      </c>
      <c r="E170" s="37">
        <f>D170* (1 + Scenarios!$K$10)</f>
        <v>0</v>
      </c>
      <c r="F170" s="37">
        <f>E170* (1 + Scenarios!$K$10)</f>
        <v>0</v>
      </c>
      <c r="G170" s="37">
        <f>F170* (1 + Scenarios!$K$10)</f>
        <v>0</v>
      </c>
      <c r="H170" s="37">
        <f>G170* (1 + Scenarios!$K$10)</f>
        <v>0</v>
      </c>
      <c r="I170" s="37">
        <f>H170* (1 + Scenarios!$K$10)</f>
        <v>0</v>
      </c>
      <c r="J170" s="37">
        <f>I170* (1 + Scenarios!$K$10)</f>
        <v>0</v>
      </c>
      <c r="K170" s="37">
        <f>J170* (1 + Scenarios!$K$10)</f>
        <v>0</v>
      </c>
      <c r="L170" s="37">
        <f>K170* (1 + Scenarios!$K$10)</f>
        <v>0</v>
      </c>
      <c r="M170" s="37">
        <f>L170* (1 + Scenarios!$K$10)</f>
        <v>0</v>
      </c>
      <c r="N170" s="37">
        <f>M170* (1 + Scenarios!$K$10)</f>
        <v>0</v>
      </c>
      <c r="O170" s="37">
        <f>N170* (1 + Scenarios!$K$10)</f>
        <v>0</v>
      </c>
      <c r="P170" s="37">
        <f>O170* (1 + Scenarios!$K$10)</f>
        <v>0</v>
      </c>
      <c r="Q170" s="37">
        <f>P170* (1 + Scenarios!$K$10)</f>
        <v>0</v>
      </c>
      <c r="R170" s="37">
        <f>Q170* (1 + Scenarios!$K$10)</f>
        <v>0</v>
      </c>
      <c r="S170" s="37">
        <f>R170* (1 + Scenarios!$K$10)</f>
        <v>0</v>
      </c>
      <c r="T170" s="37">
        <f>S170* (1 + Scenarios!$K$10)</f>
        <v>0</v>
      </c>
      <c r="U170" s="37">
        <f>T170* (1 + Scenarios!$K$10)</f>
        <v>0</v>
      </c>
      <c r="V170" s="37">
        <f>U170* (1 + Scenarios!$K$10)</f>
        <v>0</v>
      </c>
      <c r="W170" s="37">
        <f>V170* (1 + Scenarios!$K$10)</f>
        <v>0</v>
      </c>
      <c r="X170" s="37">
        <f>W170* (1 + Scenarios!$K$10)</f>
        <v>0</v>
      </c>
      <c r="Y170" s="37">
        <f>X170* (1 + Scenarios!$K$10)</f>
        <v>0</v>
      </c>
      <c r="Z170" s="37">
        <f>Y170* (1 + Scenarios!$K$10)</f>
        <v>0</v>
      </c>
      <c r="AA170" s="37">
        <f>Z170* (1 + Scenarios!$K$10)</f>
        <v>0</v>
      </c>
      <c r="AB170" s="37">
        <f>AA170* (1 + Scenarios!$K$10)</f>
        <v>0</v>
      </c>
      <c r="AC170" s="37">
        <f>AB170* (1 + Scenarios!$K$10)</f>
        <v>0</v>
      </c>
      <c r="AD170" s="37">
        <f>AC170* (1 + Scenarios!$K$10)</f>
        <v>0</v>
      </c>
      <c r="AE170" s="37">
        <f>AD170* (1 + Scenarios!$K$10)</f>
        <v>0</v>
      </c>
      <c r="AF170" s="37">
        <f>AE170* (1 + Scenarios!$K$10)</f>
        <v>0</v>
      </c>
      <c r="AG170" s="37">
        <f>AF170* (1 + Scenarios!$K$10)</f>
        <v>0</v>
      </c>
      <c r="AH170" s="37">
        <f>AG170* (1 + Scenarios!$K$10)</f>
        <v>0</v>
      </c>
      <c r="AI170" s="37">
        <f>AH170* (1 + Scenarios!$K$10)</f>
        <v>0</v>
      </c>
      <c r="AJ170" s="37">
        <f>AI170* (1 + Scenarios!$K$10)</f>
        <v>0</v>
      </c>
      <c r="AK170" s="37">
        <f>AJ170* (1 + Scenarios!$K$10)</f>
        <v>0</v>
      </c>
      <c r="AL170" s="37">
        <f>AK170* (1 + Scenarios!$K$10)</f>
        <v>0</v>
      </c>
      <c r="AM170" s="37">
        <f>AL170* (1 + Scenarios!$K$10)</f>
        <v>0</v>
      </c>
      <c r="AN170" s="37">
        <f>AM170* (1 + Scenarios!$K$10)</f>
        <v>0</v>
      </c>
      <c r="AO170" s="37">
        <f>AN170* (1 + Scenarios!$K$10)</f>
        <v>0</v>
      </c>
      <c r="AP170" s="37">
        <f>AO170* (1 + Scenarios!$K$10)</f>
        <v>0</v>
      </c>
      <c r="AQ170" s="37">
        <f>AP170* (1 + Scenarios!$K$10)</f>
        <v>0</v>
      </c>
      <c r="AR170" s="37">
        <f>AQ170* (1 + Scenarios!$K$10)</f>
        <v>0</v>
      </c>
      <c r="AS170" s="37">
        <f>AR170* (1 + Scenarios!$K$10)</f>
        <v>0</v>
      </c>
      <c r="AT170" s="37">
        <f>AS170* (1 + Scenarios!$K$10)</f>
        <v>0</v>
      </c>
      <c r="AU170" s="37">
        <f>AT170* (1 + Scenarios!$K$10)</f>
        <v>0</v>
      </c>
      <c r="AV170" s="37">
        <f>AU170* (1 + Scenarios!$K$10)</f>
        <v>0</v>
      </c>
      <c r="AW170" s="37">
        <f>AV170* (1 + Scenarios!$K$10)</f>
        <v>0</v>
      </c>
      <c r="AX170" s="37">
        <f>AW170* (1 + Scenarios!$K$10)</f>
        <v>0</v>
      </c>
      <c r="AY170" s="37">
        <f>AX170* (1 + Scenarios!$K$10)</f>
        <v>0</v>
      </c>
      <c r="AZ170" s="37">
        <f>AY170* (1 + Scenarios!$K$10)</f>
        <v>0</v>
      </c>
    </row>
    <row r="171" spans="1:52">
      <c r="A171" s="77" t="s">
        <v>339</v>
      </c>
    </row>
    <row r="172" spans="1:52" s="37" customFormat="1">
      <c r="A172" s="78" t="s">
        <v>340</v>
      </c>
      <c r="B172" s="88"/>
      <c r="C172" s="88"/>
      <c r="D172" s="37">
        <f>C172* (1 + Scenarios!$K$10)</f>
        <v>0</v>
      </c>
      <c r="E172" s="37">
        <f>D172* (1 + Scenarios!$K$10)</f>
        <v>0</v>
      </c>
      <c r="F172" s="37">
        <f>E172* (1 + Scenarios!$K$10)</f>
        <v>0</v>
      </c>
      <c r="G172" s="37">
        <f>F172* (1 + Scenarios!$K$10)</f>
        <v>0</v>
      </c>
      <c r="H172" s="37">
        <f>G172* (1 + Scenarios!$K$10)</f>
        <v>0</v>
      </c>
      <c r="I172" s="37">
        <f>H172* (1 + Scenarios!$K$10)</f>
        <v>0</v>
      </c>
      <c r="J172" s="37">
        <f>I172* (1 + Scenarios!$K$10)</f>
        <v>0</v>
      </c>
      <c r="K172" s="37">
        <f>J172* (1 + Scenarios!$K$10)</f>
        <v>0</v>
      </c>
      <c r="L172" s="37">
        <f>K172* (1 + Scenarios!$K$10)</f>
        <v>0</v>
      </c>
      <c r="M172" s="37">
        <f>L172* (1 + Scenarios!$K$10)</f>
        <v>0</v>
      </c>
      <c r="N172" s="37">
        <f>M172* (1 + Scenarios!$K$10)</f>
        <v>0</v>
      </c>
      <c r="O172" s="37">
        <f>N172* (1 + Scenarios!$K$10)</f>
        <v>0</v>
      </c>
      <c r="P172" s="37">
        <f>O172* (1 + Scenarios!$K$10)</f>
        <v>0</v>
      </c>
      <c r="Q172" s="37">
        <f>P172* (1 + Scenarios!$K$10)</f>
        <v>0</v>
      </c>
      <c r="R172" s="37">
        <f>Q172* (1 + Scenarios!$K$10)</f>
        <v>0</v>
      </c>
      <c r="S172" s="37">
        <f>R172* (1 + Scenarios!$K$10)</f>
        <v>0</v>
      </c>
      <c r="T172" s="37">
        <f>S172* (1 + Scenarios!$K$10)</f>
        <v>0</v>
      </c>
      <c r="U172" s="37">
        <f>T172* (1 + Scenarios!$K$10)</f>
        <v>0</v>
      </c>
      <c r="V172" s="37">
        <f>U172* (1 + Scenarios!$K$10)</f>
        <v>0</v>
      </c>
      <c r="W172" s="37">
        <f>V172* (1 + Scenarios!$K$10)</f>
        <v>0</v>
      </c>
      <c r="X172" s="37">
        <f>W172* (1 + Scenarios!$K$10)</f>
        <v>0</v>
      </c>
      <c r="Y172" s="37">
        <f>X172* (1 + Scenarios!$K$10)</f>
        <v>0</v>
      </c>
      <c r="Z172" s="37">
        <f>Y172* (1 + Scenarios!$K$10)</f>
        <v>0</v>
      </c>
      <c r="AA172" s="37">
        <f>Z172* (1 + Scenarios!$K$10)</f>
        <v>0</v>
      </c>
      <c r="AB172" s="37">
        <f>AA172* (1 + Scenarios!$K$10)</f>
        <v>0</v>
      </c>
      <c r="AC172" s="37">
        <f>AB172* (1 + Scenarios!$K$10)</f>
        <v>0</v>
      </c>
      <c r="AD172" s="37">
        <f>AC172* (1 + Scenarios!$K$10)</f>
        <v>0</v>
      </c>
      <c r="AE172" s="37">
        <f>AD172* (1 + Scenarios!$K$10)</f>
        <v>0</v>
      </c>
      <c r="AF172" s="37">
        <f>AE172* (1 + Scenarios!$K$10)</f>
        <v>0</v>
      </c>
      <c r="AG172" s="37">
        <f>AF172* (1 + Scenarios!$K$10)</f>
        <v>0</v>
      </c>
      <c r="AH172" s="37">
        <f>AG172* (1 + Scenarios!$K$10)</f>
        <v>0</v>
      </c>
      <c r="AI172" s="37">
        <f>AH172* (1 + Scenarios!$K$10)</f>
        <v>0</v>
      </c>
      <c r="AJ172" s="37">
        <f>AI172* (1 + Scenarios!$K$10)</f>
        <v>0</v>
      </c>
      <c r="AK172" s="37">
        <f>AJ172* (1 + Scenarios!$K$10)</f>
        <v>0</v>
      </c>
      <c r="AL172" s="37">
        <f>AK172* (1 + Scenarios!$K$10)</f>
        <v>0</v>
      </c>
      <c r="AM172" s="37">
        <f>AL172* (1 + Scenarios!$K$10)</f>
        <v>0</v>
      </c>
      <c r="AN172" s="37">
        <f>AM172* (1 + Scenarios!$K$10)</f>
        <v>0</v>
      </c>
      <c r="AO172" s="37">
        <f>AN172* (1 + Scenarios!$K$10)</f>
        <v>0</v>
      </c>
      <c r="AP172" s="37">
        <f>AO172* (1 + Scenarios!$K$10)</f>
        <v>0</v>
      </c>
      <c r="AQ172" s="37">
        <f>AP172* (1 + Scenarios!$K$10)</f>
        <v>0</v>
      </c>
      <c r="AR172" s="37">
        <f>AQ172* (1 + Scenarios!$K$10)</f>
        <v>0</v>
      </c>
      <c r="AS172" s="37">
        <f>AR172* (1 + Scenarios!$K$10)</f>
        <v>0</v>
      </c>
      <c r="AT172" s="37">
        <f>AS172* (1 + Scenarios!$K$10)</f>
        <v>0</v>
      </c>
      <c r="AU172" s="37">
        <f>AT172* (1 + Scenarios!$K$10)</f>
        <v>0</v>
      </c>
      <c r="AV172" s="37">
        <f>AU172* (1 + Scenarios!$K$10)</f>
        <v>0</v>
      </c>
      <c r="AW172" s="37">
        <f>AV172* (1 + Scenarios!$K$10)</f>
        <v>0</v>
      </c>
      <c r="AX172" s="37">
        <f>AW172* (1 + Scenarios!$K$10)</f>
        <v>0</v>
      </c>
      <c r="AY172" s="37">
        <f>AX172* (1 + Scenarios!$K$10)</f>
        <v>0</v>
      </c>
      <c r="AZ172" s="37">
        <f>AY172* (1 + Scenarios!$K$10)</f>
        <v>0</v>
      </c>
    </row>
    <row r="173" spans="1:52">
      <c r="A173" s="77" t="s">
        <v>341</v>
      </c>
    </row>
    <row r="174" spans="1:52" s="37" customFormat="1">
      <c r="A174" s="78" t="s">
        <v>342</v>
      </c>
      <c r="B174" s="88"/>
      <c r="C174" s="88">
        <f>0</f>
        <v>0</v>
      </c>
      <c r="D174" s="37">
        <f>0</f>
        <v>0</v>
      </c>
      <c r="E174" s="37">
        <f>0</f>
        <v>0</v>
      </c>
      <c r="F174" s="37">
        <f>0</f>
        <v>0</v>
      </c>
      <c r="G174" s="37">
        <f>0</f>
        <v>0</v>
      </c>
      <c r="H174" s="37">
        <f>0</f>
        <v>0</v>
      </c>
      <c r="I174" s="37">
        <f>0</f>
        <v>0</v>
      </c>
      <c r="J174" s="37">
        <f>0</f>
        <v>0</v>
      </c>
      <c r="K174" s="37">
        <f>0</f>
        <v>0</v>
      </c>
      <c r="L174" s="37">
        <f>0</f>
        <v>0</v>
      </c>
      <c r="M174" s="37">
        <f>0</f>
        <v>0</v>
      </c>
      <c r="N174" s="37">
        <f>0</f>
        <v>0</v>
      </c>
      <c r="O174" s="37">
        <f>0</f>
        <v>0</v>
      </c>
      <c r="P174" s="37">
        <f>0</f>
        <v>0</v>
      </c>
      <c r="Q174" s="37">
        <f>0</f>
        <v>0</v>
      </c>
      <c r="R174" s="37">
        <f>0</f>
        <v>0</v>
      </c>
      <c r="S174" s="37">
        <f>0</f>
        <v>0</v>
      </c>
      <c r="T174" s="37">
        <f>0</f>
        <v>0</v>
      </c>
      <c r="U174" s="37">
        <f>0</f>
        <v>0</v>
      </c>
      <c r="V174" s="37">
        <f>0</f>
        <v>0</v>
      </c>
      <c r="W174" s="37">
        <f>0</f>
        <v>0</v>
      </c>
      <c r="X174" s="37">
        <f>0</f>
        <v>0</v>
      </c>
      <c r="Y174" s="37">
        <f>0</f>
        <v>0</v>
      </c>
      <c r="Z174" s="37">
        <f>0</f>
        <v>0</v>
      </c>
      <c r="AA174" s="37">
        <f>0</f>
        <v>0</v>
      </c>
      <c r="AB174" s="37">
        <f>0</f>
        <v>0</v>
      </c>
      <c r="AC174" s="37">
        <f>0</f>
        <v>0</v>
      </c>
      <c r="AD174" s="37">
        <f>0</f>
        <v>0</v>
      </c>
      <c r="AE174" s="37">
        <f>0</f>
        <v>0</v>
      </c>
      <c r="AF174" s="37">
        <f>0</f>
        <v>0</v>
      </c>
      <c r="AG174" s="37">
        <f>0</f>
        <v>0</v>
      </c>
      <c r="AH174" s="37">
        <f>0</f>
        <v>0</v>
      </c>
      <c r="AI174" s="37">
        <f>0</f>
        <v>0</v>
      </c>
      <c r="AJ174" s="37">
        <f>0</f>
        <v>0</v>
      </c>
      <c r="AK174" s="37">
        <f>0</f>
        <v>0</v>
      </c>
      <c r="AL174" s="37">
        <f>0</f>
        <v>0</v>
      </c>
      <c r="AM174" s="37">
        <f>0</f>
        <v>0</v>
      </c>
      <c r="AN174" s="37">
        <f>0</f>
        <v>0</v>
      </c>
      <c r="AO174" s="37">
        <f>0</f>
        <v>0</v>
      </c>
      <c r="AP174" s="37">
        <f>0</f>
        <v>0</v>
      </c>
      <c r="AQ174" s="37">
        <f>0</f>
        <v>0</v>
      </c>
      <c r="AR174" s="37">
        <f>0</f>
        <v>0</v>
      </c>
      <c r="AS174" s="37">
        <f>0</f>
        <v>0</v>
      </c>
      <c r="AT174" s="37">
        <f>0</f>
        <v>0</v>
      </c>
      <c r="AU174" s="37">
        <f>0</f>
        <v>0</v>
      </c>
      <c r="AV174" s="37">
        <f>0</f>
        <v>0</v>
      </c>
      <c r="AW174" s="37">
        <f>0</f>
        <v>0</v>
      </c>
      <c r="AX174" s="37">
        <f>0</f>
        <v>0</v>
      </c>
      <c r="AY174" s="37">
        <f>0</f>
        <v>0</v>
      </c>
      <c r="AZ174" s="37">
        <f>0</f>
        <v>0</v>
      </c>
    </row>
    <row r="175" spans="1:52" s="37" customFormat="1">
      <c r="A175" s="78" t="s">
        <v>343</v>
      </c>
      <c r="B175" s="88"/>
      <c r="C175" s="88">
        <f>Assumptions!$B$69*Assumptions!$B$70</f>
        <v>5538.7750000000005</v>
      </c>
      <c r="D175" s="37">
        <f>Assumptions!$B$69*Assumptions!$B$70</f>
        <v>5538.7750000000005</v>
      </c>
      <c r="E175" s="37">
        <f>Assumptions!$B$69*Assumptions!$B$70</f>
        <v>5538.7750000000005</v>
      </c>
      <c r="F175" s="37">
        <f>Assumptions!$B$69*Assumptions!$B$70</f>
        <v>5538.7750000000005</v>
      </c>
      <c r="G175" s="37">
        <f>Assumptions!$B$69*Assumptions!$B$70</f>
        <v>5538.7750000000005</v>
      </c>
      <c r="H175" s="37">
        <f>Assumptions!$B$69*Assumptions!$B$70</f>
        <v>5538.7750000000005</v>
      </c>
      <c r="I175" s="37">
        <f>Assumptions!$B$69*Assumptions!$B$70</f>
        <v>5538.7750000000005</v>
      </c>
      <c r="J175" s="37">
        <f>Assumptions!$B$69*Assumptions!$B$70</f>
        <v>5538.7750000000005</v>
      </c>
      <c r="K175" s="37">
        <f>Assumptions!$B$69*Assumptions!$B$70</f>
        <v>5538.7750000000005</v>
      </c>
      <c r="L175" s="37">
        <f>Assumptions!$B$69*Assumptions!$B$70</f>
        <v>5538.7750000000005</v>
      </c>
      <c r="M175" s="37">
        <f>Assumptions!$B$69*Assumptions!$B$70</f>
        <v>5538.7750000000005</v>
      </c>
      <c r="N175" s="37">
        <f>Assumptions!$B$69*Assumptions!$B$70</f>
        <v>5538.7750000000005</v>
      </c>
      <c r="O175" s="37">
        <f>Assumptions!$B$69*Assumptions!$B$70</f>
        <v>5538.7750000000005</v>
      </c>
      <c r="P175" s="37">
        <f>Assumptions!$B$69*Assumptions!$B$70</f>
        <v>5538.7750000000005</v>
      </c>
      <c r="Q175" s="37">
        <f>Assumptions!$B$69*Assumptions!$B$70</f>
        <v>5538.7750000000005</v>
      </c>
      <c r="R175" s="37">
        <f>Assumptions!$B$69*Assumptions!$B$70</f>
        <v>5538.7750000000005</v>
      </c>
      <c r="S175" s="37">
        <f>Assumptions!$B$69*Assumptions!$B$70</f>
        <v>5538.7750000000005</v>
      </c>
      <c r="T175" s="37">
        <f>Assumptions!$B$69*Assumptions!$B$70</f>
        <v>5538.7750000000005</v>
      </c>
      <c r="U175" s="37">
        <f>Assumptions!$B$69*Assumptions!$B$70</f>
        <v>5538.7750000000005</v>
      </c>
      <c r="V175" s="37">
        <f>Assumptions!$B$69*Assumptions!$B$70</f>
        <v>5538.7750000000005</v>
      </c>
      <c r="W175" s="37">
        <f>Assumptions!$B$69*Assumptions!$B$70</f>
        <v>5538.7750000000005</v>
      </c>
      <c r="X175" s="37">
        <f>Assumptions!$B$69*Assumptions!$B$70</f>
        <v>5538.7750000000005</v>
      </c>
      <c r="Y175" s="37">
        <f>Assumptions!$B$69*Assumptions!$B$70</f>
        <v>5538.7750000000005</v>
      </c>
      <c r="Z175" s="37">
        <f>Assumptions!$B$69*Assumptions!$B$70</f>
        <v>5538.7750000000005</v>
      </c>
      <c r="AA175" s="37">
        <f>Assumptions!$B$69*Assumptions!$B$70</f>
        <v>5538.7750000000005</v>
      </c>
      <c r="AB175" s="37">
        <f>Assumptions!$B$69*Assumptions!$B$70</f>
        <v>5538.7750000000005</v>
      </c>
      <c r="AC175" s="37">
        <f>Assumptions!$B$69*Assumptions!$B$70</f>
        <v>5538.7750000000005</v>
      </c>
      <c r="AD175" s="37">
        <f>Assumptions!$B$69*Assumptions!$B$70</f>
        <v>5538.7750000000005</v>
      </c>
      <c r="AE175" s="37">
        <f>Assumptions!$B$69*Assumptions!$B$70</f>
        <v>5538.7750000000005</v>
      </c>
      <c r="AF175" s="37">
        <f>Assumptions!$B$69*Assumptions!$B$70</f>
        <v>5538.7750000000005</v>
      </c>
      <c r="AG175" s="37">
        <f>Assumptions!$B$69*Assumptions!$B$70</f>
        <v>5538.7750000000005</v>
      </c>
      <c r="AH175" s="37">
        <f>Assumptions!$B$69*Assumptions!$B$70</f>
        <v>5538.7750000000005</v>
      </c>
      <c r="AI175" s="37">
        <f>Assumptions!$B$69*Assumptions!$B$70</f>
        <v>5538.7750000000005</v>
      </c>
      <c r="AJ175" s="37">
        <f>Assumptions!$B$69*Assumptions!$B$70</f>
        <v>5538.7750000000005</v>
      </c>
      <c r="AK175" s="37">
        <f>Assumptions!$B$69*Assumptions!$B$70</f>
        <v>5538.7750000000005</v>
      </c>
      <c r="AL175" s="37">
        <f>Assumptions!$B$69*Assumptions!$B$70</f>
        <v>5538.7750000000005</v>
      </c>
      <c r="AM175" s="37">
        <f>Assumptions!$B$69*Assumptions!$B$70</f>
        <v>5538.7750000000005</v>
      </c>
      <c r="AN175" s="37">
        <f>Assumptions!$B$69*Assumptions!$B$70</f>
        <v>5538.7750000000005</v>
      </c>
      <c r="AO175" s="37">
        <f>Assumptions!$B$69*Assumptions!$B$70</f>
        <v>5538.7750000000005</v>
      </c>
      <c r="AP175" s="37">
        <f>Assumptions!$B$69*Assumptions!$B$70</f>
        <v>5538.7750000000005</v>
      </c>
      <c r="AQ175" s="37">
        <f>Assumptions!$B$69*Assumptions!$B$70</f>
        <v>5538.7750000000005</v>
      </c>
      <c r="AR175" s="37">
        <f>Assumptions!$B$69*Assumptions!$B$70</f>
        <v>5538.7750000000005</v>
      </c>
      <c r="AS175" s="37">
        <f>Assumptions!$B$69*Assumptions!$B$70</f>
        <v>5538.7750000000005</v>
      </c>
      <c r="AT175" s="37">
        <f>Assumptions!$B$69*Assumptions!$B$70</f>
        <v>5538.7750000000005</v>
      </c>
      <c r="AU175" s="37">
        <f>Assumptions!$B$69*Assumptions!$B$70</f>
        <v>5538.7750000000005</v>
      </c>
      <c r="AV175" s="37">
        <f>Assumptions!$B$69*Assumptions!$B$70</f>
        <v>5538.7750000000005</v>
      </c>
      <c r="AW175" s="37">
        <f>Assumptions!$B$69*Assumptions!$B$70</f>
        <v>5538.7750000000005</v>
      </c>
      <c r="AX175" s="37">
        <f>Assumptions!$B$69*Assumptions!$B$70</f>
        <v>5538.7750000000005</v>
      </c>
      <c r="AY175" s="37">
        <f>Assumptions!$B$69*Assumptions!$B$70</f>
        <v>5538.7750000000005</v>
      </c>
      <c r="AZ175" s="37">
        <f>Assumptions!$B$69*Assumptions!$B$70</f>
        <v>5538.7750000000005</v>
      </c>
    </row>
    <row r="176" spans="1:52" s="37" customFormat="1">
      <c r="A176" s="78" t="s">
        <v>344</v>
      </c>
      <c r="C176" s="37">
        <f>Loan_IO_to_PI!N200</f>
        <v>0</v>
      </c>
      <c r="D176" s="37">
        <f>Loan_IO_to_PI!O200</f>
        <v>0</v>
      </c>
      <c r="E176" s="37">
        <f>Loan_IO_to_PI!P200</f>
        <v>0</v>
      </c>
      <c r="F176" s="37">
        <f>Loan_IO_to_PI!Q200</f>
        <v>0</v>
      </c>
      <c r="G176" s="37">
        <f>Loan_IO_to_PI!R200</f>
        <v>0</v>
      </c>
      <c r="H176" s="37">
        <f>Loan_IO_to_PI!S200</f>
        <v>0</v>
      </c>
      <c r="I176" s="37">
        <f>Loan_IO_to_PI!T200</f>
        <v>0</v>
      </c>
      <c r="J176" s="37">
        <f>Loan_IO_to_PI!U200</f>
        <v>0</v>
      </c>
      <c r="K176" s="37">
        <f>Loan_IO_to_PI!V200</f>
        <v>0</v>
      </c>
      <c r="L176" s="37">
        <f>Loan_IO_to_PI!W200</f>
        <v>0</v>
      </c>
      <c r="M176" s="37">
        <f>Loan_IO_to_PI!X200</f>
        <v>0</v>
      </c>
      <c r="N176" s="37">
        <f>Loan_IO_to_PI!Y200</f>
        <v>0</v>
      </c>
      <c r="O176" s="37">
        <f>Loan_IO_to_PI!Z200</f>
        <v>0</v>
      </c>
      <c r="P176" s="37">
        <f>Loan_IO_to_PI!AA200</f>
        <v>0</v>
      </c>
      <c r="Q176" s="37">
        <f>Loan_IO_to_PI!AB200</f>
        <v>0</v>
      </c>
      <c r="R176" s="37">
        <f>Loan_IO_to_PI!AC200</f>
        <v>0</v>
      </c>
      <c r="S176" s="37">
        <f>Loan_IO_to_PI!AD200</f>
        <v>0</v>
      </c>
      <c r="T176" s="37">
        <f>Loan_IO_to_PI!AE200</f>
        <v>0</v>
      </c>
      <c r="U176" s="37">
        <f>Loan_IO_to_PI!AF200</f>
        <v>0</v>
      </c>
      <c r="V176" s="37">
        <f>Loan_IO_to_PI!AG200</f>
        <v>0</v>
      </c>
      <c r="W176" s="37">
        <f>Loan_IO_to_PI!AH200</f>
        <v>0</v>
      </c>
      <c r="X176" s="37">
        <f>Loan_IO_to_PI!AI200</f>
        <v>0</v>
      </c>
      <c r="Y176" s="37">
        <f>Loan_IO_to_PI!AJ200</f>
        <v>0</v>
      </c>
      <c r="Z176" s="37">
        <f>Loan_IO_to_PI!AK200</f>
        <v>0</v>
      </c>
      <c r="AA176" s="37">
        <f>Loan_IO_to_PI!AL200</f>
        <v>0</v>
      </c>
      <c r="AB176" s="37">
        <f>Loan_IO_to_PI!AM200</f>
        <v>0</v>
      </c>
      <c r="AC176" s="37">
        <f>Loan_IO_to_PI!AN200</f>
        <v>0</v>
      </c>
      <c r="AD176" s="37">
        <f>Loan_IO_to_PI!AO200</f>
        <v>0</v>
      </c>
      <c r="AE176" s="37">
        <f>Loan_IO_to_PI!AP200</f>
        <v>0</v>
      </c>
      <c r="AF176" s="37">
        <f>Loan_IO_to_PI!AQ200</f>
        <v>0</v>
      </c>
      <c r="AG176" s="37">
        <f>Loan_IO_to_PI!AR200</f>
        <v>0</v>
      </c>
      <c r="AH176" s="37">
        <f>Loan_IO_to_PI!AS200</f>
        <v>0</v>
      </c>
      <c r="AI176" s="37">
        <f>Loan_IO_to_PI!AT200</f>
        <v>0</v>
      </c>
      <c r="AJ176" s="37">
        <f>Loan_IO_to_PI!AU200</f>
        <v>0</v>
      </c>
      <c r="AK176" s="37">
        <f>Loan_IO_to_PI!AV200</f>
        <v>0</v>
      </c>
      <c r="AL176" s="37">
        <f>Loan_IO_to_PI!AW200</f>
        <v>0</v>
      </c>
      <c r="AM176" s="37">
        <f>Loan_IO_to_PI!AX200</f>
        <v>0</v>
      </c>
      <c r="AN176" s="37">
        <f>Loan_IO_to_PI!AY200</f>
        <v>0</v>
      </c>
      <c r="AO176" s="37">
        <f>Loan_IO_to_PI!AZ200</f>
        <v>0</v>
      </c>
      <c r="AP176" s="37">
        <f>Loan_IO_to_PI!BA200</f>
        <v>0</v>
      </c>
      <c r="AQ176" s="37">
        <f>Loan_IO_to_PI!BB200</f>
        <v>0</v>
      </c>
      <c r="AR176" s="37">
        <f>Loan_IO_to_PI!BC200</f>
        <v>0</v>
      </c>
      <c r="AS176" s="37">
        <f>Loan_IO_to_PI!BD200</f>
        <v>0</v>
      </c>
      <c r="AT176" s="37">
        <f>Loan_IO_to_PI!BE200</f>
        <v>0</v>
      </c>
      <c r="AU176" s="37">
        <f>Loan_IO_to_PI!BF200</f>
        <v>0</v>
      </c>
      <c r="AV176" s="37">
        <f>Loan_IO_to_PI!BG200</f>
        <v>0</v>
      </c>
      <c r="AW176" s="37">
        <f>Loan_IO_to_PI!BH200</f>
        <v>0</v>
      </c>
      <c r="AX176" s="37">
        <f>Loan_IO_to_PI!BI200</f>
        <v>0</v>
      </c>
      <c r="AY176" s="37">
        <f>Loan_IO_to_PI!BJ200</f>
        <v>0</v>
      </c>
      <c r="AZ176" s="37">
        <f>Loan_IO_to_PI!BK200</f>
        <v>0</v>
      </c>
    </row>
    <row r="177" spans="1:52" s="37" customFormat="1">
      <c r="A177" s="78" t="s">
        <v>345</v>
      </c>
      <c r="B177" s="88"/>
      <c r="C177" s="88"/>
      <c r="D177" s="37">
        <f>C177* (1 + Scenarios!$K$10)</f>
        <v>0</v>
      </c>
      <c r="E177" s="37">
        <f>D177* (1 + Scenarios!$K$10)</f>
        <v>0</v>
      </c>
      <c r="F177" s="37">
        <f>E177* (1 + Scenarios!$K$10)</f>
        <v>0</v>
      </c>
      <c r="G177" s="37">
        <f>F177* (1 + Scenarios!$K$10)</f>
        <v>0</v>
      </c>
      <c r="H177" s="37">
        <f>G177* (1 + Scenarios!$K$10)</f>
        <v>0</v>
      </c>
      <c r="I177" s="37">
        <f>H177* (1 + Scenarios!$K$10)</f>
        <v>0</v>
      </c>
      <c r="J177" s="37">
        <f>I177* (1 + Scenarios!$K$10)</f>
        <v>0</v>
      </c>
      <c r="K177" s="37">
        <f>J177* (1 + Scenarios!$K$10)</f>
        <v>0</v>
      </c>
      <c r="L177" s="37">
        <f>K177* (1 + Scenarios!$K$10)</f>
        <v>0</v>
      </c>
      <c r="M177" s="37">
        <f>L177* (1 + Scenarios!$K$10)</f>
        <v>0</v>
      </c>
      <c r="N177" s="37">
        <f>M177* (1 + Scenarios!$K$10)</f>
        <v>0</v>
      </c>
      <c r="O177" s="37">
        <f>N177* (1 + Scenarios!$K$10)</f>
        <v>0</v>
      </c>
      <c r="P177" s="37">
        <f>O177* (1 + Scenarios!$K$10)</f>
        <v>0</v>
      </c>
      <c r="Q177" s="37">
        <f>P177* (1 + Scenarios!$K$10)</f>
        <v>0</v>
      </c>
      <c r="R177" s="37">
        <f>Q177* (1 + Scenarios!$K$10)</f>
        <v>0</v>
      </c>
      <c r="S177" s="37">
        <f>R177* (1 + Scenarios!$K$10)</f>
        <v>0</v>
      </c>
      <c r="T177" s="37">
        <f>S177* (1 + Scenarios!$K$10)</f>
        <v>0</v>
      </c>
      <c r="U177" s="37">
        <f>T177* (1 + Scenarios!$K$10)</f>
        <v>0</v>
      </c>
      <c r="V177" s="37">
        <f>U177* (1 + Scenarios!$K$10)</f>
        <v>0</v>
      </c>
      <c r="W177" s="37">
        <f>V177* (1 + Scenarios!$K$10)</f>
        <v>0</v>
      </c>
      <c r="X177" s="37">
        <f>W177* (1 + Scenarios!$K$10)</f>
        <v>0</v>
      </c>
      <c r="Y177" s="37">
        <f>X177* (1 + Scenarios!$K$10)</f>
        <v>0</v>
      </c>
      <c r="Z177" s="37">
        <f>Y177* (1 + Scenarios!$K$10)</f>
        <v>0</v>
      </c>
      <c r="AA177" s="37">
        <f>Z177* (1 + Scenarios!$K$10)</f>
        <v>0</v>
      </c>
      <c r="AB177" s="37">
        <f>AA177* (1 + Scenarios!$K$10)</f>
        <v>0</v>
      </c>
      <c r="AC177" s="37">
        <f>AB177* (1 + Scenarios!$K$10)</f>
        <v>0</v>
      </c>
      <c r="AD177" s="37">
        <f>AC177* (1 + Scenarios!$K$10)</f>
        <v>0</v>
      </c>
      <c r="AE177" s="37">
        <f>AD177* (1 + Scenarios!$K$10)</f>
        <v>0</v>
      </c>
      <c r="AF177" s="37">
        <f>AE177* (1 + Scenarios!$K$10)</f>
        <v>0</v>
      </c>
      <c r="AG177" s="37">
        <f>AF177* (1 + Scenarios!$K$10)</f>
        <v>0</v>
      </c>
      <c r="AH177" s="37">
        <f>AG177* (1 + Scenarios!$K$10)</f>
        <v>0</v>
      </c>
      <c r="AI177" s="37">
        <f>AH177* (1 + Scenarios!$K$10)</f>
        <v>0</v>
      </c>
      <c r="AJ177" s="37">
        <f>AI177* (1 + Scenarios!$K$10)</f>
        <v>0</v>
      </c>
      <c r="AK177" s="37">
        <f>AJ177* (1 + Scenarios!$K$10)</f>
        <v>0</v>
      </c>
      <c r="AL177" s="37">
        <f>AK177* (1 + Scenarios!$K$10)</f>
        <v>0</v>
      </c>
      <c r="AM177" s="37">
        <f>AL177* (1 + Scenarios!$K$10)</f>
        <v>0</v>
      </c>
      <c r="AN177" s="37">
        <f>AM177* (1 + Scenarios!$K$10)</f>
        <v>0</v>
      </c>
      <c r="AO177" s="37">
        <f>AN177* (1 + Scenarios!$K$10)</f>
        <v>0</v>
      </c>
      <c r="AP177" s="37">
        <f>AO177* (1 + Scenarios!$K$10)</f>
        <v>0</v>
      </c>
      <c r="AQ177" s="37">
        <f>AP177* (1 + Scenarios!$K$10)</f>
        <v>0</v>
      </c>
      <c r="AR177" s="37">
        <f>AQ177* (1 + Scenarios!$K$10)</f>
        <v>0</v>
      </c>
      <c r="AS177" s="37">
        <f>AR177* (1 + Scenarios!$K$10)</f>
        <v>0</v>
      </c>
      <c r="AT177" s="37">
        <f>AS177* (1 + Scenarios!$K$10)</f>
        <v>0</v>
      </c>
      <c r="AU177" s="37">
        <f>AT177* (1 + Scenarios!$K$10)</f>
        <v>0</v>
      </c>
      <c r="AV177" s="37">
        <f>AU177* (1 + Scenarios!$K$10)</f>
        <v>0</v>
      </c>
      <c r="AW177" s="37">
        <f>AV177* (1 + Scenarios!$K$10)</f>
        <v>0</v>
      </c>
      <c r="AX177" s="37">
        <f>AW177* (1 + Scenarios!$K$10)</f>
        <v>0</v>
      </c>
      <c r="AY177" s="37">
        <f>AX177* (1 + Scenarios!$K$10)</f>
        <v>0</v>
      </c>
      <c r="AZ177" s="37">
        <f>AY177* (1 + Scenarios!$K$10)</f>
        <v>0</v>
      </c>
    </row>
    <row r="178" spans="1:52" s="37" customFormat="1">
      <c r="A178" s="85" t="s">
        <v>346</v>
      </c>
    </row>
    <row r="179" spans="1:52" s="37" customFormat="1">
      <c r="A179" s="85" t="s">
        <v>347</v>
      </c>
      <c r="C179" s="37">
        <f>SUM(C146,C147,C148,C149,C150,C151,C152,C155,C156,C157,C158,C159,C161,C163,C164,C166,C167,C168,C169,C172,C174,C175,C176,C177)</f>
        <v>17538.695</v>
      </c>
      <c r="D179" s="37">
        <f t="shared" ref="D179:AZ179" si="19">SUM(D146,D147,D148,D149,D150,D151,D152,D155,D156,D157,D158,D159,D161,D163,D164,D166,D167,D168,D169,D172,D174,D175,D176,D177)</f>
        <v>16954.0442</v>
      </c>
      <c r="E179" s="37">
        <f t="shared" si="19"/>
        <v>17282.304265999999</v>
      </c>
      <c r="F179" s="37">
        <f t="shared" si="19"/>
        <v>17620.392133729998</v>
      </c>
      <c r="G179" s="37">
        <f t="shared" si="19"/>
        <v>20080.559542235649</v>
      </c>
      <c r="H179" s="37">
        <f t="shared" si="19"/>
        <v>19200.663165358812</v>
      </c>
      <c r="I179" s="37">
        <f t="shared" si="19"/>
        <v>19604.904746847071</v>
      </c>
      <c r="J179" s="37">
        <f t="shared" si="19"/>
        <v>20021.551239193166</v>
      </c>
      <c r="K179" s="37">
        <f t="shared" si="19"/>
        <v>21912.685586087002</v>
      </c>
      <c r="L179" s="37">
        <f t="shared" si="19"/>
        <v>20893.44442910729</v>
      </c>
      <c r="M179" s="37">
        <f t="shared" si="19"/>
        <v>21349.931443054131</v>
      </c>
      <c r="N179" s="37">
        <f t="shared" si="19"/>
        <v>21820.435873196217</v>
      </c>
      <c r="O179" s="37">
        <f t="shared" si="19"/>
        <v>23767.602927163829</v>
      </c>
      <c r="P179" s="37">
        <f t="shared" si="19"/>
        <v>22805.873938444762</v>
      </c>
      <c r="Q179" s="37">
        <f t="shared" si="19"/>
        <v>23258.213534400769</v>
      </c>
      <c r="R179" s="37">
        <f t="shared" si="19"/>
        <v>23722.481483930525</v>
      </c>
      <c r="S179" s="37">
        <f t="shared" si="19"/>
        <v>25660.994591783619</v>
      </c>
      <c r="T179" s="37">
        <f t="shared" si="19"/>
        <v>24688.078140705686</v>
      </c>
      <c r="U179" s="37">
        <f t="shared" si="19"/>
        <v>25190.066120124629</v>
      </c>
      <c r="V179" s="37">
        <f t="shared" si="19"/>
        <v>25705.301461056082</v>
      </c>
      <c r="W179" s="37">
        <f t="shared" si="19"/>
        <v>27696.136277398669</v>
      </c>
      <c r="X179" s="37">
        <f t="shared" si="19"/>
        <v>26776.932113794312</v>
      </c>
      <c r="Y179" s="37">
        <f t="shared" si="19"/>
        <v>27334.060200233664</v>
      </c>
      <c r="Z179" s="37">
        <f t="shared" si="19"/>
        <v>27905.901713591833</v>
      </c>
      <c r="AA179" s="37">
        <f t="shared" si="19"/>
        <v>29954.848046284529</v>
      </c>
      <c r="AB179" s="37">
        <f t="shared" si="19"/>
        <v>29095.30108224013</v>
      </c>
      <c r="AC179" s="37">
        <f t="shared" si="19"/>
        <v>29713.673480388577</v>
      </c>
      <c r="AD179" s="37">
        <f t="shared" si="19"/>
        <v>30348.388965873499</v>
      </c>
      <c r="AE179" s="37">
        <f t="shared" si="19"/>
        <v>32461.882629199808</v>
      </c>
      <c r="AF179" s="37">
        <f t="shared" si="19"/>
        <v>31668.601233534657</v>
      </c>
      <c r="AG179" s="37">
        <f t="shared" si="19"/>
        <v>32355.003530386028</v>
      </c>
      <c r="AH179" s="37">
        <f t="shared" si="19"/>
        <v>33059.560583889062</v>
      </c>
      <c r="AI179" s="37">
        <f t="shared" si="19"/>
        <v>35244.756103936976</v>
      </c>
      <c r="AJ179" s="37">
        <f t="shared" si="19"/>
        <v>34525.086788399618</v>
      </c>
      <c r="AK179" s="37">
        <f t="shared" si="19"/>
        <v>35287.06267467975</v>
      </c>
      <c r="AL179" s="37">
        <f t="shared" si="19"/>
        <v>36069.207500863988</v>
      </c>
      <c r="AM179" s="37">
        <f t="shared" si="19"/>
        <v>38334.059076732345</v>
      </c>
      <c r="AN179" s="37">
        <f t="shared" si="19"/>
        <v>37696.169664897818</v>
      </c>
      <c r="AO179" s="37">
        <f t="shared" si="19"/>
        <v>38542.106372354836</v>
      </c>
      <c r="AP179" s="37">
        <f t="shared" si="19"/>
        <v>39410.451552723323</v>
      </c>
      <c r="AQ179" s="37">
        <f t="shared" si="19"/>
        <v>41763.803219482812</v>
      </c>
      <c r="AR179" s="37">
        <f t="shared" si="19"/>
        <v>41216.775470499531</v>
      </c>
      <c r="AS179" s="37">
        <f t="shared" si="19"/>
        <v>42155.998924157546</v>
      </c>
      <c r="AT179" s="37">
        <f t="shared" si="19"/>
        <v>43120.12116741389</v>
      </c>
      <c r="AU179" s="37">
        <f t="shared" si="19"/>
        <v>45571.807216106208</v>
      </c>
      <c r="AV179" s="37">
        <f t="shared" si="19"/>
        <v>45125.739987851048</v>
      </c>
      <c r="AW179" s="37">
        <f t="shared" si="19"/>
        <v>46168.620787879772</v>
      </c>
      <c r="AX179" s="37">
        <f t="shared" si="19"/>
        <v>47239.169808169187</v>
      </c>
      <c r="AY179" s="37">
        <f t="shared" si="19"/>
        <v>49800.126640233611</v>
      </c>
      <c r="AZ179" s="37">
        <f t="shared" si="19"/>
        <v>49466.250801955452</v>
      </c>
    </row>
    <row r="180" spans="1:52" s="37" customFormat="1">
      <c r="A180" s="85" t="s">
        <v>348</v>
      </c>
      <c r="C180" s="37">
        <f>C144 - C179</f>
        <v>25101.305</v>
      </c>
      <c r="D180" s="37">
        <f t="shared" ref="D180:AZ180" si="20">D144 - D179</f>
        <v>26965.155800000004</v>
      </c>
      <c r="E180" s="37">
        <f t="shared" si="20"/>
        <v>27954.471734000006</v>
      </c>
      <c r="F180" s="37">
        <f t="shared" si="20"/>
        <v>28973.48714627001</v>
      </c>
      <c r="G180" s="37">
        <f t="shared" si="20"/>
        <v>27911.136116164358</v>
      </c>
      <c r="H180" s="37">
        <f t="shared" si="20"/>
        <v>30230.783362793198</v>
      </c>
      <c r="I180" s="37">
        <f t="shared" si="20"/>
        <v>31309.485177149498</v>
      </c>
      <c r="J180" s="37">
        <f t="shared" si="20"/>
        <v>32420.2703825233</v>
      </c>
      <c r="K180" s="37">
        <f t="shared" si="20"/>
        <v>32102.390684280963</v>
      </c>
      <c r="L180" s="37">
        <f t="shared" si="20"/>
        <v>34742.084129371709</v>
      </c>
      <c r="M180" s="37">
        <f t="shared" si="20"/>
        <v>35954.662972179241</v>
      </c>
      <c r="N180" s="37">
        <f t="shared" si="20"/>
        <v>37203.296374494166</v>
      </c>
      <c r="O180" s="37">
        <f t="shared" si="20"/>
        <v>37026.841287957257</v>
      </c>
      <c r="P180" s="37">
        <f t="shared" si="20"/>
        <v>39812.403603129962</v>
      </c>
      <c r="Q180" s="37">
        <f t="shared" si="20"/>
        <v>41238.612333421195</v>
      </c>
      <c r="R180" s="37">
        <f t="shared" si="20"/>
        <v>42709.249159926105</v>
      </c>
      <c r="S180" s="37">
        <f t="shared" si="20"/>
        <v>42763.687971388717</v>
      </c>
      <c r="T180" s="37">
        <f t="shared" si="20"/>
        <v>45789.344899361815</v>
      </c>
      <c r="U180" s="37">
        <f t="shared" si="20"/>
        <v>47401.679611144908</v>
      </c>
      <c r="V180" s="37">
        <f t="shared" si="20"/>
        <v>49064.196642151539</v>
      </c>
      <c r="W180" s="37">
        <f t="shared" si="20"/>
        <v>49316.446768905174</v>
      </c>
      <c r="X180" s="37">
        <f t="shared" si="20"/>
        <v>52546.028423898642</v>
      </c>
      <c r="Y180" s="37">
        <f t="shared" si="20"/>
        <v>54368.589153590074</v>
      </c>
      <c r="Z180" s="37">
        <f t="shared" si="20"/>
        <v>56247.827120846625</v>
      </c>
      <c r="AA180" s="37">
        <f t="shared" si="20"/>
        <v>56723.492653187088</v>
      </c>
      <c r="AB180" s="37">
        <f t="shared" si="20"/>
        <v>60183.389838215648</v>
      </c>
      <c r="AC180" s="37">
        <f t="shared" si="20"/>
        <v>62243.378167680872</v>
      </c>
      <c r="AD180" s="37">
        <f t="shared" si="20"/>
        <v>64367.374231638038</v>
      </c>
      <c r="AE180" s="37">
        <f t="shared" si="20"/>
        <v>65095.35346423708</v>
      </c>
      <c r="AF180" s="37">
        <f t="shared" si="20"/>
        <v>68815.35194270534</v>
      </c>
      <c r="AG180" s="37">
        <f t="shared" si="20"/>
        <v>71143.468241141178</v>
      </c>
      <c r="AH180" s="37">
        <f t="shared" si="20"/>
        <v>73543.865340783959</v>
      </c>
      <c r="AI180" s="37">
        <f t="shared" si="20"/>
        <v>74556.772598476236</v>
      </c>
      <c r="AJ180" s="37">
        <f t="shared" si="20"/>
        <v>78570.487775085989</v>
      </c>
      <c r="AK180" s="37">
        <f t="shared" si="20"/>
        <v>81201.379125710431</v>
      </c>
      <c r="AL180" s="37">
        <f t="shared" si="20"/>
        <v>83913.887553537905</v>
      </c>
      <c r="AM180" s="37">
        <f t="shared" si="20"/>
        <v>85248.528829301606</v>
      </c>
      <c r="AN180" s="37">
        <f t="shared" si="20"/>
        <v>89593.895878317155</v>
      </c>
      <c r="AO180" s="37">
        <f t="shared" si="20"/>
        <v>92566.661137156567</v>
      </c>
      <c r="AP180" s="37">
        <f t="shared" si="20"/>
        <v>95631.578982073435</v>
      </c>
      <c r="AQ180" s="37">
        <f t="shared" si="20"/>
        <v>97329.488231357871</v>
      </c>
      <c r="AR180" s="37">
        <f t="shared" si="20"/>
        <v>102049.31472386638</v>
      </c>
      <c r="AS180" s="37">
        <f t="shared" si="20"/>
        <v>105408.07397603933</v>
      </c>
      <c r="AT180" s="37">
        <f t="shared" si="20"/>
        <v>108870.87391978889</v>
      </c>
      <c r="AU180" s="37">
        <f t="shared" si="20"/>
        <v>110978.91772371266</v>
      </c>
      <c r="AV180" s="37">
        <f t="shared" si="20"/>
        <v>116121.50670016238</v>
      </c>
      <c r="AW180" s="37">
        <f t="shared" si="20"/>
        <v>119916.04330077406</v>
      </c>
      <c r="AX180" s="37">
        <f t="shared" si="20"/>
        <v>123828.03420314426</v>
      </c>
      <c r="AY180" s="37">
        <f t="shared" si="20"/>
        <v>126399.09349141922</v>
      </c>
      <c r="AZ180" s="37">
        <f t="shared" si="20"/>
        <v>132018.94593364699</v>
      </c>
    </row>
    <row r="181" spans="1:52" s="37" customFormat="1">
      <c r="A181" s="85" t="s">
        <v>349</v>
      </c>
      <c r="C181" s="37">
        <f>C144-C146-C147-C148-C149-C150-C151-C152-C155-C156-C157-C158-C159-C161-C162-C163-C164-C166-C167-C168-C169-C170-C172</f>
        <v>30640.079999999998</v>
      </c>
      <c r="D181" s="37">
        <f t="shared" ref="D181:AZ181" si="21">D144-D146-D147-D148-D149-D150-D151-D152-D155-D156-D157-D158-D159-D161-D162-D163-D164-D166-D167-D168-D169-D170-D172</f>
        <v>32503.930800000006</v>
      </c>
      <c r="E181" s="37">
        <f t="shared" si="21"/>
        <v>33493.246734000008</v>
      </c>
      <c r="F181" s="37">
        <f t="shared" si="21"/>
        <v>34512.262146270004</v>
      </c>
      <c r="G181" s="37">
        <f t="shared" si="21"/>
        <v>33449.91111616436</v>
      </c>
      <c r="H181" s="37">
        <f t="shared" si="21"/>
        <v>35769.558362793206</v>
      </c>
      <c r="I181" s="37">
        <f t="shared" si="21"/>
        <v>36848.260177149503</v>
      </c>
      <c r="J181" s="37">
        <f t="shared" si="21"/>
        <v>37959.045382523305</v>
      </c>
      <c r="K181" s="37">
        <f t="shared" si="21"/>
        <v>37641.165684280968</v>
      </c>
      <c r="L181" s="37">
        <f t="shared" si="21"/>
        <v>40280.859129371711</v>
      </c>
      <c r="M181" s="37">
        <f t="shared" si="21"/>
        <v>41493.437972179243</v>
      </c>
      <c r="N181" s="37">
        <f t="shared" si="21"/>
        <v>42742.07137449416</v>
      </c>
      <c r="O181" s="37">
        <f t="shared" si="21"/>
        <v>42565.616287957266</v>
      </c>
      <c r="P181" s="37">
        <f t="shared" si="21"/>
        <v>45351.178603129971</v>
      </c>
      <c r="Q181" s="37">
        <f t="shared" si="21"/>
        <v>46777.387333421197</v>
      </c>
      <c r="R181" s="37">
        <f t="shared" si="21"/>
        <v>-3829.5867732048646</v>
      </c>
      <c r="S181" s="37">
        <f t="shared" si="21"/>
        <v>-6276.7447545818577</v>
      </c>
      <c r="T181" s="37">
        <f t="shared" si="21"/>
        <v>-5885.987735458657</v>
      </c>
      <c r="U181" s="37">
        <f t="shared" si="21"/>
        <v>-7047.9776083704492</v>
      </c>
      <c r="V181" s="37">
        <f t="shared" si="21"/>
        <v>-8305.0992570309099</v>
      </c>
      <c r="W181" s="37">
        <f t="shared" si="21"/>
        <v>-11122.993683165376</v>
      </c>
      <c r="X181" s="37">
        <f t="shared" si="21"/>
        <v>-11117.499201640974</v>
      </c>
      <c r="Y181" s="37">
        <f t="shared" si="21"/>
        <v>-12671.834859491559</v>
      </c>
      <c r="Z181" s="37">
        <f t="shared" si="21"/>
        <v>-14306.82809681521</v>
      </c>
      <c r="AA181" s="37">
        <f t="shared" si="21"/>
        <v>-17394.98360731607</v>
      </c>
      <c r="AB181" s="37">
        <f t="shared" si="21"/>
        <v>65722.164838215642</v>
      </c>
      <c r="AC181" s="37">
        <f t="shared" si="21"/>
        <v>67782.153167680881</v>
      </c>
      <c r="AD181" s="37">
        <f t="shared" si="21"/>
        <v>69906.149231638046</v>
      </c>
      <c r="AE181" s="37">
        <f t="shared" si="21"/>
        <v>70634.128464237074</v>
      </c>
      <c r="AF181" s="37">
        <f t="shared" si="21"/>
        <v>74354.126942705334</v>
      </c>
      <c r="AG181" s="37">
        <f t="shared" si="21"/>
        <v>76682.243241141172</v>
      </c>
      <c r="AH181" s="37">
        <f t="shared" si="21"/>
        <v>79082.640340783953</v>
      </c>
      <c r="AI181" s="37">
        <f t="shared" si="21"/>
        <v>80095.547598476231</v>
      </c>
      <c r="AJ181" s="37">
        <f t="shared" si="21"/>
        <v>84109.262775085983</v>
      </c>
      <c r="AK181" s="37">
        <f t="shared" si="21"/>
        <v>86740.15412571044</v>
      </c>
      <c r="AL181" s="37">
        <f t="shared" si="21"/>
        <v>89452.662553537899</v>
      </c>
      <c r="AM181" s="37">
        <f t="shared" si="21"/>
        <v>90787.303829301585</v>
      </c>
      <c r="AN181" s="37">
        <f t="shared" si="21"/>
        <v>95132.670878317149</v>
      </c>
      <c r="AO181" s="37">
        <f t="shared" si="21"/>
        <v>98105.436137156561</v>
      </c>
      <c r="AP181" s="37">
        <f t="shared" si="21"/>
        <v>101170.35398207343</v>
      </c>
      <c r="AQ181" s="37">
        <f t="shared" si="21"/>
        <v>102868.26323135787</v>
      </c>
      <c r="AR181" s="37">
        <f t="shared" si="21"/>
        <v>107588.0897238664</v>
      </c>
      <c r="AS181" s="37">
        <f t="shared" si="21"/>
        <v>110946.84897603933</v>
      </c>
      <c r="AT181" s="37">
        <f t="shared" si="21"/>
        <v>114409.64891978889</v>
      </c>
      <c r="AU181" s="37">
        <f t="shared" si="21"/>
        <v>116517.69272371264</v>
      </c>
      <c r="AV181" s="37">
        <f t="shared" si="21"/>
        <v>121660.28170016242</v>
      </c>
      <c r="AW181" s="37">
        <f t="shared" si="21"/>
        <v>125454.81830077406</v>
      </c>
      <c r="AX181" s="37">
        <f t="shared" si="21"/>
        <v>129366.80920314426</v>
      </c>
      <c r="AY181" s="37">
        <f t="shared" si="21"/>
        <v>131937.86849141924</v>
      </c>
      <c r="AZ181" s="37">
        <f t="shared" si="21"/>
        <v>137557.72093364695</v>
      </c>
    </row>
    <row r="185" spans="1:52" s="37" customFormat="1">
      <c r="A185" s="85"/>
    </row>
    <row r="187" spans="1:52">
      <c r="A187" s="100" t="s">
        <v>350</v>
      </c>
      <c r="B187" s="101"/>
      <c r="C187" s="101">
        <f>C90+C135+C180</f>
        <v>47859.678508999998</v>
      </c>
      <c r="D187" s="101">
        <f t="shared" ref="D187:AZ187" si="22">D90+D135+D180</f>
        <v>53451.230284000012</v>
      </c>
      <c r="E187" s="101">
        <f t="shared" si="22"/>
        <v>56419.177445375019</v>
      </c>
      <c r="F187" s="101">
        <f t="shared" si="22"/>
        <v>59476.223025544408</v>
      </c>
      <c r="G187" s="101">
        <f t="shared" si="22"/>
        <v>56289.169262170806</v>
      </c>
      <c r="H187" s="101">
        <f t="shared" si="22"/>
        <v>65350.869369486325</v>
      </c>
      <c r="I187" s="101">
        <f t="shared" si="22"/>
        <v>70811.482912155509</v>
      </c>
      <c r="J187" s="101">
        <f t="shared" si="22"/>
        <v>76497.145670108657</v>
      </c>
      <c r="K187" s="101">
        <f t="shared" si="22"/>
        <v>78033.070224571624</v>
      </c>
      <c r="L187" s="101">
        <f t="shared" si="22"/>
        <v>88585.8599687643</v>
      </c>
      <c r="M187" s="101">
        <f t="shared" si="22"/>
        <v>95009.797705937221</v>
      </c>
      <c r="N187" s="101">
        <f t="shared" si="22"/>
        <v>101703.22019729871</v>
      </c>
      <c r="O187" s="101">
        <f t="shared" si="22"/>
        <v>104292.03878869418</v>
      </c>
      <c r="P187" s="101">
        <f t="shared" si="22"/>
        <v>115947.45245717152</v>
      </c>
      <c r="Q187" s="101">
        <f t="shared" si="22"/>
        <v>123715.80167591805</v>
      </c>
      <c r="R187" s="101">
        <f t="shared" si="22"/>
        <v>128127.71127232414</v>
      </c>
      <c r="S187" s="101">
        <f t="shared" si="22"/>
        <v>128291.02680152563</v>
      </c>
      <c r="T187" s="101">
        <f t="shared" si="22"/>
        <v>137367.99665762892</v>
      </c>
      <c r="U187" s="101">
        <f t="shared" si="22"/>
        <v>142204.99984196678</v>
      </c>
      <c r="V187" s="101">
        <f t="shared" si="22"/>
        <v>147192.54996019998</v>
      </c>
      <c r="W187" s="101">
        <f t="shared" si="22"/>
        <v>147949.29934130452</v>
      </c>
      <c r="X187" s="101">
        <f t="shared" si="22"/>
        <v>157638.04328214965</v>
      </c>
      <c r="Y187" s="101">
        <f t="shared" si="22"/>
        <v>163105.72442148527</v>
      </c>
      <c r="Z187" s="101">
        <f t="shared" si="22"/>
        <v>168743.43724727281</v>
      </c>
      <c r="AA187" s="101">
        <f t="shared" si="22"/>
        <v>170170.43274141254</v>
      </c>
      <c r="AB187" s="101">
        <f t="shared" si="22"/>
        <v>180550.12316604448</v>
      </c>
      <c r="AC187" s="101">
        <f t="shared" si="22"/>
        <v>186730.08699572511</v>
      </c>
      <c r="AD187" s="101">
        <f t="shared" si="22"/>
        <v>193102.07399991364</v>
      </c>
      <c r="AE187" s="101">
        <f t="shared" si="22"/>
        <v>195286.01048033577</v>
      </c>
      <c r="AF187" s="101">
        <f t="shared" si="22"/>
        <v>206446.00466793118</v>
      </c>
      <c r="AG187" s="101">
        <f t="shared" si="22"/>
        <v>213430.35228423405</v>
      </c>
      <c r="AH187" s="101">
        <f t="shared" si="22"/>
        <v>220631.54227218265</v>
      </c>
      <c r="AI187" s="101">
        <f t="shared" si="22"/>
        <v>223670.26270150527</v>
      </c>
      <c r="AJ187" s="101">
        <f t="shared" si="22"/>
        <v>235711.40685398644</v>
      </c>
      <c r="AK187" s="101">
        <f t="shared" si="22"/>
        <v>243604.07949407797</v>
      </c>
      <c r="AL187" s="101">
        <f t="shared" si="22"/>
        <v>251741.60333048407</v>
      </c>
      <c r="AM187" s="101">
        <f t="shared" si="22"/>
        <v>255745.52567452192</v>
      </c>
      <c r="AN187" s="101">
        <f t="shared" si="22"/>
        <v>268781.62530123396</v>
      </c>
      <c r="AO187" s="101">
        <f t="shared" si="22"/>
        <v>277699.9195194093</v>
      </c>
      <c r="AP187" s="101">
        <f t="shared" si="22"/>
        <v>286894.6714568584</v>
      </c>
      <c r="AQ187" s="101">
        <f t="shared" si="22"/>
        <v>291988.39756747766</v>
      </c>
      <c r="AR187" s="101">
        <f t="shared" si="22"/>
        <v>306147.8753668383</v>
      </c>
      <c r="AS187" s="101">
        <f t="shared" si="22"/>
        <v>316224.15140323812</v>
      </c>
      <c r="AT187" s="101">
        <f t="shared" si="22"/>
        <v>326612.54947136482</v>
      </c>
      <c r="AU187" s="101">
        <f t="shared" si="22"/>
        <v>332936.67907593609</v>
      </c>
      <c r="AV187" s="101">
        <f t="shared" si="22"/>
        <v>348364.44415290514</v>
      </c>
      <c r="AW187" s="101">
        <f t="shared" si="22"/>
        <v>359748.05205605068</v>
      </c>
      <c r="AX187" s="101">
        <f t="shared" si="22"/>
        <v>371484.02281700447</v>
      </c>
      <c r="AY187" s="101">
        <f t="shared" si="22"/>
        <v>379197.19868701865</v>
      </c>
      <c r="AZ187" s="101">
        <f t="shared" si="22"/>
        <v>396056.75396902097</v>
      </c>
    </row>
    <row r="188" spans="1:52">
      <c r="A188" s="100" t="s">
        <v>351</v>
      </c>
      <c r="B188" s="101"/>
      <c r="C188" s="101">
        <f>C91+C136+C181</f>
        <v>64476.003509000002</v>
      </c>
      <c r="D188" s="101">
        <f t="shared" ref="D188:AZ188" si="23">D91+D136+D181</f>
        <v>70067.555284000016</v>
      </c>
      <c r="E188" s="101">
        <f>E91+E136+E181</f>
        <v>73035.502445375023</v>
      </c>
      <c r="F188" s="101">
        <f t="shared" si="23"/>
        <v>76092.548025544384</v>
      </c>
      <c r="G188" s="101">
        <f t="shared" si="23"/>
        <v>72905.494262170803</v>
      </c>
      <c r="H188" s="101">
        <f t="shared" si="23"/>
        <v>81967.194369486344</v>
      </c>
      <c r="I188" s="101">
        <f t="shared" si="23"/>
        <v>87427.80791215552</v>
      </c>
      <c r="J188" s="101">
        <f t="shared" si="23"/>
        <v>93113.470670108654</v>
      </c>
      <c r="K188" s="101">
        <f t="shared" si="23"/>
        <v>94649.395224571635</v>
      </c>
      <c r="L188" s="101">
        <f t="shared" si="23"/>
        <v>105202.1849687643</v>
      </c>
      <c r="M188" s="101">
        <f t="shared" si="23"/>
        <v>111626.12270593722</v>
      </c>
      <c r="N188" s="101">
        <f t="shared" si="23"/>
        <v>118319.54519729869</v>
      </c>
      <c r="O188" s="101">
        <f t="shared" si="23"/>
        <v>120908.3637886942</v>
      </c>
      <c r="P188" s="101">
        <f t="shared" si="23"/>
        <v>132563.77745717153</v>
      </c>
      <c r="Q188" s="101">
        <f t="shared" si="23"/>
        <v>140332.12667591806</v>
      </c>
      <c r="R188" s="101">
        <f t="shared" si="23"/>
        <v>20032.283230251247</v>
      </c>
      <c r="S188" s="101">
        <f t="shared" si="23"/>
        <v>13488.485138505363</v>
      </c>
      <c r="T188" s="101">
        <f t="shared" si="23"/>
        <v>15481.538833303588</v>
      </c>
      <c r="U188" s="101">
        <f t="shared" si="23"/>
        <v>12837.603139474231</v>
      </c>
      <c r="V188" s="101">
        <f t="shared" si="23"/>
        <v>9926.3873169759827</v>
      </c>
      <c r="W188" s="101">
        <f t="shared" si="23"/>
        <v>2345.573415712417</v>
      </c>
      <c r="X188" s="101">
        <f t="shared" si="23"/>
        <v>3237.8279091715376</v>
      </c>
      <c r="Y188" s="101">
        <f t="shared" si="23"/>
        <v>-566.43170461148111</v>
      </c>
      <c r="Z188" s="101">
        <f t="shared" si="23"/>
        <v>-4679.3175177477679</v>
      </c>
      <c r="AA188" s="101">
        <f t="shared" si="23"/>
        <v>-13413.596175241481</v>
      </c>
      <c r="AB188" s="101">
        <f t="shared" si="23"/>
        <v>197166.44816604449</v>
      </c>
      <c r="AC188" s="101">
        <f t="shared" si="23"/>
        <v>203346.41199572512</v>
      </c>
      <c r="AD188" s="101">
        <f t="shared" si="23"/>
        <v>209718.39899991371</v>
      </c>
      <c r="AE188" s="101">
        <f t="shared" si="23"/>
        <v>211902.33548033575</v>
      </c>
      <c r="AF188" s="101">
        <f t="shared" si="23"/>
        <v>223062.32966793116</v>
      </c>
      <c r="AG188" s="101">
        <f t="shared" si="23"/>
        <v>230046.67728423403</v>
      </c>
      <c r="AH188" s="101">
        <f t="shared" si="23"/>
        <v>237247.86727218263</v>
      </c>
      <c r="AI188" s="101">
        <f t="shared" si="23"/>
        <v>240286.58770150525</v>
      </c>
      <c r="AJ188" s="101">
        <f t="shared" si="23"/>
        <v>252327.73185398642</v>
      </c>
      <c r="AK188" s="101">
        <f t="shared" si="23"/>
        <v>260220.40449407801</v>
      </c>
      <c r="AL188" s="101">
        <f t="shared" si="23"/>
        <v>268357.92833048408</v>
      </c>
      <c r="AM188" s="101">
        <f t="shared" si="23"/>
        <v>272361.85067452188</v>
      </c>
      <c r="AN188" s="101">
        <f>AN91+AN136+AN181</f>
        <v>285397.95030123403</v>
      </c>
      <c r="AO188" s="101">
        <f t="shared" si="23"/>
        <v>294316.24451940926</v>
      </c>
      <c r="AP188" s="101">
        <f t="shared" si="23"/>
        <v>303510.99645685835</v>
      </c>
      <c r="AQ188" s="101">
        <f t="shared" si="23"/>
        <v>308604.72256747761</v>
      </c>
      <c r="AR188" s="101">
        <f t="shared" si="23"/>
        <v>322764.20036683837</v>
      </c>
      <c r="AS188" s="101">
        <f t="shared" si="23"/>
        <v>332840.47640323814</v>
      </c>
      <c r="AT188" s="101">
        <f t="shared" si="23"/>
        <v>343228.87447136478</v>
      </c>
      <c r="AU188" s="101">
        <f t="shared" si="23"/>
        <v>349553.00407593598</v>
      </c>
      <c r="AV188" s="101">
        <f t="shared" si="23"/>
        <v>364980.76915290533</v>
      </c>
      <c r="AW188" s="101">
        <f t="shared" si="23"/>
        <v>376364.37705605064</v>
      </c>
      <c r="AX188" s="101">
        <f t="shared" si="23"/>
        <v>388100.34781700448</v>
      </c>
      <c r="AY188" s="101">
        <f t="shared" si="23"/>
        <v>395813.52368701872</v>
      </c>
      <c r="AZ188" s="101">
        <f t="shared" si="23"/>
        <v>412673.07896902086</v>
      </c>
    </row>
    <row r="189" spans="1:52">
      <c r="A189" s="41"/>
    </row>
    <row r="190" spans="1:52">
      <c r="A190" s="41"/>
    </row>
    <row r="191" spans="1:52">
      <c r="A191" s="4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4:E62"/>
  <sheetViews>
    <sheetView workbookViewId="0"/>
  </sheetViews>
  <sheetFormatPr baseColWidth="10" defaultRowHeight="16"/>
  <cols>
    <col min="1" max="1" width="11.5" style="138" customWidth="1"/>
    <col min="2" max="2" width="52.5" style="138" customWidth="1"/>
    <col min="3" max="3" width="8.6640625" style="138" customWidth="1"/>
    <col min="4" max="4" width="11.6640625" style="146" customWidth="1"/>
    <col min="5" max="5" width="14" style="146" customWidth="1"/>
    <col min="6" max="16384" width="10.83203125" style="138"/>
  </cols>
  <sheetData>
    <row r="4" spans="1:5">
      <c r="A4" s="119" t="s">
        <v>352</v>
      </c>
    </row>
    <row r="5" spans="1:5">
      <c r="A5" s="139" t="s">
        <v>353</v>
      </c>
    </row>
    <row r="6" spans="1:5">
      <c r="A6" s="139" t="s">
        <v>354</v>
      </c>
    </row>
    <row r="7" spans="1:5">
      <c r="A7" s="140" t="s">
        <v>355</v>
      </c>
    </row>
    <row r="8" spans="1:5" s="139" customFormat="1">
      <c r="A8" s="139" t="s">
        <v>356</v>
      </c>
      <c r="B8" s="139" t="s">
        <v>244</v>
      </c>
      <c r="C8" s="139" t="s">
        <v>357</v>
      </c>
      <c r="D8" s="147" t="s">
        <v>358</v>
      </c>
      <c r="E8" s="147" t="s">
        <v>359</v>
      </c>
    </row>
    <row r="9" spans="1:5" s="145" customFormat="1">
      <c r="A9" s="145">
        <v>46044</v>
      </c>
      <c r="B9" s="145" t="s">
        <v>360</v>
      </c>
      <c r="D9" s="148"/>
      <c r="E9" s="148">
        <v>310892.12</v>
      </c>
    </row>
    <row r="10" spans="1:5" s="145" customFormat="1">
      <c r="A10" s="145">
        <v>46053</v>
      </c>
      <c r="B10" s="145" t="s">
        <v>361</v>
      </c>
      <c r="D10" s="148">
        <v>3000</v>
      </c>
      <c r="E10" s="148"/>
    </row>
    <row r="11" spans="1:5">
      <c r="A11" s="145">
        <v>46053</v>
      </c>
      <c r="B11" s="145" t="s">
        <v>362</v>
      </c>
    </row>
    <row r="12" spans="1:5">
      <c r="A12" s="145">
        <v>46054</v>
      </c>
      <c r="B12" s="145" t="s">
        <v>363</v>
      </c>
    </row>
    <row r="13" spans="1:5">
      <c r="A13" s="140" t="s">
        <v>364</v>
      </c>
    </row>
    <row r="14" spans="1:5">
      <c r="A14" s="140" t="s">
        <v>365</v>
      </c>
    </row>
    <row r="15" spans="1:5">
      <c r="A15" s="149" t="s">
        <v>366</v>
      </c>
    </row>
    <row r="16" spans="1:5">
      <c r="A16" s="142">
        <v>313235.77</v>
      </c>
    </row>
    <row r="17" spans="1:1">
      <c r="A17" s="140" t="s">
        <v>367</v>
      </c>
    </row>
    <row r="18" spans="1:1">
      <c r="A18" s="141" t="s">
        <v>368</v>
      </c>
    </row>
    <row r="19" spans="1:1">
      <c r="A19" s="142">
        <v>312651.32</v>
      </c>
    </row>
    <row r="20" spans="1:1">
      <c r="A20" s="140" t="s">
        <v>369</v>
      </c>
    </row>
    <row r="21" spans="1:1">
      <c r="A21" s="141" t="s">
        <v>370</v>
      </c>
    </row>
    <row r="22" spans="1:1">
      <c r="A22" s="142">
        <v>307651.32</v>
      </c>
    </row>
    <row r="23" spans="1:1">
      <c r="A23" s="140" t="s">
        <v>371</v>
      </c>
    </row>
    <row r="24" spans="1:1">
      <c r="A24" s="141" t="s">
        <v>372</v>
      </c>
    </row>
    <row r="25" spans="1:1">
      <c r="A25" s="140" t="s">
        <v>372</v>
      </c>
    </row>
    <row r="26" spans="1:1">
      <c r="A26" s="140" t="s">
        <v>373</v>
      </c>
    </row>
    <row r="27" spans="1:1">
      <c r="A27" s="141" t="s">
        <v>374</v>
      </c>
    </row>
    <row r="28" spans="1:1">
      <c r="A28" s="140" t="s">
        <v>374</v>
      </c>
    </row>
    <row r="29" spans="1:1">
      <c r="A29" s="140" t="s">
        <v>375</v>
      </c>
    </row>
    <row r="30" spans="1:1">
      <c r="A30" s="140" t="s">
        <v>376</v>
      </c>
    </row>
    <row r="31" spans="1:1">
      <c r="A31" s="140" t="s">
        <v>377</v>
      </c>
    </row>
    <row r="32" spans="1:1">
      <c r="A32" s="140" t="s">
        <v>378</v>
      </c>
    </row>
    <row r="33" spans="1:1">
      <c r="A33" s="143" t="s">
        <v>379</v>
      </c>
    </row>
    <row r="34" spans="1:1">
      <c r="A34" s="143" t="s">
        <v>380</v>
      </c>
    </row>
    <row r="35" spans="1:1">
      <c r="A35" s="143" t="s">
        <v>381</v>
      </c>
    </row>
    <row r="36" spans="1:1">
      <c r="A36" s="119" t="s">
        <v>382</v>
      </c>
    </row>
    <row r="37" spans="1:1">
      <c r="A37" s="139" t="s">
        <v>383</v>
      </c>
    </row>
    <row r="38" spans="1:1">
      <c r="A38" s="139" t="s">
        <v>384</v>
      </c>
    </row>
    <row r="39" spans="1:1">
      <c r="A39" s="139" t="s">
        <v>385</v>
      </c>
    </row>
    <row r="40" spans="1:1">
      <c r="A40" s="139" t="s">
        <v>386</v>
      </c>
    </row>
    <row r="41" spans="1:1">
      <c r="A41" s="142">
        <v>324451.25</v>
      </c>
    </row>
    <row r="42" spans="1:1">
      <c r="A42" s="140" t="s">
        <v>387</v>
      </c>
    </row>
    <row r="43" spans="1:1">
      <c r="A43" s="144">
        <v>314951.25</v>
      </c>
    </row>
    <row r="44" spans="1:1">
      <c r="A44" s="142">
        <v>314951.25</v>
      </c>
    </row>
    <row r="45" spans="1:1">
      <c r="A45" s="142">
        <v>314331.43</v>
      </c>
    </row>
    <row r="46" spans="1:1">
      <c r="A46" s="139" t="s">
        <v>388</v>
      </c>
    </row>
    <row r="47" spans="1:1">
      <c r="A47" s="141" t="s">
        <v>389</v>
      </c>
    </row>
    <row r="48" spans="1:1">
      <c r="A48" s="140" t="s">
        <v>389</v>
      </c>
    </row>
    <row r="49" spans="1:1">
      <c r="A49" s="140" t="s">
        <v>390</v>
      </c>
    </row>
    <row r="50" spans="1:1">
      <c r="A50" s="140" t="s">
        <v>391</v>
      </c>
    </row>
    <row r="51" spans="1:1">
      <c r="A51" s="140" t="s">
        <v>392</v>
      </c>
    </row>
    <row r="52" spans="1:1">
      <c r="A52" s="140" t="s">
        <v>393</v>
      </c>
    </row>
    <row r="53" spans="1:1">
      <c r="A53" s="140" t="s">
        <v>394</v>
      </c>
    </row>
    <row r="54" spans="1:1">
      <c r="A54" s="141" t="s">
        <v>395</v>
      </c>
    </row>
    <row r="55" spans="1:1">
      <c r="A55" s="140" t="s">
        <v>396</v>
      </c>
    </row>
    <row r="56" spans="1:1">
      <c r="A56" s="140" t="s">
        <v>397</v>
      </c>
    </row>
    <row r="57" spans="1:1">
      <c r="A57" s="144">
        <v>309382.03999999998</v>
      </c>
    </row>
    <row r="58" spans="1:1">
      <c r="A58" s="142">
        <v>309382.03999999998</v>
      </c>
    </row>
    <row r="59" spans="1:1">
      <c r="A59" s="140" t="s">
        <v>398</v>
      </c>
    </row>
    <row r="60" spans="1:1">
      <c r="A60" s="141" t="s">
        <v>398</v>
      </c>
    </row>
    <row r="61" spans="1:1">
      <c r="A61" s="140" t="s">
        <v>399</v>
      </c>
    </row>
    <row r="62" spans="1:1">
      <c r="A62" s="140" t="s">
        <v>400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6:F3964"/>
  <sheetViews>
    <sheetView workbookViewId="0"/>
  </sheetViews>
  <sheetFormatPr baseColWidth="10" defaultRowHeight="15"/>
  <cols>
    <col min="6" max="6" width="15.1640625" customWidth="1"/>
  </cols>
  <sheetData>
    <row r="6" spans="1:1">
      <c r="A6" s="111" t="s">
        <v>401</v>
      </c>
    </row>
    <row r="7" spans="1:1">
      <c r="A7" s="111" t="s">
        <v>379</v>
      </c>
    </row>
    <row r="8" spans="1:1">
      <c r="A8" s="111" t="s">
        <v>380</v>
      </c>
    </row>
    <row r="9" spans="1:1">
      <c r="A9" s="111" t="s">
        <v>381</v>
      </c>
    </row>
    <row r="10" spans="1:1">
      <c r="A10" s="112" t="s">
        <v>402</v>
      </c>
    </row>
    <row r="11" spans="1:1">
      <c r="A11" s="113" t="s">
        <v>403</v>
      </c>
    </row>
    <row r="12" spans="1:1">
      <c r="A12" s="113" t="s">
        <v>404</v>
      </c>
    </row>
    <row r="13" spans="1:1">
      <c r="A13" s="114">
        <v>7</v>
      </c>
    </row>
    <row r="14" spans="1:1">
      <c r="A14" s="112" t="s">
        <v>382</v>
      </c>
    </row>
    <row r="15" spans="1:1">
      <c r="A15" s="115" t="s">
        <v>405</v>
      </c>
    </row>
    <row r="16" spans="1:1">
      <c r="A16" s="115" t="s">
        <v>406</v>
      </c>
    </row>
    <row r="17" spans="1:6">
      <c r="A17" s="115" t="s">
        <v>407</v>
      </c>
    </row>
    <row r="18" spans="1:6">
      <c r="A18" s="115" t="s">
        <v>408</v>
      </c>
    </row>
    <row r="19" spans="1:6">
      <c r="A19" s="114">
        <v>4470</v>
      </c>
    </row>
    <row r="20" spans="1:6">
      <c r="A20" s="116" t="s">
        <v>409</v>
      </c>
    </row>
    <row r="21" spans="1:6">
      <c r="A21" s="116" t="s">
        <v>410</v>
      </c>
    </row>
    <row r="22" spans="1:6">
      <c r="A22" s="116" t="s">
        <v>411</v>
      </c>
    </row>
    <row r="23" spans="1:6" ht="16">
      <c r="A23" s="117"/>
      <c r="B23" s="117"/>
      <c r="C23" s="117"/>
      <c r="D23" s="117"/>
      <c r="E23" s="117"/>
      <c r="F23" s="117"/>
    </row>
    <row r="24" spans="1:6" ht="16">
      <c r="A24" s="117" t="s">
        <v>412</v>
      </c>
      <c r="B24" s="117" t="s">
        <v>413</v>
      </c>
      <c r="C24" s="117"/>
      <c r="D24" s="117" t="s">
        <v>414</v>
      </c>
      <c r="E24" s="117" t="s">
        <v>415</v>
      </c>
      <c r="F24" s="118">
        <v>191883.04</v>
      </c>
    </row>
    <row r="25" spans="1:6" ht="16">
      <c r="A25" s="117" t="s">
        <v>416</v>
      </c>
      <c r="B25" s="117" t="s">
        <v>417</v>
      </c>
      <c r="C25" s="117"/>
      <c r="D25" s="117" t="s">
        <v>418</v>
      </c>
      <c r="E25" s="117" t="s">
        <v>418</v>
      </c>
      <c r="F25" s="118">
        <v>0</v>
      </c>
    </row>
    <row r="26" spans="1:6" ht="16">
      <c r="A26" s="117"/>
      <c r="B26" s="117" t="s">
        <v>419</v>
      </c>
      <c r="C26" s="117"/>
      <c r="D26" s="117"/>
      <c r="E26" s="117"/>
      <c r="F26" s="117"/>
    </row>
    <row r="28" spans="1:6" ht="16">
      <c r="A28" s="119" t="s">
        <v>352</v>
      </c>
    </row>
    <row r="29" spans="1:6">
      <c r="A29" s="115" t="s">
        <v>420</v>
      </c>
    </row>
    <row r="30" spans="1:6">
      <c r="A30" s="115" t="s">
        <v>421</v>
      </c>
    </row>
    <row r="31" spans="1:6">
      <c r="A31" s="114" t="s">
        <v>355</v>
      </c>
    </row>
    <row r="32" spans="1:6">
      <c r="A32" s="120" t="s">
        <v>388</v>
      </c>
    </row>
    <row r="33" spans="1:1">
      <c r="A33" s="121" t="s">
        <v>422</v>
      </c>
    </row>
    <row r="34" spans="1:1">
      <c r="A34" s="122" t="s">
        <v>423</v>
      </c>
    </row>
    <row r="35" spans="1:1">
      <c r="A35" s="121" t="s">
        <v>364</v>
      </c>
    </row>
    <row r="36" spans="1:1">
      <c r="A36" s="121" t="s">
        <v>365</v>
      </c>
    </row>
    <row r="37" spans="1:1">
      <c r="A37" s="122" t="s">
        <v>424</v>
      </c>
    </row>
    <row r="38" spans="1:1">
      <c r="A38" s="123">
        <v>313235.77</v>
      </c>
    </row>
    <row r="39" spans="1:1">
      <c r="A39" s="121" t="s">
        <v>367</v>
      </c>
    </row>
    <row r="40" spans="1:1">
      <c r="A40" s="122" t="s">
        <v>425</v>
      </c>
    </row>
    <row r="41" spans="1:1">
      <c r="A41" s="123">
        <v>312651.32</v>
      </c>
    </row>
    <row r="42" spans="1:1">
      <c r="A42" s="121" t="s">
        <v>369</v>
      </c>
    </row>
    <row r="43" spans="1:1">
      <c r="A43" s="122" t="s">
        <v>426</v>
      </c>
    </row>
    <row r="44" spans="1:1">
      <c r="A44" s="123">
        <v>307651.32</v>
      </c>
    </row>
    <row r="45" spans="1:1">
      <c r="A45" s="121" t="s">
        <v>371</v>
      </c>
    </row>
    <row r="46" spans="1:1">
      <c r="A46" s="122" t="s">
        <v>372</v>
      </c>
    </row>
    <row r="47" spans="1:1">
      <c r="A47" s="121" t="s">
        <v>372</v>
      </c>
    </row>
    <row r="48" spans="1:1">
      <c r="A48" s="121" t="s">
        <v>373</v>
      </c>
    </row>
    <row r="49" spans="1:1">
      <c r="A49" s="122" t="s">
        <v>374</v>
      </c>
    </row>
    <row r="50" spans="1:1">
      <c r="A50" s="121" t="s">
        <v>374</v>
      </c>
    </row>
    <row r="51" spans="1:1">
      <c r="A51" s="121" t="s">
        <v>375</v>
      </c>
    </row>
    <row r="52" spans="1:1">
      <c r="A52" s="124" t="s">
        <v>376</v>
      </c>
    </row>
    <row r="53" spans="1:1">
      <c r="A53" s="114" t="s">
        <v>377</v>
      </c>
    </row>
    <row r="54" spans="1:1">
      <c r="A54" s="114" t="s">
        <v>427</v>
      </c>
    </row>
    <row r="55" spans="1:1">
      <c r="A55" s="111" t="s">
        <v>379</v>
      </c>
    </row>
    <row r="56" spans="1:1">
      <c r="A56" s="111" t="s">
        <v>380</v>
      </c>
    </row>
    <row r="57" spans="1:1">
      <c r="A57" s="111" t="s">
        <v>381</v>
      </c>
    </row>
    <row r="58" spans="1:1">
      <c r="A58" s="112" t="s">
        <v>382</v>
      </c>
    </row>
    <row r="59" spans="1:1">
      <c r="A59" s="115" t="s">
        <v>405</v>
      </c>
    </row>
    <row r="60" spans="1:1">
      <c r="A60" s="115" t="s">
        <v>406</v>
      </c>
    </row>
    <row r="61" spans="1:1">
      <c r="A61" s="115" t="s">
        <v>407</v>
      </c>
    </row>
    <row r="62" spans="1:1">
      <c r="A62" s="115" t="s">
        <v>408</v>
      </c>
    </row>
    <row r="63" spans="1:1">
      <c r="A63" s="123">
        <v>324451.25</v>
      </c>
    </row>
    <row r="64" spans="1:1">
      <c r="A64" s="121" t="s">
        <v>428</v>
      </c>
    </row>
    <row r="65" spans="1:1">
      <c r="A65" s="109">
        <v>314951.25</v>
      </c>
    </row>
    <row r="66" spans="1:1">
      <c r="A66" s="123">
        <v>314951.25</v>
      </c>
    </row>
    <row r="67" spans="1:1">
      <c r="A67" s="123">
        <v>314331.43</v>
      </c>
    </row>
    <row r="68" spans="1:1">
      <c r="A68" s="120" t="s">
        <v>388</v>
      </c>
    </row>
    <row r="69" spans="1:1">
      <c r="A69" s="122" t="s">
        <v>389</v>
      </c>
    </row>
    <row r="70" spans="1:1">
      <c r="A70" s="121" t="s">
        <v>389</v>
      </c>
    </row>
    <row r="71" spans="1:1">
      <c r="A71" s="121" t="s">
        <v>429</v>
      </c>
    </row>
    <row r="72" spans="1:1">
      <c r="A72" s="121" t="s">
        <v>391</v>
      </c>
    </row>
    <row r="73" spans="1:1">
      <c r="A73" s="121" t="s">
        <v>430</v>
      </c>
    </row>
    <row r="74" spans="1:1">
      <c r="A74" s="121" t="s">
        <v>393</v>
      </c>
    </row>
    <row r="75" spans="1:1">
      <c r="A75" s="121" t="s">
        <v>431</v>
      </c>
    </row>
    <row r="76" spans="1:1">
      <c r="A76" s="122" t="s">
        <v>432</v>
      </c>
    </row>
    <row r="77" spans="1:1">
      <c r="A77" s="121" t="s">
        <v>396</v>
      </c>
    </row>
    <row r="78" spans="1:1">
      <c r="A78" s="121" t="s">
        <v>397</v>
      </c>
    </row>
    <row r="79" spans="1:1">
      <c r="A79" s="109">
        <v>309382.03999999998</v>
      </c>
    </row>
    <row r="80" spans="1:1">
      <c r="A80" s="123">
        <v>309382.03999999998</v>
      </c>
    </row>
    <row r="81" spans="1:1">
      <c r="A81" s="121" t="s">
        <v>398</v>
      </c>
    </row>
    <row r="82" spans="1:1">
      <c r="A82" s="122" t="s">
        <v>398</v>
      </c>
    </row>
    <row r="83" spans="1:1">
      <c r="A83" s="121" t="s">
        <v>399</v>
      </c>
    </row>
    <row r="84" spans="1:1">
      <c r="A84" s="121" t="s">
        <v>400</v>
      </c>
    </row>
    <row r="85" spans="1:1">
      <c r="A85" s="122" t="s">
        <v>400</v>
      </c>
    </row>
    <row r="86" spans="1:1">
      <c r="A86" s="115" t="s">
        <v>420</v>
      </c>
    </row>
    <row r="87" spans="1:1">
      <c r="A87" s="115" t="s">
        <v>433</v>
      </c>
    </row>
    <row r="88" spans="1:1">
      <c r="A88" s="120" t="s">
        <v>388</v>
      </c>
    </row>
    <row r="89" spans="1:1">
      <c r="A89" s="121" t="s">
        <v>434</v>
      </c>
    </row>
    <row r="90" spans="1:1">
      <c r="A90" s="122" t="s">
        <v>435</v>
      </c>
    </row>
    <row r="91" spans="1:1">
      <c r="A91" s="121" t="s">
        <v>435</v>
      </c>
    </row>
    <row r="92" spans="1:1">
      <c r="A92" s="115" t="s">
        <v>436</v>
      </c>
    </row>
    <row r="93" spans="1:1">
      <c r="A93" s="115" t="s">
        <v>420</v>
      </c>
    </row>
    <row r="94" spans="1:1">
      <c r="A94" s="115" t="s">
        <v>437</v>
      </c>
    </row>
    <row r="95" spans="1:1">
      <c r="A95" s="120" t="s">
        <v>388</v>
      </c>
    </row>
    <row r="96" spans="1:1">
      <c r="A96" s="121" t="s">
        <v>438</v>
      </c>
    </row>
    <row r="97" spans="1:1">
      <c r="A97" s="122" t="s">
        <v>439</v>
      </c>
    </row>
    <row r="98" spans="1:1">
      <c r="A98" s="121" t="s">
        <v>439</v>
      </c>
    </row>
    <row r="99" spans="1:1">
      <c r="A99" s="121" t="s">
        <v>440</v>
      </c>
    </row>
    <row r="100" spans="1:1">
      <c r="A100" s="122" t="s">
        <v>441</v>
      </c>
    </row>
    <row r="101" spans="1:1">
      <c r="A101" s="121" t="s">
        <v>442</v>
      </c>
    </row>
    <row r="102" spans="1:1">
      <c r="A102" s="121" t="s">
        <v>443</v>
      </c>
    </row>
    <row r="103" spans="1:1">
      <c r="A103" s="122" t="s">
        <v>444</v>
      </c>
    </row>
    <row r="104" spans="1:1">
      <c r="A104" s="121" t="s">
        <v>444</v>
      </c>
    </row>
    <row r="105" spans="1:1">
      <c r="A105" s="121" t="s">
        <v>445</v>
      </c>
    </row>
    <row r="106" spans="1:1">
      <c r="A106" s="122" t="s">
        <v>446</v>
      </c>
    </row>
    <row r="107" spans="1:1">
      <c r="A107" s="121" t="s">
        <v>446</v>
      </c>
    </row>
    <row r="108" spans="1:1">
      <c r="A108" s="121" t="s">
        <v>447</v>
      </c>
    </row>
    <row r="109" spans="1:1">
      <c r="A109" s="122" t="s">
        <v>448</v>
      </c>
    </row>
    <row r="110" spans="1:1">
      <c r="A110" s="121" t="s">
        <v>449</v>
      </c>
    </row>
    <row r="111" spans="1:1">
      <c r="A111" s="121" t="s">
        <v>450</v>
      </c>
    </row>
    <row r="112" spans="1:1">
      <c r="A112" s="122" t="s">
        <v>451</v>
      </c>
    </row>
    <row r="113" spans="1:1">
      <c r="A113" s="121" t="s">
        <v>451</v>
      </c>
    </row>
    <row r="114" spans="1:1">
      <c r="A114" s="121" t="s">
        <v>452</v>
      </c>
    </row>
    <row r="115" spans="1:1">
      <c r="A115" s="122" t="s">
        <v>453</v>
      </c>
    </row>
    <row r="116" spans="1:1">
      <c r="A116" s="121" t="s">
        <v>453</v>
      </c>
    </row>
    <row r="117" spans="1:1">
      <c r="A117" s="121" t="s">
        <v>454</v>
      </c>
    </row>
    <row r="118" spans="1:1">
      <c r="A118" s="122" t="s">
        <v>455</v>
      </c>
    </row>
    <row r="119" spans="1:1">
      <c r="A119" s="121" t="s">
        <v>456</v>
      </c>
    </row>
    <row r="120" spans="1:1">
      <c r="A120" s="121" t="s">
        <v>457</v>
      </c>
    </row>
    <row r="121" spans="1:1">
      <c r="A121" s="122" t="s">
        <v>458</v>
      </c>
    </row>
    <row r="122" spans="1:1">
      <c r="A122" s="121" t="s">
        <v>458</v>
      </c>
    </row>
    <row r="123" spans="1:1">
      <c r="A123" s="121" t="s">
        <v>459</v>
      </c>
    </row>
    <row r="124" spans="1:1">
      <c r="A124" s="122" t="s">
        <v>460</v>
      </c>
    </row>
    <row r="125" spans="1:1">
      <c r="A125" s="121" t="s">
        <v>461</v>
      </c>
    </row>
    <row r="126" spans="1:1">
      <c r="A126" s="121" t="s">
        <v>462</v>
      </c>
    </row>
    <row r="127" spans="1:1">
      <c r="A127" s="122" t="s">
        <v>463</v>
      </c>
    </row>
    <row r="128" spans="1:1">
      <c r="A128" s="121" t="s">
        <v>463</v>
      </c>
    </row>
    <row r="129" spans="1:1">
      <c r="A129" s="114" t="s">
        <v>464</v>
      </c>
    </row>
    <row r="130" spans="1:1">
      <c r="A130" s="126" t="s">
        <v>465</v>
      </c>
    </row>
    <row r="131" spans="1:1">
      <c r="A131" s="115" t="s">
        <v>466</v>
      </c>
    </row>
    <row r="132" spans="1:1">
      <c r="A132" s="124" t="s">
        <v>467</v>
      </c>
    </row>
    <row r="133" spans="1:1">
      <c r="A133" s="114" t="s">
        <v>377</v>
      </c>
    </row>
    <row r="134" spans="1:1">
      <c r="A134" s="114" t="s">
        <v>468</v>
      </c>
    </row>
    <row r="137" spans="1:1">
      <c r="A137" s="111" t="s">
        <v>401</v>
      </c>
    </row>
    <row r="138" spans="1:1">
      <c r="A138" s="111" t="s">
        <v>379</v>
      </c>
    </row>
    <row r="139" spans="1:1">
      <c r="A139" s="111" t="s">
        <v>380</v>
      </c>
    </row>
    <row r="140" spans="1:1">
      <c r="A140" s="111" t="s">
        <v>381</v>
      </c>
    </row>
    <row r="141" spans="1:1">
      <c r="A141" s="112" t="s">
        <v>402</v>
      </c>
    </row>
    <row r="142" spans="1:1">
      <c r="A142" s="113" t="s">
        <v>403</v>
      </c>
    </row>
    <row r="143" spans="1:1">
      <c r="A143" s="113" t="s">
        <v>404</v>
      </c>
    </row>
    <row r="144" spans="1:1">
      <c r="A144" s="114">
        <v>7</v>
      </c>
    </row>
    <row r="145" spans="1:5">
      <c r="A145" s="112" t="s">
        <v>382</v>
      </c>
    </row>
    <row r="146" spans="1:5">
      <c r="A146" s="115" t="s">
        <v>469</v>
      </c>
    </row>
    <row r="147" spans="1:5">
      <c r="A147" s="115" t="s">
        <v>406</v>
      </c>
    </row>
    <row r="148" spans="1:5">
      <c r="A148" s="115" t="s">
        <v>470</v>
      </c>
    </row>
    <row r="149" spans="1:5">
      <c r="A149" s="115" t="s">
        <v>471</v>
      </c>
    </row>
    <row r="150" spans="1:5">
      <c r="A150" s="114">
        <v>525</v>
      </c>
    </row>
    <row r="151" spans="1:5">
      <c r="A151" s="116" t="s">
        <v>409</v>
      </c>
    </row>
    <row r="152" spans="1:5">
      <c r="A152" s="116" t="s">
        <v>410</v>
      </c>
    </row>
    <row r="153" spans="1:5">
      <c r="A153" s="116" t="s">
        <v>411</v>
      </c>
    </row>
    <row r="154" spans="1:5" ht="16">
      <c r="A154" s="117"/>
      <c r="B154" s="117"/>
      <c r="C154" s="117"/>
      <c r="D154" s="117"/>
      <c r="E154" s="117"/>
    </row>
    <row r="155" spans="1:5" ht="16">
      <c r="A155" s="117" t="s">
        <v>412</v>
      </c>
      <c r="B155" s="117" t="s">
        <v>472</v>
      </c>
      <c r="C155" s="117" t="s">
        <v>473</v>
      </c>
      <c r="D155" s="117" t="s">
        <v>474</v>
      </c>
      <c r="E155" s="118">
        <v>93.09</v>
      </c>
    </row>
    <row r="156" spans="1:5" ht="16">
      <c r="A156" s="117" t="s">
        <v>416</v>
      </c>
      <c r="B156" s="117" t="s">
        <v>475</v>
      </c>
      <c r="C156" s="117" t="s">
        <v>418</v>
      </c>
      <c r="D156" s="117" t="s">
        <v>476</v>
      </c>
      <c r="E156" s="118">
        <v>0</v>
      </c>
    </row>
    <row r="157" spans="1:5" ht="16">
      <c r="A157" s="117" t="s">
        <v>477</v>
      </c>
      <c r="B157" s="117" t="s">
        <v>478</v>
      </c>
      <c r="C157" s="117" t="s">
        <v>479</v>
      </c>
      <c r="D157" s="117" t="s">
        <v>480</v>
      </c>
      <c r="E157" s="118">
        <v>-470000</v>
      </c>
    </row>
    <row r="158" spans="1:5" ht="16">
      <c r="A158" s="117"/>
      <c r="B158" s="117"/>
      <c r="C158" s="117" t="s">
        <v>481</v>
      </c>
      <c r="D158" s="117"/>
      <c r="E158" s="117"/>
    </row>
    <row r="160" spans="1:5" ht="16">
      <c r="A160" s="119" t="s">
        <v>352</v>
      </c>
    </row>
    <row r="161" spans="1:1">
      <c r="A161" s="115" t="s">
        <v>482</v>
      </c>
    </row>
    <row r="162" spans="1:1">
      <c r="A162" s="115" t="s">
        <v>483</v>
      </c>
    </row>
    <row r="163" spans="1:1">
      <c r="A163" s="115" t="s">
        <v>484</v>
      </c>
    </row>
    <row r="164" spans="1:1">
      <c r="A164" s="115" t="s">
        <v>485</v>
      </c>
    </row>
    <row r="165" spans="1:1">
      <c r="A165" s="115" t="s">
        <v>436</v>
      </c>
    </row>
    <row r="166" spans="1:1">
      <c r="A166" s="120" t="s">
        <v>388</v>
      </c>
    </row>
    <row r="167" spans="1:1">
      <c r="A167" s="121" t="s">
        <v>486</v>
      </c>
    </row>
    <row r="168" spans="1:1">
      <c r="A168" s="122" t="s">
        <v>487</v>
      </c>
    </row>
    <row r="169" spans="1:1">
      <c r="A169" s="123">
        <v>190860.97</v>
      </c>
    </row>
    <row r="170" spans="1:1">
      <c r="A170" s="121" t="s">
        <v>488</v>
      </c>
    </row>
    <row r="171" spans="1:1">
      <c r="A171" s="122" t="s">
        <v>489</v>
      </c>
    </row>
    <row r="172" spans="1:1">
      <c r="A172" s="121" t="s">
        <v>490</v>
      </c>
    </row>
    <row r="173" spans="1:1">
      <c r="A173" s="122" t="s">
        <v>491</v>
      </c>
    </row>
    <row r="174" spans="1:1">
      <c r="A174" s="121" t="s">
        <v>491</v>
      </c>
    </row>
    <row r="175" spans="1:1">
      <c r="A175" s="121" t="s">
        <v>492</v>
      </c>
    </row>
    <row r="176" spans="1:1">
      <c r="A176" s="122" t="s">
        <v>493</v>
      </c>
    </row>
    <row r="177" spans="1:5">
      <c r="A177" s="121" t="s">
        <v>493</v>
      </c>
    </row>
    <row r="178" spans="1:5">
      <c r="A178" s="121" t="s">
        <v>494</v>
      </c>
    </row>
    <row r="179" spans="1:5">
      <c r="A179" s="124" t="s">
        <v>495</v>
      </c>
    </row>
    <row r="180" spans="1:5">
      <c r="A180" s="114" t="s">
        <v>377</v>
      </c>
    </row>
    <row r="181" spans="1:5">
      <c r="A181" s="114" t="s">
        <v>427</v>
      </c>
    </row>
    <row r="182" spans="1:5">
      <c r="A182" s="111" t="s">
        <v>379</v>
      </c>
    </row>
    <row r="183" spans="1:5">
      <c r="A183" s="111" t="s">
        <v>380</v>
      </c>
    </row>
    <row r="184" spans="1:5">
      <c r="A184" s="111" t="s">
        <v>381</v>
      </c>
    </row>
    <row r="185" spans="1:5">
      <c r="A185" s="112" t="s">
        <v>382</v>
      </c>
    </row>
    <row r="186" spans="1:5">
      <c r="A186" s="115" t="s">
        <v>469</v>
      </c>
    </row>
    <row r="187" spans="1:5">
      <c r="A187" s="115" t="s">
        <v>406</v>
      </c>
    </row>
    <row r="188" spans="1:5">
      <c r="A188" s="115" t="s">
        <v>470</v>
      </c>
    </row>
    <row r="189" spans="1:5">
      <c r="A189" s="115" t="s">
        <v>471</v>
      </c>
    </row>
    <row r="190" spans="1:5" ht="16">
      <c r="A190" s="117" t="s">
        <v>496</v>
      </c>
      <c r="B190" s="117" t="s">
        <v>497</v>
      </c>
      <c r="C190" s="117" t="s">
        <v>498</v>
      </c>
      <c r="D190" s="117" t="s">
        <v>499</v>
      </c>
      <c r="E190" s="117" t="s">
        <v>359</v>
      </c>
    </row>
    <row r="191" spans="1:5" ht="16">
      <c r="A191" s="206" t="s">
        <v>500</v>
      </c>
      <c r="B191" s="206" t="s">
        <v>501</v>
      </c>
      <c r="C191" s="206" t="s">
        <v>502</v>
      </c>
      <c r="D191" s="206"/>
      <c r="E191" s="125">
        <v>907092.66</v>
      </c>
    </row>
    <row r="192" spans="1:5" ht="16">
      <c r="A192" s="206"/>
      <c r="B192" s="206"/>
      <c r="C192" s="206"/>
      <c r="D192" s="206"/>
      <c r="E192" s="125">
        <v>907092.66</v>
      </c>
    </row>
    <row r="193" spans="1:5" ht="16">
      <c r="A193" s="117" t="s">
        <v>503</v>
      </c>
      <c r="B193" s="117" t="s">
        <v>504</v>
      </c>
      <c r="C193" s="117" t="s">
        <v>505</v>
      </c>
      <c r="D193" s="117"/>
      <c r="E193" s="125">
        <v>8437.66</v>
      </c>
    </row>
    <row r="194" spans="1:5" ht="16">
      <c r="A194" s="206" t="s">
        <v>506</v>
      </c>
      <c r="B194" s="206" t="s">
        <v>507</v>
      </c>
      <c r="C194" s="206" t="s">
        <v>508</v>
      </c>
      <c r="D194" s="206"/>
      <c r="E194" s="125">
        <v>6697.04</v>
      </c>
    </row>
    <row r="195" spans="1:5" ht="16">
      <c r="A195" s="206"/>
      <c r="B195" s="206"/>
      <c r="C195" s="206"/>
      <c r="D195" s="206"/>
      <c r="E195" s="125">
        <v>6697.04</v>
      </c>
    </row>
    <row r="196" spans="1:5" ht="16">
      <c r="A196" s="117" t="s">
        <v>509</v>
      </c>
      <c r="B196" s="117" t="s">
        <v>510</v>
      </c>
      <c r="C196" s="117"/>
      <c r="D196" s="117"/>
      <c r="E196" s="117"/>
    </row>
    <row r="197" spans="1:5" ht="16">
      <c r="A197" s="206" t="s">
        <v>506</v>
      </c>
      <c r="B197" s="117" t="s">
        <v>511</v>
      </c>
      <c r="C197" s="206"/>
      <c r="D197" s="206"/>
      <c r="E197" s="206"/>
    </row>
    <row r="198" spans="1:5" ht="16">
      <c r="A198" s="206"/>
      <c r="B198" s="117" t="s">
        <v>511</v>
      </c>
      <c r="C198" s="206"/>
      <c r="D198" s="206"/>
      <c r="E198" s="206"/>
    </row>
    <row r="199" spans="1:5" ht="16">
      <c r="A199" s="206"/>
      <c r="B199" s="206" t="s">
        <v>512</v>
      </c>
      <c r="C199" s="206" t="s">
        <v>513</v>
      </c>
      <c r="D199" s="206"/>
      <c r="E199" s="125">
        <v>2497.04</v>
      </c>
    </row>
    <row r="200" spans="1:5" ht="16">
      <c r="A200" s="206"/>
      <c r="B200" s="206"/>
      <c r="C200" s="206"/>
      <c r="D200" s="206"/>
      <c r="E200" s="125">
        <v>2497.04</v>
      </c>
    </row>
    <row r="201" spans="1:5" ht="16">
      <c r="A201" s="117" t="s">
        <v>514</v>
      </c>
      <c r="B201" s="117" t="s">
        <v>515</v>
      </c>
      <c r="C201" s="117"/>
      <c r="D201" s="117" t="s">
        <v>516</v>
      </c>
      <c r="E201" s="125">
        <v>4497.04</v>
      </c>
    </row>
    <row r="202" spans="1:5" ht="16">
      <c r="A202" s="206" t="s">
        <v>517</v>
      </c>
      <c r="B202" s="206" t="s">
        <v>518</v>
      </c>
      <c r="C202" s="206" t="s">
        <v>519</v>
      </c>
      <c r="D202" s="206"/>
      <c r="E202" s="117">
        <v>323.89</v>
      </c>
    </row>
    <row r="203" spans="1:5" ht="16">
      <c r="A203" s="206"/>
      <c r="B203" s="206"/>
      <c r="C203" s="206"/>
      <c r="D203" s="206"/>
      <c r="E203" s="117">
        <v>323.89</v>
      </c>
    </row>
    <row r="204" spans="1:5" ht="16">
      <c r="A204" s="117" t="s">
        <v>520</v>
      </c>
      <c r="B204" s="117" t="s">
        <v>521</v>
      </c>
      <c r="C204" s="117"/>
      <c r="D204" s="117" t="s">
        <v>522</v>
      </c>
      <c r="E204" s="125">
        <v>4523.8900000000003</v>
      </c>
    </row>
    <row r="205" spans="1:5" ht="16">
      <c r="A205" s="206" t="s">
        <v>523</v>
      </c>
      <c r="B205" s="206" t="s">
        <v>524</v>
      </c>
      <c r="C205" s="206"/>
      <c r="D205" s="206" t="s">
        <v>525</v>
      </c>
      <c r="E205" s="125">
        <v>6523.89</v>
      </c>
    </row>
    <row r="206" spans="1:5" ht="16">
      <c r="A206" s="206"/>
      <c r="B206" s="206"/>
      <c r="C206" s="206"/>
      <c r="D206" s="206"/>
      <c r="E206" s="125">
        <v>6523.89</v>
      </c>
    </row>
    <row r="207" spans="1:5" ht="16">
      <c r="A207" s="117" t="s">
        <v>526</v>
      </c>
      <c r="B207" s="117" t="s">
        <v>527</v>
      </c>
      <c r="C207" s="117" t="s">
        <v>528</v>
      </c>
      <c r="D207" s="117"/>
      <c r="E207" s="125">
        <v>4816.76</v>
      </c>
    </row>
    <row r="208" spans="1:5" ht="16">
      <c r="A208" s="206" t="s">
        <v>529</v>
      </c>
      <c r="B208" s="117" t="s">
        <v>510</v>
      </c>
      <c r="C208" s="206"/>
      <c r="D208" s="206"/>
      <c r="E208" s="206"/>
    </row>
    <row r="209" spans="1:5" ht="16">
      <c r="A209" s="206"/>
      <c r="B209" s="117" t="s">
        <v>510</v>
      </c>
      <c r="C209" s="206"/>
      <c r="D209" s="206"/>
      <c r="E209" s="206"/>
    </row>
    <row r="210" spans="1:5" ht="16">
      <c r="A210" s="117" t="s">
        <v>530</v>
      </c>
      <c r="B210" s="117" t="s">
        <v>531</v>
      </c>
      <c r="C210" s="117" t="s">
        <v>532</v>
      </c>
      <c r="D210" s="117"/>
      <c r="E210" s="117">
        <v>634.15</v>
      </c>
    </row>
    <row r="211" spans="1:5" ht="16">
      <c r="A211" s="206" t="s">
        <v>533</v>
      </c>
      <c r="B211" s="206" t="s">
        <v>534</v>
      </c>
      <c r="C211" s="206"/>
      <c r="D211" s="206" t="s">
        <v>535</v>
      </c>
      <c r="E211" s="125">
        <v>6134.15</v>
      </c>
    </row>
    <row r="212" spans="1:5" ht="16">
      <c r="A212" s="206"/>
      <c r="B212" s="206"/>
      <c r="C212" s="206"/>
      <c r="D212" s="206"/>
      <c r="E212" s="125">
        <v>6134.15</v>
      </c>
    </row>
    <row r="213" spans="1:5" ht="16">
      <c r="A213" s="117" t="s">
        <v>536</v>
      </c>
      <c r="B213" s="117" t="s">
        <v>527</v>
      </c>
      <c r="C213" s="117" t="s">
        <v>537</v>
      </c>
      <c r="D213" s="117"/>
      <c r="E213" s="125">
        <v>4373.8599999999997</v>
      </c>
    </row>
    <row r="214" spans="1:5" ht="16">
      <c r="A214" s="206" t="s">
        <v>538</v>
      </c>
      <c r="B214" s="117" t="s">
        <v>510</v>
      </c>
      <c r="C214" s="206"/>
      <c r="D214" s="206"/>
      <c r="E214" s="206"/>
    </row>
    <row r="215" spans="1:5" ht="16">
      <c r="A215" s="206"/>
      <c r="B215" s="117" t="s">
        <v>510</v>
      </c>
      <c r="C215" s="206"/>
      <c r="D215" s="206"/>
      <c r="E215" s="206"/>
    </row>
    <row r="216" spans="1:5" ht="16">
      <c r="A216" s="117" t="s">
        <v>539</v>
      </c>
      <c r="B216" s="117" t="s">
        <v>531</v>
      </c>
      <c r="C216" s="117" t="s">
        <v>540</v>
      </c>
      <c r="D216" s="117"/>
      <c r="E216" s="117">
        <v>256.44</v>
      </c>
    </row>
    <row r="217" spans="1:5" ht="16">
      <c r="A217" s="206" t="s">
        <v>541</v>
      </c>
      <c r="B217" s="206" t="s">
        <v>542</v>
      </c>
      <c r="C217" s="206"/>
      <c r="D217" s="206" t="s">
        <v>543</v>
      </c>
      <c r="E217" s="125">
        <v>1256.44</v>
      </c>
    </row>
    <row r="218" spans="1:5" ht="16">
      <c r="A218" s="206"/>
      <c r="B218" s="206"/>
      <c r="C218" s="206"/>
      <c r="D218" s="206"/>
      <c r="E218" s="125">
        <v>1256.44</v>
      </c>
    </row>
    <row r="219" spans="1:5" ht="16">
      <c r="A219" s="117" t="s">
        <v>544</v>
      </c>
      <c r="B219" s="117" t="s">
        <v>545</v>
      </c>
      <c r="C219" s="117"/>
      <c r="D219" s="117"/>
      <c r="E219" s="117"/>
    </row>
    <row r="220" spans="1:5" ht="16">
      <c r="A220" s="206" t="s">
        <v>546</v>
      </c>
      <c r="B220" s="206" t="s">
        <v>547</v>
      </c>
      <c r="C220" s="206"/>
      <c r="D220" s="206" t="s">
        <v>548</v>
      </c>
      <c r="E220" s="125">
        <v>6000</v>
      </c>
    </row>
    <row r="221" spans="1:5" ht="16">
      <c r="A221" s="206"/>
      <c r="B221" s="206"/>
      <c r="C221" s="206"/>
      <c r="D221" s="206"/>
      <c r="E221" s="125">
        <v>6000</v>
      </c>
    </row>
    <row r="222" spans="1:5" ht="16">
      <c r="A222" s="117" t="s">
        <v>549</v>
      </c>
      <c r="B222" s="117" t="s">
        <v>527</v>
      </c>
      <c r="C222" s="117" t="s">
        <v>550</v>
      </c>
      <c r="D222" s="117"/>
      <c r="E222" s="125">
        <v>4342.84</v>
      </c>
    </row>
    <row r="223" spans="1:5" ht="16">
      <c r="A223" s="206" t="s">
        <v>551</v>
      </c>
      <c r="B223" s="117" t="s">
        <v>510</v>
      </c>
      <c r="C223" s="206"/>
      <c r="D223" s="206"/>
      <c r="E223" s="206"/>
    </row>
    <row r="224" spans="1:5" ht="16">
      <c r="A224" s="206"/>
      <c r="B224" s="117" t="s">
        <v>510</v>
      </c>
      <c r="C224" s="206"/>
      <c r="D224" s="206"/>
      <c r="E224" s="206"/>
    </row>
    <row r="225" spans="1:5" ht="16">
      <c r="A225" s="117" t="s">
        <v>552</v>
      </c>
      <c r="B225" s="117" t="s">
        <v>531</v>
      </c>
      <c r="C225" s="117" t="s">
        <v>540</v>
      </c>
      <c r="D225" s="117"/>
      <c r="E225" s="117">
        <v>225.42</v>
      </c>
    </row>
    <row r="226" spans="1:5" ht="16">
      <c r="A226" s="206" t="s">
        <v>553</v>
      </c>
      <c r="B226" s="206" t="s">
        <v>554</v>
      </c>
      <c r="C226" s="206"/>
      <c r="D226" s="206" t="s">
        <v>555</v>
      </c>
      <c r="E226" s="125">
        <v>1725.42</v>
      </c>
    </row>
    <row r="227" spans="1:5" ht="16">
      <c r="A227" s="206"/>
      <c r="B227" s="206"/>
      <c r="C227" s="206"/>
      <c r="D227" s="206"/>
      <c r="E227" s="125">
        <v>1725.42</v>
      </c>
    </row>
    <row r="228" spans="1:5" ht="16">
      <c r="A228" s="117" t="s">
        <v>556</v>
      </c>
      <c r="B228" s="117" t="s">
        <v>557</v>
      </c>
      <c r="C228" s="117"/>
      <c r="D228" s="117" t="s">
        <v>558</v>
      </c>
      <c r="E228" s="125">
        <v>3325.42</v>
      </c>
    </row>
    <row r="229" spans="1:5" ht="16">
      <c r="A229" s="206" t="s">
        <v>553</v>
      </c>
      <c r="B229" s="117" t="s">
        <v>559</v>
      </c>
      <c r="C229" s="206"/>
      <c r="D229" s="206"/>
      <c r="E229" s="206"/>
    </row>
    <row r="230" spans="1:5" ht="16">
      <c r="A230" s="206"/>
      <c r="B230" s="117" t="s">
        <v>559</v>
      </c>
      <c r="C230" s="206"/>
      <c r="D230" s="206"/>
      <c r="E230" s="206"/>
    </row>
    <row r="231" spans="1:5" ht="16">
      <c r="A231" s="117" t="s">
        <v>556</v>
      </c>
      <c r="B231" s="117" t="s">
        <v>560</v>
      </c>
      <c r="C231" s="117"/>
      <c r="D231" s="117" t="s">
        <v>561</v>
      </c>
      <c r="E231" s="125">
        <v>5925.42</v>
      </c>
    </row>
    <row r="232" spans="1:5" ht="16">
      <c r="A232" s="206" t="s">
        <v>562</v>
      </c>
      <c r="B232" s="206" t="s">
        <v>507</v>
      </c>
      <c r="C232" s="206" t="s">
        <v>563</v>
      </c>
      <c r="D232" s="206"/>
      <c r="E232" s="125">
        <v>4210.51</v>
      </c>
    </row>
    <row r="233" spans="1:5" ht="16">
      <c r="A233" s="206"/>
      <c r="B233" s="206"/>
      <c r="C233" s="206"/>
      <c r="D233" s="206"/>
      <c r="E233" s="125">
        <v>4210.51</v>
      </c>
    </row>
    <row r="234" spans="1:5" ht="16">
      <c r="A234" s="117" t="s">
        <v>564</v>
      </c>
      <c r="B234" s="117" t="s">
        <v>510</v>
      </c>
      <c r="C234" s="117"/>
      <c r="D234" s="117"/>
      <c r="E234" s="117"/>
    </row>
    <row r="235" spans="1:5" ht="16">
      <c r="A235" s="206" t="s">
        <v>565</v>
      </c>
      <c r="B235" s="206" t="s">
        <v>518</v>
      </c>
      <c r="C235" s="206" t="s">
        <v>566</v>
      </c>
      <c r="D235" s="206"/>
      <c r="E235" s="117">
        <v>93.09</v>
      </c>
    </row>
    <row r="236" spans="1:5" ht="16">
      <c r="A236" s="206"/>
      <c r="B236" s="206"/>
      <c r="C236" s="206"/>
      <c r="D236" s="206"/>
      <c r="E236" s="117">
        <v>93.09</v>
      </c>
    </row>
    <row r="237" spans="1:5" ht="16">
      <c r="A237" s="117" t="s">
        <v>567</v>
      </c>
      <c r="B237" s="117" t="s">
        <v>568</v>
      </c>
      <c r="C237" s="117"/>
      <c r="D237" s="117"/>
      <c r="E237" s="117">
        <v>93.09</v>
      </c>
    </row>
    <row r="239" spans="1:5">
      <c r="A239" s="115" t="s">
        <v>569</v>
      </c>
    </row>
    <row r="240" spans="1:5">
      <c r="A240" s="115" t="s">
        <v>570</v>
      </c>
    </row>
    <row r="241" spans="1:1">
      <c r="A241" s="115" t="s">
        <v>484</v>
      </c>
    </row>
    <row r="242" spans="1:1">
      <c r="A242" s="115" t="s">
        <v>433</v>
      </c>
    </row>
    <row r="243" spans="1:1">
      <c r="A243" s="120" t="s">
        <v>388</v>
      </c>
    </row>
    <row r="244" spans="1:1">
      <c r="A244" s="121" t="s">
        <v>571</v>
      </c>
    </row>
    <row r="245" spans="1:1">
      <c r="A245" s="122" t="s">
        <v>572</v>
      </c>
    </row>
    <row r="246" spans="1:1">
      <c r="A246" s="121" t="s">
        <v>572</v>
      </c>
    </row>
    <row r="247" spans="1:1">
      <c r="A247" s="114" t="s">
        <v>573</v>
      </c>
    </row>
    <row r="248" spans="1:1">
      <c r="A248" s="115" t="s">
        <v>574</v>
      </c>
    </row>
    <row r="249" spans="1:1">
      <c r="A249" s="115" t="s">
        <v>575</v>
      </c>
    </row>
    <row r="250" spans="1:1">
      <c r="A250" s="115" t="s">
        <v>484</v>
      </c>
    </row>
    <row r="251" spans="1:1">
      <c r="A251" s="115" t="s">
        <v>576</v>
      </c>
    </row>
    <row r="252" spans="1:1">
      <c r="A252" s="121" t="s">
        <v>577</v>
      </c>
    </row>
    <row r="253" spans="1:1">
      <c r="A253" s="120" t="s">
        <v>388</v>
      </c>
    </row>
    <row r="254" spans="1:1">
      <c r="A254" s="121" t="s">
        <v>578</v>
      </c>
    </row>
    <row r="255" spans="1:1">
      <c r="A255" s="121" t="s">
        <v>579</v>
      </c>
    </row>
    <row r="256" spans="1:1">
      <c r="A256" s="122" t="s">
        <v>579</v>
      </c>
    </row>
    <row r="257" spans="1:1">
      <c r="A257" s="121" t="s">
        <v>580</v>
      </c>
    </row>
    <row r="258" spans="1:1">
      <c r="A258" s="121" t="s">
        <v>581</v>
      </c>
    </row>
    <row r="259" spans="1:1">
      <c r="A259" s="122" t="s">
        <v>582</v>
      </c>
    </row>
    <row r="260" spans="1:1">
      <c r="A260" s="121" t="s">
        <v>583</v>
      </c>
    </row>
    <row r="261" spans="1:1">
      <c r="A261" s="121" t="s">
        <v>584</v>
      </c>
    </row>
    <row r="262" spans="1:1">
      <c r="A262" s="122" t="s">
        <v>584</v>
      </c>
    </row>
    <row r="263" spans="1:1">
      <c r="A263" s="121" t="s">
        <v>585</v>
      </c>
    </row>
    <row r="264" spans="1:1">
      <c r="A264" s="121" t="s">
        <v>586</v>
      </c>
    </row>
    <row r="265" spans="1:1">
      <c r="A265" s="122" t="s">
        <v>586</v>
      </c>
    </row>
    <row r="266" spans="1:1">
      <c r="A266" s="124" t="s">
        <v>587</v>
      </c>
    </row>
    <row r="267" spans="1:1">
      <c r="A267" s="114" t="s">
        <v>377</v>
      </c>
    </row>
    <row r="268" spans="1:1">
      <c r="A268" s="114" t="s">
        <v>427</v>
      </c>
    </row>
    <row r="269" spans="1:1">
      <c r="A269" s="111" t="s">
        <v>379</v>
      </c>
    </row>
    <row r="270" spans="1:1">
      <c r="A270" s="111" t="s">
        <v>380</v>
      </c>
    </row>
    <row r="271" spans="1:1">
      <c r="A271" s="111" t="s">
        <v>381</v>
      </c>
    </row>
    <row r="272" spans="1:1">
      <c r="A272" s="112" t="s">
        <v>382</v>
      </c>
    </row>
    <row r="273" spans="1:1">
      <c r="A273" s="115" t="s">
        <v>469</v>
      </c>
    </row>
    <row r="274" spans="1:1">
      <c r="A274" s="115" t="s">
        <v>406</v>
      </c>
    </row>
    <row r="275" spans="1:1">
      <c r="A275" s="115" t="s">
        <v>470</v>
      </c>
    </row>
    <row r="276" spans="1:1">
      <c r="A276" s="115" t="s">
        <v>471</v>
      </c>
    </row>
    <row r="277" spans="1:1">
      <c r="A277" s="120" t="s">
        <v>388</v>
      </c>
    </row>
    <row r="278" spans="1:1">
      <c r="A278" s="121" t="s">
        <v>588</v>
      </c>
    </row>
    <row r="279" spans="1:1">
      <c r="A279" s="122" t="s">
        <v>589</v>
      </c>
    </row>
    <row r="280" spans="1:1">
      <c r="A280" s="121" t="s">
        <v>590</v>
      </c>
    </row>
    <row r="281" spans="1:1">
      <c r="A281" s="121" t="s">
        <v>591</v>
      </c>
    </row>
    <row r="282" spans="1:1">
      <c r="A282" s="122" t="s">
        <v>592</v>
      </c>
    </row>
    <row r="283" spans="1:1">
      <c r="A283" s="121" t="s">
        <v>592</v>
      </c>
    </row>
    <row r="284" spans="1:1">
      <c r="A284" s="121" t="s">
        <v>593</v>
      </c>
    </row>
    <row r="285" spans="1:1">
      <c r="A285" s="122" t="s">
        <v>594</v>
      </c>
    </row>
    <row r="286" spans="1:1">
      <c r="A286" s="121" t="s">
        <v>595</v>
      </c>
    </row>
    <row r="287" spans="1:1">
      <c r="A287" s="121" t="s">
        <v>596</v>
      </c>
    </row>
    <row r="288" spans="1:1">
      <c r="A288" s="122" t="s">
        <v>597</v>
      </c>
    </row>
    <row r="289" spans="1:1">
      <c r="A289" s="121" t="s">
        <v>597</v>
      </c>
    </row>
    <row r="290" spans="1:1">
      <c r="A290" s="121" t="s">
        <v>598</v>
      </c>
    </row>
    <row r="291" spans="1:1">
      <c r="A291" s="122" t="s">
        <v>599</v>
      </c>
    </row>
    <row r="292" spans="1:1">
      <c r="A292" s="121" t="s">
        <v>599</v>
      </c>
    </row>
    <row r="293" spans="1:1">
      <c r="A293" s="121" t="s">
        <v>600</v>
      </c>
    </row>
    <row r="294" spans="1:1">
      <c r="A294" s="122" t="s">
        <v>601</v>
      </c>
    </row>
    <row r="295" spans="1:1">
      <c r="A295" s="121" t="s">
        <v>602</v>
      </c>
    </row>
    <row r="296" spans="1:1">
      <c r="A296" s="121" t="s">
        <v>603</v>
      </c>
    </row>
    <row r="297" spans="1:1">
      <c r="A297" s="126" t="s">
        <v>465</v>
      </c>
    </row>
    <row r="298" spans="1:1">
      <c r="A298" s="115" t="s">
        <v>604</v>
      </c>
    </row>
    <row r="299" spans="1:1">
      <c r="A299" s="115" t="s">
        <v>436</v>
      </c>
    </row>
    <row r="300" spans="1:1">
      <c r="A300" s="115" t="s">
        <v>605</v>
      </c>
    </row>
    <row r="301" spans="1:1">
      <c r="A301" s="115" t="s">
        <v>606</v>
      </c>
    </row>
    <row r="302" spans="1:1">
      <c r="A302" s="115" t="s">
        <v>607</v>
      </c>
    </row>
    <row r="303" spans="1:1">
      <c r="A303" s="115" t="s">
        <v>608</v>
      </c>
    </row>
    <row r="304" spans="1:1">
      <c r="A304" s="120" t="s">
        <v>388</v>
      </c>
    </row>
    <row r="305" spans="1:1">
      <c r="A305" s="121" t="s">
        <v>609</v>
      </c>
    </row>
    <row r="306" spans="1:1">
      <c r="A306" s="122" t="s">
        <v>610</v>
      </c>
    </row>
    <row r="307" spans="1:1">
      <c r="A307" s="121" t="s">
        <v>610</v>
      </c>
    </row>
    <row r="308" spans="1:1">
      <c r="A308" s="121" t="s">
        <v>611</v>
      </c>
    </row>
    <row r="309" spans="1:1">
      <c r="A309" s="122" t="s">
        <v>612</v>
      </c>
    </row>
    <row r="310" spans="1:1">
      <c r="A310" s="121" t="s">
        <v>612</v>
      </c>
    </row>
    <row r="311" spans="1:1">
      <c r="A311" s="121" t="s">
        <v>613</v>
      </c>
    </row>
    <row r="312" spans="1:1">
      <c r="A312" s="122" t="s">
        <v>614</v>
      </c>
    </row>
    <row r="313" spans="1:1">
      <c r="A313" s="121" t="s">
        <v>615</v>
      </c>
    </row>
    <row r="314" spans="1:1">
      <c r="A314" s="121" t="s">
        <v>616</v>
      </c>
    </row>
    <row r="315" spans="1:1">
      <c r="A315" s="122" t="s">
        <v>617</v>
      </c>
    </row>
    <row r="316" spans="1:1">
      <c r="A316" s="121" t="s">
        <v>617</v>
      </c>
    </row>
    <row r="317" spans="1:1">
      <c r="A317" s="121" t="s">
        <v>618</v>
      </c>
    </row>
    <row r="318" spans="1:1">
      <c r="A318" s="122" t="s">
        <v>619</v>
      </c>
    </row>
    <row r="319" spans="1:1">
      <c r="A319" s="121" t="s">
        <v>620</v>
      </c>
    </row>
    <row r="320" spans="1:1">
      <c r="A320" s="121" t="s">
        <v>621</v>
      </c>
    </row>
    <row r="321" spans="1:1">
      <c r="A321" s="122" t="s">
        <v>622</v>
      </c>
    </row>
    <row r="322" spans="1:1">
      <c r="A322" s="121" t="s">
        <v>622</v>
      </c>
    </row>
    <row r="323" spans="1:1">
      <c r="A323" s="121" t="s">
        <v>623</v>
      </c>
    </row>
    <row r="324" spans="1:1">
      <c r="A324" s="122" t="s">
        <v>624</v>
      </c>
    </row>
    <row r="325" spans="1:1">
      <c r="A325" s="121" t="s">
        <v>624</v>
      </c>
    </row>
    <row r="326" spans="1:1">
      <c r="A326" s="121" t="s">
        <v>625</v>
      </c>
    </row>
    <row r="327" spans="1:1">
      <c r="A327" s="122" t="s">
        <v>626</v>
      </c>
    </row>
    <row r="328" spans="1:1">
      <c r="A328" s="121" t="s">
        <v>626</v>
      </c>
    </row>
    <row r="329" spans="1:1">
      <c r="A329" s="121" t="s">
        <v>627</v>
      </c>
    </row>
    <row r="330" spans="1:1">
      <c r="A330" s="122" t="s">
        <v>628</v>
      </c>
    </row>
    <row r="331" spans="1:1">
      <c r="A331" s="121" t="s">
        <v>628</v>
      </c>
    </row>
    <row r="332" spans="1:1">
      <c r="A332" s="126" t="s">
        <v>465</v>
      </c>
    </row>
    <row r="333" spans="1:1">
      <c r="A333" s="115" t="s">
        <v>629</v>
      </c>
    </row>
    <row r="334" spans="1:1">
      <c r="A334" s="114" t="s">
        <v>630</v>
      </c>
    </row>
    <row r="335" spans="1:1">
      <c r="A335" s="124" t="s">
        <v>631</v>
      </c>
    </row>
    <row r="336" spans="1:1">
      <c r="A336" s="114" t="s">
        <v>377</v>
      </c>
    </row>
    <row r="337" spans="1:1">
      <c r="A337" s="114" t="s">
        <v>468</v>
      </c>
    </row>
    <row r="340" spans="1:1">
      <c r="A340" s="127" t="s">
        <v>402</v>
      </c>
    </row>
    <row r="341" spans="1:1">
      <c r="A341" s="128" t="s">
        <v>403</v>
      </c>
    </row>
    <row r="342" spans="1:1">
      <c r="A342" s="128" t="s">
        <v>632</v>
      </c>
    </row>
    <row r="343" spans="1:1">
      <c r="A343" s="128" t="s">
        <v>633</v>
      </c>
    </row>
    <row r="344" spans="1:1">
      <c r="A344" s="114">
        <v>47</v>
      </c>
    </row>
    <row r="345" spans="1:1">
      <c r="A345" s="127" t="s">
        <v>382</v>
      </c>
    </row>
    <row r="346" spans="1:1">
      <c r="A346" s="129" t="s">
        <v>634</v>
      </c>
    </row>
    <row r="347" spans="1:1">
      <c r="A347" s="129" t="s">
        <v>635</v>
      </c>
    </row>
    <row r="348" spans="1:1">
      <c r="A348" s="129" t="s">
        <v>636</v>
      </c>
    </row>
    <row r="349" spans="1:1">
      <c r="A349" s="129" t="s">
        <v>637</v>
      </c>
    </row>
    <row r="350" spans="1:1">
      <c r="A350" s="114">
        <v>154</v>
      </c>
    </row>
    <row r="351" spans="1:1">
      <c r="A351" s="116" t="s">
        <v>409</v>
      </c>
    </row>
    <row r="352" spans="1:1">
      <c r="A352" s="116" t="s">
        <v>638</v>
      </c>
    </row>
    <row r="353" spans="1:5">
      <c r="A353" s="116" t="s">
        <v>639</v>
      </c>
    </row>
    <row r="354" spans="1:5" ht="37">
      <c r="A354" s="130" t="s">
        <v>640</v>
      </c>
    </row>
    <row r="355" spans="1:5" ht="16">
      <c r="A355" s="117"/>
      <c r="B355" s="117"/>
      <c r="C355" s="117"/>
      <c r="D355" s="117"/>
      <c r="E355" s="117"/>
    </row>
    <row r="356" spans="1:5" ht="16">
      <c r="A356" s="117" t="s">
        <v>412</v>
      </c>
      <c r="B356" s="117" t="s">
        <v>472</v>
      </c>
      <c r="C356" s="117" t="s">
        <v>641</v>
      </c>
      <c r="D356" s="117" t="s">
        <v>642</v>
      </c>
      <c r="E356" s="118">
        <v>15007.25</v>
      </c>
    </row>
    <row r="357" spans="1:5" ht="16">
      <c r="A357" s="117" t="s">
        <v>416</v>
      </c>
      <c r="B357" s="117" t="s">
        <v>475</v>
      </c>
      <c r="C357" s="117" t="s">
        <v>418</v>
      </c>
      <c r="D357" s="117" t="s">
        <v>476</v>
      </c>
      <c r="E357" s="118">
        <v>0</v>
      </c>
    </row>
    <row r="358" spans="1:5" ht="16">
      <c r="A358" s="117" t="s">
        <v>477</v>
      </c>
      <c r="B358" s="117" t="s">
        <v>643</v>
      </c>
      <c r="C358" s="117" t="s">
        <v>479</v>
      </c>
      <c r="D358" s="117" t="s">
        <v>644</v>
      </c>
      <c r="E358" s="118">
        <v>-471555.78</v>
      </c>
    </row>
    <row r="359" spans="1:5" ht="16">
      <c r="A359" s="117"/>
      <c r="B359" s="117"/>
      <c r="C359" s="117" t="s">
        <v>645</v>
      </c>
      <c r="D359" s="117"/>
      <c r="E359" s="117"/>
    </row>
    <row r="361" spans="1:5" ht="16">
      <c r="A361" s="131" t="s">
        <v>352</v>
      </c>
    </row>
    <row r="362" spans="1:5">
      <c r="A362" s="115" t="s">
        <v>482</v>
      </c>
    </row>
    <row r="363" spans="1:5">
      <c r="A363" s="115" t="s">
        <v>483</v>
      </c>
    </row>
    <row r="364" spans="1:5">
      <c r="A364" s="115" t="s">
        <v>646</v>
      </c>
    </row>
    <row r="365" spans="1:5">
      <c r="A365" s="115" t="s">
        <v>647</v>
      </c>
    </row>
    <row r="366" spans="1:5">
      <c r="A366" s="115" t="s">
        <v>436</v>
      </c>
    </row>
    <row r="367" spans="1:5">
      <c r="A367" s="120" t="s">
        <v>388</v>
      </c>
    </row>
    <row r="368" spans="1:5">
      <c r="A368" s="121" t="s">
        <v>648</v>
      </c>
    </row>
    <row r="369" spans="1:1">
      <c r="A369" s="121" t="s">
        <v>649</v>
      </c>
    </row>
    <row r="370" spans="1:1">
      <c r="A370" s="122" t="s">
        <v>649</v>
      </c>
    </row>
    <row r="371" spans="1:1">
      <c r="A371" s="121" t="s">
        <v>650</v>
      </c>
    </row>
    <row r="372" spans="1:1">
      <c r="A372" s="121" t="s">
        <v>367</v>
      </c>
    </row>
    <row r="373" spans="1:1">
      <c r="A373" s="122" t="s">
        <v>367</v>
      </c>
    </row>
    <row r="374" spans="1:1">
      <c r="A374" s="121" t="s">
        <v>651</v>
      </c>
    </row>
    <row r="375" spans="1:1">
      <c r="A375" s="121" t="s">
        <v>652</v>
      </c>
    </row>
    <row r="376" spans="1:1">
      <c r="A376" s="122">
        <v>12.61</v>
      </c>
    </row>
    <row r="377" spans="1:1">
      <c r="A377" s="121">
        <v>12.61</v>
      </c>
    </row>
    <row r="378" spans="1:1">
      <c r="A378" s="122">
        <v>12.61</v>
      </c>
    </row>
    <row r="379" spans="1:1">
      <c r="A379" s="121">
        <v>12.61</v>
      </c>
    </row>
    <row r="380" spans="1:1">
      <c r="A380" s="124" t="s">
        <v>495</v>
      </c>
    </row>
    <row r="381" spans="1:1">
      <c r="A381" s="114" t="s">
        <v>377</v>
      </c>
    </row>
    <row r="382" spans="1:1">
      <c r="A382" s="114" t="s">
        <v>653</v>
      </c>
    </row>
    <row r="383" spans="1:1">
      <c r="A383" s="129" t="s">
        <v>635</v>
      </c>
    </row>
    <row r="384" spans="1:1">
      <c r="A384" s="129" t="s">
        <v>636</v>
      </c>
    </row>
    <row r="385" spans="1:4">
      <c r="A385" s="129" t="s">
        <v>637</v>
      </c>
    </row>
    <row r="386" spans="1:4" ht="16">
      <c r="A386" s="117" t="s">
        <v>496</v>
      </c>
      <c r="B386" s="117" t="s">
        <v>497</v>
      </c>
      <c r="C386" s="117" t="s">
        <v>498</v>
      </c>
      <c r="D386" s="117" t="s">
        <v>654</v>
      </c>
    </row>
    <row r="387" spans="1:4" ht="16">
      <c r="A387" s="117" t="s">
        <v>655</v>
      </c>
      <c r="B387" s="117" t="s">
        <v>656</v>
      </c>
      <c r="C387" s="117"/>
      <c r="D387" s="117" t="s">
        <v>657</v>
      </c>
    </row>
    <row r="388" spans="1:4" ht="16">
      <c r="A388" s="206" t="s">
        <v>658</v>
      </c>
      <c r="B388" s="117" t="s">
        <v>510</v>
      </c>
      <c r="C388" s="206"/>
      <c r="D388" s="206"/>
    </row>
    <row r="389" spans="1:4" ht="16">
      <c r="A389" s="206"/>
      <c r="B389" s="117" t="s">
        <v>510</v>
      </c>
      <c r="C389" s="206"/>
      <c r="D389" s="206"/>
    </row>
    <row r="390" spans="1:4" ht="16">
      <c r="A390" s="117" t="s">
        <v>659</v>
      </c>
      <c r="B390" s="117" t="s">
        <v>531</v>
      </c>
      <c r="C390" s="117" t="s">
        <v>540</v>
      </c>
      <c r="D390" s="125">
        <v>2895.19</v>
      </c>
    </row>
    <row r="391" spans="1:4" ht="16">
      <c r="A391" s="206" t="s">
        <v>660</v>
      </c>
      <c r="B391" s="206" t="s">
        <v>661</v>
      </c>
      <c r="C391" s="206" t="s">
        <v>662</v>
      </c>
      <c r="D391" s="125">
        <v>2595.19</v>
      </c>
    </row>
    <row r="392" spans="1:4" ht="16">
      <c r="A392" s="206"/>
      <c r="B392" s="206"/>
      <c r="C392" s="206"/>
      <c r="D392" s="125">
        <v>2595.19</v>
      </c>
    </row>
    <row r="393" spans="1:4" ht="16">
      <c r="A393" s="117" t="s">
        <v>663</v>
      </c>
      <c r="B393" s="117" t="s">
        <v>664</v>
      </c>
      <c r="C393" s="117"/>
      <c r="D393" s="117" t="s">
        <v>665</v>
      </c>
    </row>
    <row r="394" spans="1:4" ht="16">
      <c r="A394" s="206" t="s">
        <v>666</v>
      </c>
      <c r="B394" s="206" t="s">
        <v>661</v>
      </c>
      <c r="C394" s="206" t="s">
        <v>662</v>
      </c>
      <c r="D394" s="125">
        <v>22295.19</v>
      </c>
    </row>
    <row r="395" spans="1:4" ht="16">
      <c r="A395" s="206"/>
      <c r="B395" s="206"/>
      <c r="C395" s="206"/>
      <c r="D395" s="125">
        <v>22295.19</v>
      </c>
    </row>
    <row r="396" spans="1:4" ht="16">
      <c r="A396" s="117" t="s">
        <v>667</v>
      </c>
      <c r="B396" s="117" t="s">
        <v>527</v>
      </c>
      <c r="C396" s="117" t="s">
        <v>668</v>
      </c>
      <c r="D396" s="125">
        <v>20703.64</v>
      </c>
    </row>
    <row r="397" spans="1:4" ht="16">
      <c r="A397" s="206" t="s">
        <v>669</v>
      </c>
      <c r="B397" s="117" t="s">
        <v>510</v>
      </c>
      <c r="C397" s="206"/>
      <c r="D397" s="206"/>
    </row>
    <row r="398" spans="1:4" ht="16">
      <c r="A398" s="206"/>
      <c r="B398" s="117" t="s">
        <v>510</v>
      </c>
      <c r="C398" s="206"/>
      <c r="D398" s="206"/>
    </row>
    <row r="399" spans="1:4" ht="16">
      <c r="A399" s="117" t="s">
        <v>670</v>
      </c>
      <c r="B399" s="117" t="s">
        <v>531</v>
      </c>
      <c r="C399" s="117" t="s">
        <v>671</v>
      </c>
      <c r="D399" s="125">
        <v>17026.05</v>
      </c>
    </row>
    <row r="400" spans="1:4" ht="16">
      <c r="A400" s="206" t="s">
        <v>672</v>
      </c>
      <c r="B400" s="206" t="s">
        <v>673</v>
      </c>
      <c r="C400" s="206"/>
      <c r="D400" s="117" t="s">
        <v>674</v>
      </c>
    </row>
    <row r="401" spans="1:4" ht="16">
      <c r="A401" s="206"/>
      <c r="B401" s="206"/>
      <c r="C401" s="206"/>
      <c r="D401" s="117" t="s">
        <v>674</v>
      </c>
    </row>
    <row r="402" spans="1:4" ht="16">
      <c r="A402" s="117" t="s">
        <v>675</v>
      </c>
      <c r="B402" s="117" t="s">
        <v>527</v>
      </c>
      <c r="C402" s="117" t="s">
        <v>676</v>
      </c>
      <c r="D402" s="125">
        <v>18753.98</v>
      </c>
    </row>
    <row r="403" spans="1:4" ht="16">
      <c r="A403" s="206" t="s">
        <v>677</v>
      </c>
      <c r="B403" s="117" t="s">
        <v>510</v>
      </c>
      <c r="C403" s="206"/>
      <c r="D403" s="206"/>
    </row>
    <row r="404" spans="1:4" ht="16">
      <c r="A404" s="206"/>
      <c r="B404" s="117" t="s">
        <v>510</v>
      </c>
      <c r="C404" s="206"/>
      <c r="D404" s="206"/>
    </row>
    <row r="405" spans="1:4" ht="16">
      <c r="A405" s="117" t="s">
        <v>678</v>
      </c>
      <c r="B405" s="117" t="s">
        <v>531</v>
      </c>
      <c r="C405" s="117" t="s">
        <v>671</v>
      </c>
      <c r="D405" s="125">
        <v>15076.39</v>
      </c>
    </row>
    <row r="406" spans="1:4" ht="16">
      <c r="A406" s="206" t="s">
        <v>679</v>
      </c>
      <c r="B406" s="206" t="s">
        <v>542</v>
      </c>
      <c r="C406" s="206"/>
      <c r="D406" s="117" t="s">
        <v>680</v>
      </c>
    </row>
    <row r="407" spans="1:4" ht="16">
      <c r="A407" s="206"/>
      <c r="B407" s="206"/>
      <c r="C407" s="206"/>
      <c r="D407" s="117" t="s">
        <v>680</v>
      </c>
    </row>
    <row r="408" spans="1:4" ht="16">
      <c r="A408" s="117" t="s">
        <v>681</v>
      </c>
      <c r="B408" s="117" t="s">
        <v>682</v>
      </c>
      <c r="C408" s="117"/>
      <c r="D408" s="117"/>
    </row>
    <row r="409" spans="1:4" ht="16">
      <c r="A409" s="206" t="s">
        <v>683</v>
      </c>
      <c r="B409" s="206" t="s">
        <v>542</v>
      </c>
      <c r="C409" s="206"/>
      <c r="D409" s="117" t="s">
        <v>684</v>
      </c>
    </row>
    <row r="410" spans="1:4" ht="16">
      <c r="A410" s="206"/>
      <c r="B410" s="206"/>
      <c r="C410" s="206"/>
      <c r="D410" s="117" t="s">
        <v>684</v>
      </c>
    </row>
    <row r="411" spans="1:4" ht="16">
      <c r="A411" s="117" t="s">
        <v>685</v>
      </c>
      <c r="B411" s="117" t="s">
        <v>686</v>
      </c>
      <c r="C411" s="117"/>
      <c r="D411" s="117"/>
    </row>
    <row r="412" spans="1:4" ht="16">
      <c r="A412" s="206" t="s">
        <v>687</v>
      </c>
      <c r="B412" s="206" t="s">
        <v>507</v>
      </c>
      <c r="C412" s="206" t="s">
        <v>688</v>
      </c>
      <c r="D412" s="125">
        <v>14878.42</v>
      </c>
    </row>
    <row r="413" spans="1:4" ht="16">
      <c r="A413" s="206"/>
      <c r="B413" s="206"/>
      <c r="C413" s="206"/>
      <c r="D413" s="125">
        <v>14878.42</v>
      </c>
    </row>
    <row r="414" spans="1:4" ht="16">
      <c r="A414" s="117" t="s">
        <v>689</v>
      </c>
      <c r="B414" s="117" t="s">
        <v>510</v>
      </c>
      <c r="C414" s="117"/>
      <c r="D414" s="117"/>
    </row>
    <row r="415" spans="1:4" ht="16">
      <c r="A415" s="206" t="s">
        <v>690</v>
      </c>
      <c r="B415" s="206" t="s">
        <v>518</v>
      </c>
      <c r="C415" s="206" t="s">
        <v>691</v>
      </c>
      <c r="D415" s="125">
        <v>11200.83</v>
      </c>
    </row>
    <row r="416" spans="1:4" ht="16">
      <c r="A416" s="206"/>
      <c r="B416" s="206"/>
      <c r="C416" s="206"/>
      <c r="D416" s="125">
        <v>11200.83</v>
      </c>
    </row>
    <row r="417" spans="1:4" ht="16">
      <c r="A417" s="117" t="s">
        <v>692</v>
      </c>
      <c r="B417" s="117" t="s">
        <v>557</v>
      </c>
      <c r="C417" s="117"/>
      <c r="D417" s="117" t="s">
        <v>693</v>
      </c>
    </row>
    <row r="418" spans="1:4" ht="16">
      <c r="A418" s="206" t="s">
        <v>690</v>
      </c>
      <c r="B418" s="117" t="s">
        <v>694</v>
      </c>
      <c r="C418" s="206"/>
      <c r="D418" s="206"/>
    </row>
    <row r="419" spans="1:4" ht="16">
      <c r="A419" s="206"/>
      <c r="B419" s="117" t="s">
        <v>694</v>
      </c>
      <c r="C419" s="206"/>
      <c r="D419" s="206"/>
    </row>
    <row r="420" spans="1:4" ht="16">
      <c r="A420" s="117" t="s">
        <v>692</v>
      </c>
      <c r="B420" s="117" t="s">
        <v>557</v>
      </c>
      <c r="C420" s="117"/>
      <c r="D420" s="117" t="s">
        <v>695</v>
      </c>
    </row>
    <row r="421" spans="1:4" ht="16">
      <c r="A421" s="206" t="s">
        <v>690</v>
      </c>
      <c r="B421" s="117" t="s">
        <v>694</v>
      </c>
      <c r="C421" s="206"/>
      <c r="D421" s="206"/>
    </row>
    <row r="422" spans="1:4" ht="16">
      <c r="A422" s="206"/>
      <c r="B422" s="117" t="s">
        <v>694</v>
      </c>
      <c r="C422" s="206"/>
      <c r="D422" s="206"/>
    </row>
    <row r="423" spans="1:4" ht="16">
      <c r="A423" s="117" t="s">
        <v>696</v>
      </c>
      <c r="B423" s="117" t="s">
        <v>557</v>
      </c>
      <c r="C423" s="117"/>
      <c r="D423" s="117" t="s">
        <v>697</v>
      </c>
    </row>
    <row r="424" spans="1:4" ht="16">
      <c r="A424" s="206" t="s">
        <v>698</v>
      </c>
      <c r="B424" s="117" t="s">
        <v>699</v>
      </c>
      <c r="C424" s="206"/>
      <c r="D424" s="206"/>
    </row>
    <row r="425" spans="1:4" ht="16">
      <c r="A425" s="206"/>
      <c r="B425" s="117" t="s">
        <v>699</v>
      </c>
      <c r="C425" s="206"/>
      <c r="D425" s="206"/>
    </row>
    <row r="426" spans="1:4" ht="16">
      <c r="A426" s="117" t="s">
        <v>700</v>
      </c>
      <c r="B426" s="117" t="s">
        <v>557</v>
      </c>
      <c r="C426" s="117"/>
      <c r="D426" s="117" t="s">
        <v>701</v>
      </c>
    </row>
    <row r="427" spans="1:4" ht="16">
      <c r="A427" s="206" t="s">
        <v>702</v>
      </c>
      <c r="B427" s="117" t="s">
        <v>703</v>
      </c>
      <c r="C427" s="206"/>
      <c r="D427" s="206"/>
    </row>
    <row r="428" spans="1:4" ht="16">
      <c r="A428" s="206"/>
      <c r="B428" s="117" t="s">
        <v>703</v>
      </c>
      <c r="C428" s="206"/>
      <c r="D428" s="206"/>
    </row>
    <row r="429" spans="1:4" ht="16">
      <c r="A429" s="117" t="s">
        <v>704</v>
      </c>
      <c r="B429" s="117" t="s">
        <v>527</v>
      </c>
      <c r="C429" s="117" t="s">
        <v>676</v>
      </c>
      <c r="D429" s="125">
        <v>13484.84</v>
      </c>
    </row>
    <row r="430" spans="1:4" ht="16">
      <c r="A430" s="206" t="s">
        <v>705</v>
      </c>
      <c r="B430" s="117" t="s">
        <v>510</v>
      </c>
      <c r="C430" s="206"/>
      <c r="D430" s="206"/>
    </row>
    <row r="431" spans="1:4" ht="16">
      <c r="A431" s="206"/>
      <c r="B431" s="117" t="s">
        <v>510</v>
      </c>
      <c r="C431" s="206"/>
      <c r="D431" s="206"/>
    </row>
    <row r="432" spans="1:4" ht="16">
      <c r="A432" s="117" t="s">
        <v>706</v>
      </c>
      <c r="B432" s="117" t="s">
        <v>531</v>
      </c>
      <c r="C432" s="117" t="s">
        <v>671</v>
      </c>
      <c r="D432" s="125">
        <v>9807.25</v>
      </c>
    </row>
    <row r="433" spans="1:4" ht="16">
      <c r="A433" s="206" t="s">
        <v>707</v>
      </c>
      <c r="B433" s="206" t="s">
        <v>542</v>
      </c>
      <c r="C433" s="206"/>
      <c r="D433" s="117" t="s">
        <v>708</v>
      </c>
    </row>
    <row r="434" spans="1:4" ht="16">
      <c r="A434" s="206"/>
      <c r="B434" s="206"/>
      <c r="C434" s="206"/>
      <c r="D434" s="117" t="s">
        <v>708</v>
      </c>
    </row>
    <row r="435" spans="1:4" ht="16">
      <c r="A435" s="117" t="s">
        <v>709</v>
      </c>
      <c r="B435" s="117" t="s">
        <v>710</v>
      </c>
      <c r="C435" s="117"/>
      <c r="D435" s="117"/>
    </row>
    <row r="436" spans="1:4" ht="16">
      <c r="A436" s="206" t="s">
        <v>711</v>
      </c>
      <c r="B436" s="206" t="s">
        <v>712</v>
      </c>
      <c r="C436" s="206"/>
      <c r="D436" s="117" t="s">
        <v>713</v>
      </c>
    </row>
    <row r="437" spans="1:4" ht="16">
      <c r="A437" s="206"/>
      <c r="B437" s="206"/>
      <c r="C437" s="206"/>
      <c r="D437" s="117" t="s">
        <v>713</v>
      </c>
    </row>
    <row r="438" spans="1:4" ht="16">
      <c r="A438" s="117" t="s">
        <v>714</v>
      </c>
      <c r="B438" s="117" t="s">
        <v>557</v>
      </c>
      <c r="C438" s="117"/>
      <c r="D438" s="117" t="s">
        <v>715</v>
      </c>
    </row>
    <row r="439" spans="1:4" ht="16">
      <c r="A439" s="206" t="s">
        <v>716</v>
      </c>
      <c r="B439" s="117" t="s">
        <v>717</v>
      </c>
      <c r="C439" s="206"/>
      <c r="D439" s="206"/>
    </row>
    <row r="440" spans="1:4" ht="16">
      <c r="A440" s="206"/>
      <c r="B440" s="117" t="s">
        <v>717</v>
      </c>
      <c r="C440" s="206"/>
      <c r="D440" s="206"/>
    </row>
    <row r="441" spans="1:4" ht="16">
      <c r="A441" s="117" t="s">
        <v>718</v>
      </c>
      <c r="B441" s="117" t="s">
        <v>568</v>
      </c>
      <c r="C441" s="117"/>
      <c r="D441" s="125">
        <v>15007.25</v>
      </c>
    </row>
    <row r="443" spans="1:4">
      <c r="A443" s="115" t="s">
        <v>569</v>
      </c>
    </row>
    <row r="444" spans="1:4">
      <c r="A444" s="115" t="s">
        <v>570</v>
      </c>
    </row>
    <row r="445" spans="1:4">
      <c r="A445" s="115" t="s">
        <v>646</v>
      </c>
    </row>
    <row r="446" spans="1:4">
      <c r="A446" s="115" t="s">
        <v>433</v>
      </c>
    </row>
    <row r="447" spans="1:4">
      <c r="A447" s="120" t="s">
        <v>388</v>
      </c>
    </row>
    <row r="448" spans="1:4">
      <c r="A448" s="121" t="s">
        <v>434</v>
      </c>
    </row>
    <row r="449" spans="1:1">
      <c r="A449" s="122" t="s">
        <v>435</v>
      </c>
    </row>
    <row r="450" spans="1:1">
      <c r="A450" s="121" t="s">
        <v>435</v>
      </c>
    </row>
    <row r="451" spans="1:1">
      <c r="A451" s="114" t="s">
        <v>719</v>
      </c>
    </row>
    <row r="452" spans="1:1">
      <c r="A452" s="115" t="s">
        <v>720</v>
      </c>
    </row>
    <row r="453" spans="1:1">
      <c r="A453" s="115" t="s">
        <v>721</v>
      </c>
    </row>
    <row r="454" spans="1:1">
      <c r="A454" s="115" t="s">
        <v>646</v>
      </c>
    </row>
    <row r="455" spans="1:1">
      <c r="A455" s="115" t="s">
        <v>576</v>
      </c>
    </row>
    <row r="456" spans="1:1">
      <c r="A456" s="121" t="s">
        <v>722</v>
      </c>
    </row>
    <row r="457" spans="1:1">
      <c r="A457" s="120" t="s">
        <v>388</v>
      </c>
    </row>
    <row r="458" spans="1:1">
      <c r="A458" s="121" t="s">
        <v>438</v>
      </c>
    </row>
    <row r="459" spans="1:1">
      <c r="A459" s="121" t="s">
        <v>723</v>
      </c>
    </row>
    <row r="460" spans="1:1">
      <c r="A460" s="122" t="s">
        <v>723</v>
      </c>
    </row>
    <row r="461" spans="1:1">
      <c r="A461" s="121" t="s">
        <v>724</v>
      </c>
    </row>
    <row r="462" spans="1:1">
      <c r="A462" s="121" t="s">
        <v>725</v>
      </c>
    </row>
    <row r="463" spans="1:1">
      <c r="A463" s="122" t="s">
        <v>726</v>
      </c>
    </row>
    <row r="464" spans="1:1">
      <c r="A464" s="124" t="s">
        <v>587</v>
      </c>
    </row>
    <row r="465" spans="1:4">
      <c r="A465" s="114" t="s">
        <v>377</v>
      </c>
    </row>
    <row r="466" spans="1:4">
      <c r="A466" s="114" t="s">
        <v>653</v>
      </c>
    </row>
    <row r="467" spans="1:4">
      <c r="A467" s="129" t="s">
        <v>635</v>
      </c>
    </row>
    <row r="468" spans="1:4">
      <c r="A468" s="129" t="s">
        <v>636</v>
      </c>
    </row>
    <row r="469" spans="1:4">
      <c r="A469" s="129" t="s">
        <v>637</v>
      </c>
    </row>
    <row r="470" spans="1:4" ht="16">
      <c r="A470" s="117" t="s">
        <v>496</v>
      </c>
      <c r="B470" s="117" t="s">
        <v>497</v>
      </c>
      <c r="C470" s="117" t="s">
        <v>498</v>
      </c>
      <c r="D470" s="117" t="s">
        <v>654</v>
      </c>
    </row>
    <row r="471" spans="1:4" ht="16">
      <c r="A471" s="117" t="s">
        <v>727</v>
      </c>
      <c r="B471" s="117" t="s">
        <v>728</v>
      </c>
      <c r="C471" s="117"/>
      <c r="D471" s="117"/>
    </row>
    <row r="472" spans="1:4" ht="16">
      <c r="A472" s="206" t="s">
        <v>729</v>
      </c>
      <c r="B472" s="117" t="s">
        <v>730</v>
      </c>
      <c r="C472" s="206"/>
      <c r="D472" s="206"/>
    </row>
    <row r="473" spans="1:4" ht="16">
      <c r="A473" s="206"/>
      <c r="B473" s="117" t="s">
        <v>730</v>
      </c>
      <c r="C473" s="206"/>
      <c r="D473" s="206"/>
    </row>
    <row r="474" spans="1:4" ht="16">
      <c r="A474" s="117" t="s">
        <v>731</v>
      </c>
      <c r="B474" s="117" t="s">
        <v>732</v>
      </c>
      <c r="C474" s="117"/>
      <c r="D474" s="117"/>
    </row>
    <row r="475" spans="1:4" ht="16">
      <c r="A475" s="206" t="s">
        <v>733</v>
      </c>
      <c r="B475" s="206" t="s">
        <v>734</v>
      </c>
      <c r="C475" s="206" t="s">
        <v>735</v>
      </c>
      <c r="D475" s="125">
        <v>471555.78</v>
      </c>
    </row>
    <row r="476" spans="1:4" ht="16">
      <c r="A476" s="206"/>
      <c r="B476" s="206"/>
      <c r="C476" s="206"/>
      <c r="D476" s="125">
        <v>471555.78</v>
      </c>
    </row>
    <row r="477" spans="1:4" ht="16">
      <c r="A477" s="117" t="s">
        <v>736</v>
      </c>
      <c r="B477" s="117" t="s">
        <v>737</v>
      </c>
      <c r="C477" s="117"/>
      <c r="D477" s="117"/>
    </row>
    <row r="478" spans="1:4" ht="16">
      <c r="A478" s="206" t="s">
        <v>666</v>
      </c>
      <c r="B478" s="117" t="s">
        <v>738</v>
      </c>
      <c r="C478" s="206"/>
      <c r="D478" s="206"/>
    </row>
    <row r="479" spans="1:4" ht="16">
      <c r="A479" s="206"/>
      <c r="B479" s="117" t="s">
        <v>738</v>
      </c>
      <c r="C479" s="206"/>
      <c r="D479" s="206"/>
    </row>
    <row r="480" spans="1:4" ht="16">
      <c r="A480" s="117" t="s">
        <v>739</v>
      </c>
      <c r="B480" s="117" t="s">
        <v>740</v>
      </c>
      <c r="C480" s="117"/>
      <c r="D480" s="117"/>
    </row>
    <row r="481" spans="1:4" ht="16">
      <c r="A481" s="206" t="s">
        <v>741</v>
      </c>
      <c r="B481" s="117" t="s">
        <v>742</v>
      </c>
      <c r="C481" s="206"/>
      <c r="D481" s="206"/>
    </row>
    <row r="482" spans="1:4" ht="16">
      <c r="A482" s="206"/>
      <c r="B482" s="117" t="s">
        <v>742</v>
      </c>
      <c r="C482" s="206"/>
      <c r="D482" s="206"/>
    </row>
    <row r="483" spans="1:4" ht="16">
      <c r="A483" s="117" t="s">
        <v>743</v>
      </c>
      <c r="B483" s="117" t="s">
        <v>744</v>
      </c>
      <c r="C483" s="117" t="s">
        <v>668</v>
      </c>
      <c r="D483" s="125">
        <v>473147.33</v>
      </c>
    </row>
    <row r="484" spans="1:4" ht="16">
      <c r="A484" s="206" t="s">
        <v>669</v>
      </c>
      <c r="B484" s="206" t="s">
        <v>745</v>
      </c>
      <c r="C484" s="206"/>
      <c r="D484" s="117" t="s">
        <v>746</v>
      </c>
    </row>
    <row r="485" spans="1:4" ht="16">
      <c r="A485" s="206"/>
      <c r="B485" s="206"/>
      <c r="C485" s="206"/>
      <c r="D485" s="117" t="s">
        <v>746</v>
      </c>
    </row>
    <row r="486" spans="1:4" ht="16">
      <c r="A486" s="117" t="s">
        <v>747</v>
      </c>
      <c r="B486" s="117" t="s">
        <v>744</v>
      </c>
      <c r="C486" s="117" t="s">
        <v>676</v>
      </c>
      <c r="D486" s="125">
        <v>473070.94</v>
      </c>
    </row>
    <row r="487" spans="1:4" ht="16">
      <c r="A487" s="206" t="s">
        <v>677</v>
      </c>
      <c r="B487" s="206" t="s">
        <v>745</v>
      </c>
      <c r="C487" s="206"/>
      <c r="D487" s="117" t="s">
        <v>748</v>
      </c>
    </row>
    <row r="488" spans="1:4" ht="16">
      <c r="A488" s="206"/>
      <c r="B488" s="206"/>
      <c r="C488" s="206"/>
      <c r="D488" s="117" t="s">
        <v>748</v>
      </c>
    </row>
    <row r="489" spans="1:4" ht="16">
      <c r="A489" s="117" t="s">
        <v>749</v>
      </c>
      <c r="B489" s="117" t="s">
        <v>744</v>
      </c>
      <c r="C489" s="117" t="s">
        <v>750</v>
      </c>
      <c r="D489" s="125">
        <v>473121.45</v>
      </c>
    </row>
    <row r="490" spans="1:4" ht="16">
      <c r="A490" s="206" t="s">
        <v>687</v>
      </c>
      <c r="B490" s="206" t="s">
        <v>745</v>
      </c>
      <c r="C490" s="206"/>
      <c r="D490" s="117" t="s">
        <v>751</v>
      </c>
    </row>
    <row r="491" spans="1:4" ht="16">
      <c r="A491" s="206"/>
      <c r="B491" s="206"/>
      <c r="C491" s="206"/>
      <c r="D491" s="117" t="s">
        <v>751</v>
      </c>
    </row>
    <row r="492" spans="1:4" ht="16">
      <c r="A492" s="117" t="s">
        <v>752</v>
      </c>
      <c r="B492" s="117" t="s">
        <v>744</v>
      </c>
      <c r="C492" s="117" t="s">
        <v>676</v>
      </c>
      <c r="D492" s="125">
        <v>473070.94</v>
      </c>
    </row>
    <row r="493" spans="1:4" ht="16">
      <c r="A493" s="206" t="s">
        <v>705</v>
      </c>
      <c r="B493" s="206" t="s">
        <v>745</v>
      </c>
      <c r="C493" s="206"/>
      <c r="D493" s="117" t="s">
        <v>748</v>
      </c>
    </row>
    <row r="494" spans="1:4" ht="16">
      <c r="A494" s="206"/>
      <c r="B494" s="206"/>
      <c r="C494" s="206"/>
      <c r="D494" s="117" t="s">
        <v>748</v>
      </c>
    </row>
    <row r="495" spans="1:4" ht="16">
      <c r="A495" s="117"/>
      <c r="B495" s="117" t="s">
        <v>753</v>
      </c>
      <c r="C495" s="117"/>
      <c r="D495" s="117"/>
    </row>
    <row r="497" spans="1:1">
      <c r="A497" s="126" t="s">
        <v>465</v>
      </c>
    </row>
    <row r="498" spans="1:1">
      <c r="A498" s="115" t="s">
        <v>754</v>
      </c>
    </row>
    <row r="499" spans="1:1">
      <c r="A499" s="115" t="s">
        <v>755</v>
      </c>
    </row>
    <row r="500" spans="1:1">
      <c r="A500" s="115" t="s">
        <v>756</v>
      </c>
    </row>
    <row r="501" spans="1:1">
      <c r="A501" s="115" t="s">
        <v>646</v>
      </c>
    </row>
    <row r="502" spans="1:1">
      <c r="A502" s="115" t="s">
        <v>757</v>
      </c>
    </row>
    <row r="503" spans="1:1">
      <c r="A503" s="121" t="s">
        <v>758</v>
      </c>
    </row>
    <row r="504" spans="1:1">
      <c r="A504" s="120" t="s">
        <v>388</v>
      </c>
    </row>
    <row r="505" spans="1:1">
      <c r="A505" s="121" t="s">
        <v>759</v>
      </c>
    </row>
    <row r="506" spans="1:1">
      <c r="A506" s="121" t="s">
        <v>760</v>
      </c>
    </row>
    <row r="507" spans="1:1">
      <c r="A507" s="122" t="s">
        <v>760</v>
      </c>
    </row>
    <row r="508" spans="1:1">
      <c r="A508" s="121" t="s">
        <v>761</v>
      </c>
    </row>
    <row r="509" spans="1:1">
      <c r="A509" s="121" t="s">
        <v>762</v>
      </c>
    </row>
    <row r="510" spans="1:1">
      <c r="A510" s="122" t="s">
        <v>762</v>
      </c>
    </row>
    <row r="511" spans="1:1">
      <c r="A511" s="121" t="s">
        <v>763</v>
      </c>
    </row>
    <row r="512" spans="1:1">
      <c r="A512" s="121" t="s">
        <v>764</v>
      </c>
    </row>
    <row r="513" spans="1:1">
      <c r="A513" s="122" t="s">
        <v>765</v>
      </c>
    </row>
    <row r="514" spans="1:1">
      <c r="A514" s="121" t="s">
        <v>766</v>
      </c>
    </row>
    <row r="515" spans="1:1">
      <c r="A515" s="121" t="s">
        <v>767</v>
      </c>
    </row>
    <row r="516" spans="1:1">
      <c r="A516" s="122" t="s">
        <v>768</v>
      </c>
    </row>
    <row r="517" spans="1:1">
      <c r="A517" s="121" t="s">
        <v>769</v>
      </c>
    </row>
    <row r="518" spans="1:1">
      <c r="A518" s="121" t="s">
        <v>770</v>
      </c>
    </row>
    <row r="519" spans="1:1">
      <c r="A519" s="122" t="s">
        <v>770</v>
      </c>
    </row>
    <row r="520" spans="1:1">
      <c r="A520" s="121" t="s">
        <v>771</v>
      </c>
    </row>
    <row r="521" spans="1:1">
      <c r="A521" s="121" t="s">
        <v>772</v>
      </c>
    </row>
    <row r="522" spans="1:1">
      <c r="A522" s="122" t="s">
        <v>773</v>
      </c>
    </row>
    <row r="523" spans="1:1">
      <c r="A523" s="121" t="s">
        <v>774</v>
      </c>
    </row>
    <row r="524" spans="1:1">
      <c r="A524" s="121" t="s">
        <v>775</v>
      </c>
    </row>
    <row r="525" spans="1:1">
      <c r="A525" s="122" t="s">
        <v>775</v>
      </c>
    </row>
    <row r="526" spans="1:1">
      <c r="A526" s="121" t="s">
        <v>776</v>
      </c>
    </row>
    <row r="527" spans="1:1">
      <c r="A527" s="121" t="s">
        <v>777</v>
      </c>
    </row>
    <row r="528" spans="1:1">
      <c r="A528" s="122" t="s">
        <v>777</v>
      </c>
    </row>
    <row r="529" spans="1:1">
      <c r="A529" s="121" t="s">
        <v>778</v>
      </c>
    </row>
    <row r="530" spans="1:1">
      <c r="A530" s="121" t="s">
        <v>779</v>
      </c>
    </row>
    <row r="531" spans="1:1">
      <c r="A531" s="122" t="s">
        <v>780</v>
      </c>
    </row>
    <row r="532" spans="1:1">
      <c r="A532" s="121" t="s">
        <v>781</v>
      </c>
    </row>
    <row r="533" spans="1:1">
      <c r="A533" s="121" t="s">
        <v>782</v>
      </c>
    </row>
    <row r="534" spans="1:1">
      <c r="A534" s="122" t="s">
        <v>782</v>
      </c>
    </row>
    <row r="535" spans="1:1">
      <c r="A535" s="121" t="s">
        <v>783</v>
      </c>
    </row>
    <row r="536" spans="1:1">
      <c r="A536" s="121" t="s">
        <v>784</v>
      </c>
    </row>
    <row r="537" spans="1:1">
      <c r="A537" s="122" t="s">
        <v>784</v>
      </c>
    </row>
    <row r="538" spans="1:1">
      <c r="A538" s="114" t="s">
        <v>785</v>
      </c>
    </row>
    <row r="539" spans="1:1">
      <c r="A539" s="126" t="s">
        <v>465</v>
      </c>
    </row>
    <row r="540" spans="1:1">
      <c r="A540" s="115" t="s">
        <v>786</v>
      </c>
    </row>
    <row r="541" spans="1:1">
      <c r="A541" s="124" t="s">
        <v>631</v>
      </c>
    </row>
    <row r="542" spans="1:1">
      <c r="A542" s="114" t="s">
        <v>377</v>
      </c>
    </row>
    <row r="543" spans="1:1">
      <c r="A543" s="114" t="s">
        <v>468</v>
      </c>
    </row>
    <row r="546" spans="1:1">
      <c r="A546" s="127" t="s">
        <v>402</v>
      </c>
    </row>
    <row r="547" spans="1:1">
      <c r="A547" s="128" t="s">
        <v>403</v>
      </c>
    </row>
    <row r="548" spans="1:1">
      <c r="A548" s="128" t="s">
        <v>632</v>
      </c>
    </row>
    <row r="549" spans="1:1">
      <c r="A549" s="128" t="s">
        <v>633</v>
      </c>
    </row>
    <row r="550" spans="1:1">
      <c r="A550" s="114">
        <v>47</v>
      </c>
    </row>
    <row r="551" spans="1:1">
      <c r="A551" s="127" t="s">
        <v>382</v>
      </c>
    </row>
    <row r="552" spans="1:1">
      <c r="A552" s="129" t="s">
        <v>634</v>
      </c>
    </row>
    <row r="553" spans="1:1">
      <c r="A553" s="129" t="s">
        <v>635</v>
      </c>
    </row>
    <row r="554" spans="1:1">
      <c r="A554" s="129" t="s">
        <v>787</v>
      </c>
    </row>
    <row r="555" spans="1:1">
      <c r="A555" s="129" t="s">
        <v>637</v>
      </c>
    </row>
    <row r="556" spans="1:1">
      <c r="A556" s="114">
        <v>2612</v>
      </c>
    </row>
    <row r="557" spans="1:1">
      <c r="A557" s="116" t="s">
        <v>409</v>
      </c>
    </row>
    <row r="558" spans="1:1">
      <c r="A558" s="116" t="s">
        <v>638</v>
      </c>
    </row>
    <row r="559" spans="1:1">
      <c r="A559" s="116" t="s">
        <v>639</v>
      </c>
    </row>
    <row r="560" spans="1:1" ht="37">
      <c r="A560" s="130" t="s">
        <v>640</v>
      </c>
    </row>
    <row r="561" spans="1:5" ht="16">
      <c r="A561" s="117"/>
      <c r="B561" s="117"/>
      <c r="C561" s="117"/>
      <c r="D561" s="117"/>
      <c r="E561" s="117"/>
    </row>
    <row r="562" spans="1:5" ht="16">
      <c r="A562" s="117" t="s">
        <v>412</v>
      </c>
      <c r="B562" s="117" t="s">
        <v>472</v>
      </c>
      <c r="C562" s="117" t="s">
        <v>788</v>
      </c>
      <c r="D562" s="117" t="s">
        <v>789</v>
      </c>
      <c r="E562" s="118">
        <v>12103.84</v>
      </c>
    </row>
    <row r="563" spans="1:5" ht="16">
      <c r="A563" s="117" t="s">
        <v>416</v>
      </c>
      <c r="B563" s="117" t="s">
        <v>475</v>
      </c>
      <c r="C563" s="117" t="s">
        <v>418</v>
      </c>
      <c r="D563" s="117" t="s">
        <v>476</v>
      </c>
      <c r="E563" s="118">
        <v>0</v>
      </c>
    </row>
    <row r="564" spans="1:5" ht="16">
      <c r="A564" s="117" t="s">
        <v>477</v>
      </c>
      <c r="B564" s="117" t="s">
        <v>790</v>
      </c>
      <c r="C564" s="117" t="s">
        <v>791</v>
      </c>
      <c r="D564" s="117" t="s">
        <v>792</v>
      </c>
      <c r="E564" s="118">
        <v>-471555.78</v>
      </c>
    </row>
    <row r="565" spans="1:5" ht="16">
      <c r="A565" s="117"/>
      <c r="B565" s="117"/>
      <c r="C565" s="117" t="s">
        <v>793</v>
      </c>
      <c r="D565" s="117"/>
      <c r="E565" s="117"/>
    </row>
    <row r="567" spans="1:5" ht="16">
      <c r="A567" s="131" t="s">
        <v>352</v>
      </c>
    </row>
    <row r="568" spans="1:5">
      <c r="A568" s="114" t="s">
        <v>794</v>
      </c>
    </row>
    <row r="569" spans="1:5">
      <c r="A569" s="115" t="s">
        <v>482</v>
      </c>
    </row>
    <row r="570" spans="1:5">
      <c r="A570" s="115" t="s">
        <v>483</v>
      </c>
    </row>
    <row r="571" spans="1:5">
      <c r="A571" s="115" t="s">
        <v>795</v>
      </c>
    </row>
    <row r="572" spans="1:5">
      <c r="A572" s="115" t="s">
        <v>796</v>
      </c>
    </row>
    <row r="573" spans="1:5">
      <c r="A573" s="121" t="s">
        <v>488</v>
      </c>
    </row>
    <row r="574" spans="1:5">
      <c r="A574" s="121" t="s">
        <v>797</v>
      </c>
    </row>
    <row r="575" spans="1:5" ht="16">
      <c r="A575" s="117"/>
      <c r="B575" s="117" t="s">
        <v>798</v>
      </c>
    </row>
    <row r="576" spans="1:5" ht="16">
      <c r="A576" s="117" t="s">
        <v>498</v>
      </c>
      <c r="B576" s="117" t="s">
        <v>499</v>
      </c>
      <c r="C576" s="117" t="s">
        <v>359</v>
      </c>
    </row>
    <row r="577" spans="1:4" ht="16">
      <c r="A577" s="117"/>
      <c r="B577" s="125">
        <v>15007.25</v>
      </c>
    </row>
    <row r="578" spans="1:4" ht="16">
      <c r="A578" s="206"/>
      <c r="B578" s="206"/>
      <c r="C578" s="206" t="s">
        <v>799</v>
      </c>
      <c r="D578" s="125">
        <v>15057.26</v>
      </c>
    </row>
    <row r="579" spans="1:4" ht="16">
      <c r="A579" s="206"/>
      <c r="B579" s="206"/>
      <c r="C579" s="206"/>
      <c r="D579" s="125">
        <v>15057.26</v>
      </c>
    </row>
    <row r="580" spans="1:4" ht="16">
      <c r="A580" s="117"/>
      <c r="B580" s="117" t="s">
        <v>750</v>
      </c>
      <c r="C580" s="117"/>
      <c r="D580" s="125">
        <v>13491.59</v>
      </c>
    </row>
    <row r="581" spans="1:4" ht="16">
      <c r="A581" s="117"/>
      <c r="B581" s="117" t="s">
        <v>671</v>
      </c>
      <c r="C581" s="117"/>
      <c r="D581" s="125">
        <v>9814</v>
      </c>
    </row>
    <row r="582" spans="1:4" ht="16">
      <c r="A582" s="206"/>
      <c r="B582" s="206" t="s">
        <v>800</v>
      </c>
      <c r="C582" s="125">
        <v>12814</v>
      </c>
    </row>
    <row r="583" spans="1:4" ht="16">
      <c r="A583" s="206"/>
      <c r="B583" s="206"/>
      <c r="C583" s="125">
        <v>12814</v>
      </c>
    </row>
    <row r="584" spans="1:4" ht="16">
      <c r="A584" s="117"/>
      <c r="B584" s="117" t="s">
        <v>801</v>
      </c>
      <c r="C584" s="125">
        <v>13041.05</v>
      </c>
    </row>
    <row r="585" spans="1:4" ht="16">
      <c r="A585" s="206"/>
      <c r="B585" s="206"/>
      <c r="C585" s="206"/>
      <c r="D585" s="117" t="s">
        <v>802</v>
      </c>
    </row>
    <row r="586" spans="1:4" ht="16">
      <c r="A586" s="206"/>
      <c r="B586" s="206"/>
      <c r="C586" s="206"/>
      <c r="D586" s="117" t="s">
        <v>802</v>
      </c>
    </row>
    <row r="588" spans="1:4">
      <c r="A588" s="124" t="s">
        <v>803</v>
      </c>
    </row>
    <row r="589" spans="1:4">
      <c r="A589" s="114" t="s">
        <v>377</v>
      </c>
    </row>
    <row r="590" spans="1:4">
      <c r="A590" s="114" t="s">
        <v>653</v>
      </c>
    </row>
    <row r="591" spans="1:4">
      <c r="A591" s="129" t="s">
        <v>635</v>
      </c>
    </row>
    <row r="592" spans="1:4">
      <c r="A592" s="129" t="s">
        <v>787</v>
      </c>
    </row>
    <row r="593" spans="1:1">
      <c r="A593" s="129" t="s">
        <v>637</v>
      </c>
    </row>
    <row r="594" spans="1:1">
      <c r="A594" s="120" t="s">
        <v>388</v>
      </c>
    </row>
    <row r="595" spans="1:1">
      <c r="A595" s="121" t="s">
        <v>804</v>
      </c>
    </row>
    <row r="596" spans="1:1">
      <c r="A596" s="121" t="s">
        <v>805</v>
      </c>
    </row>
    <row r="597" spans="1:1">
      <c r="A597" s="121" t="s">
        <v>806</v>
      </c>
    </row>
    <row r="598" spans="1:1">
      <c r="A598" s="123">
        <v>13435.38</v>
      </c>
    </row>
    <row r="599" spans="1:1">
      <c r="A599" s="121" t="s">
        <v>807</v>
      </c>
    </row>
    <row r="600" spans="1:1">
      <c r="A600" s="122" t="s">
        <v>807</v>
      </c>
    </row>
    <row r="601" spans="1:1">
      <c r="A601" s="121" t="s">
        <v>808</v>
      </c>
    </row>
    <row r="602" spans="1:1">
      <c r="A602" s="122" t="s">
        <v>809</v>
      </c>
    </row>
    <row r="603" spans="1:1">
      <c r="A603" s="123">
        <v>9757.7900000000009</v>
      </c>
    </row>
    <row r="604" spans="1:1">
      <c r="A604" s="123">
        <v>8842.6299999999992</v>
      </c>
    </row>
    <row r="605" spans="1:1">
      <c r="A605" s="123">
        <v>5165.04</v>
      </c>
    </row>
    <row r="606" spans="1:1">
      <c r="A606" s="122" t="s">
        <v>810</v>
      </c>
    </row>
    <row r="607" spans="1:1">
      <c r="A607" s="121" t="s">
        <v>810</v>
      </c>
    </row>
    <row r="608" spans="1:1">
      <c r="A608" s="121" t="s">
        <v>811</v>
      </c>
    </row>
    <row r="609" spans="1:1">
      <c r="A609" s="123">
        <v>10931.63</v>
      </c>
    </row>
    <row r="610" spans="1:1">
      <c r="A610" s="121" t="s">
        <v>812</v>
      </c>
    </row>
    <row r="611" spans="1:1">
      <c r="A611" s="109">
        <v>11322.41</v>
      </c>
    </row>
    <row r="612" spans="1:1">
      <c r="A612" s="123">
        <v>11322.41</v>
      </c>
    </row>
    <row r="613" spans="1:1">
      <c r="A613" s="121" t="s">
        <v>813</v>
      </c>
    </row>
    <row r="614" spans="1:1">
      <c r="A614" s="121" t="s">
        <v>814</v>
      </c>
    </row>
    <row r="615" spans="1:1">
      <c r="A615" s="121" t="s">
        <v>815</v>
      </c>
    </row>
    <row r="616" spans="1:1">
      <c r="A616" s="123">
        <v>12807.25</v>
      </c>
    </row>
    <row r="617" spans="1:1">
      <c r="A617" s="122" t="s">
        <v>816</v>
      </c>
    </row>
    <row r="618" spans="1:1">
      <c r="A618" s="121" t="s">
        <v>816</v>
      </c>
    </row>
    <row r="619" spans="1:1">
      <c r="A619" s="121" t="s">
        <v>817</v>
      </c>
    </row>
    <row r="620" spans="1:1">
      <c r="A620" s="121" t="s">
        <v>818</v>
      </c>
    </row>
    <row r="621" spans="1:1">
      <c r="A621" s="121" t="s">
        <v>819</v>
      </c>
    </row>
    <row r="622" spans="1:1">
      <c r="A622" s="121" t="s">
        <v>820</v>
      </c>
    </row>
    <row r="623" spans="1:1">
      <c r="A623" s="121" t="s">
        <v>821</v>
      </c>
    </row>
    <row r="624" spans="1:1">
      <c r="A624" s="121" t="s">
        <v>822</v>
      </c>
    </row>
    <row r="625" spans="1:1">
      <c r="A625" s="121" t="s">
        <v>823</v>
      </c>
    </row>
    <row r="626" spans="1:1">
      <c r="A626" s="121" t="s">
        <v>824</v>
      </c>
    </row>
    <row r="627" spans="1:1">
      <c r="A627" s="121" t="s">
        <v>825</v>
      </c>
    </row>
    <row r="628" spans="1:1">
      <c r="A628" s="121" t="s">
        <v>826</v>
      </c>
    </row>
    <row r="629" spans="1:1">
      <c r="A629" s="121" t="s">
        <v>827</v>
      </c>
    </row>
    <row r="630" spans="1:1">
      <c r="A630" s="121" t="s">
        <v>828</v>
      </c>
    </row>
    <row r="631" spans="1:1">
      <c r="A631" s="121" t="s">
        <v>829</v>
      </c>
    </row>
    <row r="632" spans="1:1">
      <c r="A632" s="121" t="s">
        <v>830</v>
      </c>
    </row>
    <row r="633" spans="1:1">
      <c r="A633" s="121" t="s">
        <v>831</v>
      </c>
    </row>
    <row r="634" spans="1:1">
      <c r="A634" s="121" t="s">
        <v>832</v>
      </c>
    </row>
    <row r="635" spans="1:1">
      <c r="A635" s="121" t="s">
        <v>833</v>
      </c>
    </row>
    <row r="636" spans="1:1">
      <c r="A636" s="121" t="s">
        <v>834</v>
      </c>
    </row>
    <row r="637" spans="1:1">
      <c r="A637" s="122" t="s">
        <v>835</v>
      </c>
    </row>
    <row r="638" spans="1:1">
      <c r="A638" s="121" t="s">
        <v>835</v>
      </c>
    </row>
    <row r="639" spans="1:1">
      <c r="A639" s="121" t="s">
        <v>836</v>
      </c>
    </row>
    <row r="640" spans="1:1">
      <c r="A640" s="122" t="s">
        <v>837</v>
      </c>
    </row>
    <row r="641" spans="1:1">
      <c r="A641" s="121" t="s">
        <v>838</v>
      </c>
    </row>
    <row r="642" spans="1:1">
      <c r="A642" s="121" t="s">
        <v>839</v>
      </c>
    </row>
    <row r="643" spans="1:1">
      <c r="A643" s="122" t="s">
        <v>840</v>
      </c>
    </row>
    <row r="644" spans="1:1">
      <c r="A644" s="122" t="s">
        <v>841</v>
      </c>
    </row>
    <row r="645" spans="1:1">
      <c r="A645" s="121" t="s">
        <v>842</v>
      </c>
    </row>
    <row r="646" spans="1:1">
      <c r="A646" s="122" t="s">
        <v>843</v>
      </c>
    </row>
    <row r="647" spans="1:1">
      <c r="A647" s="122" t="s">
        <v>844</v>
      </c>
    </row>
    <row r="648" spans="1:1">
      <c r="A648" s="121" t="s">
        <v>845</v>
      </c>
    </row>
    <row r="649" spans="1:1">
      <c r="A649" s="122" t="s">
        <v>846</v>
      </c>
    </row>
    <row r="650" spans="1:1">
      <c r="A650" s="109">
        <v>10700.78</v>
      </c>
    </row>
    <row r="651" spans="1:1">
      <c r="A651" s="121" t="s">
        <v>847</v>
      </c>
    </row>
    <row r="652" spans="1:1">
      <c r="A652" s="122" t="s">
        <v>848</v>
      </c>
    </row>
    <row r="653" spans="1:1">
      <c r="A653" s="122" t="s">
        <v>849</v>
      </c>
    </row>
    <row r="654" spans="1:1">
      <c r="A654" s="121" t="s">
        <v>850</v>
      </c>
    </row>
    <row r="655" spans="1:1">
      <c r="A655" s="122" t="s">
        <v>851</v>
      </c>
    </row>
    <row r="656" spans="1:1">
      <c r="A656" s="121" t="s">
        <v>851</v>
      </c>
    </row>
    <row r="657" spans="1:1">
      <c r="A657" s="121" t="s">
        <v>852</v>
      </c>
    </row>
    <row r="658" spans="1:1">
      <c r="A658" s="122" t="s">
        <v>853</v>
      </c>
    </row>
    <row r="659" spans="1:1">
      <c r="A659" s="122" t="s">
        <v>854</v>
      </c>
    </row>
    <row r="660" spans="1:1">
      <c r="A660" s="121" t="s">
        <v>855</v>
      </c>
    </row>
    <row r="661" spans="1:1">
      <c r="A661" s="122" t="s">
        <v>856</v>
      </c>
    </row>
    <row r="662" spans="1:1">
      <c r="A662" s="122" t="s">
        <v>857</v>
      </c>
    </row>
    <row r="663" spans="1:1">
      <c r="A663" s="121" t="s">
        <v>858</v>
      </c>
    </row>
    <row r="664" spans="1:1">
      <c r="A664" s="115" t="s">
        <v>569</v>
      </c>
    </row>
    <row r="665" spans="1:1">
      <c r="A665" s="115" t="s">
        <v>570</v>
      </c>
    </row>
    <row r="666" spans="1:1">
      <c r="A666" s="115" t="s">
        <v>795</v>
      </c>
    </row>
    <row r="667" spans="1:1">
      <c r="A667" s="115" t="s">
        <v>433</v>
      </c>
    </row>
    <row r="668" spans="1:1">
      <c r="A668" s="120" t="s">
        <v>388</v>
      </c>
    </row>
    <row r="669" spans="1:1">
      <c r="A669" s="121" t="s">
        <v>571</v>
      </c>
    </row>
    <row r="670" spans="1:1">
      <c r="A670" s="122" t="s">
        <v>859</v>
      </c>
    </row>
    <row r="671" spans="1:1">
      <c r="A671" s="121" t="s">
        <v>859</v>
      </c>
    </row>
    <row r="672" spans="1:1">
      <c r="A672" s="121" t="s">
        <v>860</v>
      </c>
    </row>
    <row r="673" spans="1:1">
      <c r="A673" s="122" t="s">
        <v>572</v>
      </c>
    </row>
    <row r="674" spans="1:1">
      <c r="A674" s="121" t="s">
        <v>572</v>
      </c>
    </row>
    <row r="675" spans="1:1">
      <c r="A675" s="114" t="s">
        <v>861</v>
      </c>
    </row>
    <row r="676" spans="1:1">
      <c r="A676" s="124" t="s">
        <v>862</v>
      </c>
    </row>
    <row r="677" spans="1:1">
      <c r="A677" s="114" t="s">
        <v>377</v>
      </c>
    </row>
    <row r="678" spans="1:1">
      <c r="A678" s="114" t="s">
        <v>653</v>
      </c>
    </row>
    <row r="679" spans="1:1">
      <c r="A679" s="129" t="s">
        <v>635</v>
      </c>
    </row>
    <row r="680" spans="1:1">
      <c r="A680" s="129" t="s">
        <v>787</v>
      </c>
    </row>
    <row r="681" spans="1:1">
      <c r="A681" s="129" t="s">
        <v>637</v>
      </c>
    </row>
    <row r="682" spans="1:1">
      <c r="A682" s="115" t="s">
        <v>436</v>
      </c>
    </row>
    <row r="683" spans="1:1">
      <c r="A683" s="115" t="s">
        <v>863</v>
      </c>
    </row>
    <row r="684" spans="1:1">
      <c r="A684" s="115" t="s">
        <v>864</v>
      </c>
    </row>
    <row r="685" spans="1:1">
      <c r="A685" s="115" t="s">
        <v>795</v>
      </c>
    </row>
    <row r="686" spans="1:1">
      <c r="A686" s="115" t="s">
        <v>865</v>
      </c>
    </row>
    <row r="687" spans="1:1">
      <c r="A687" s="120" t="s">
        <v>388</v>
      </c>
    </row>
    <row r="688" spans="1:1">
      <c r="A688" s="121" t="s">
        <v>866</v>
      </c>
    </row>
    <row r="689" spans="1:1">
      <c r="A689" s="122" t="s">
        <v>867</v>
      </c>
    </row>
    <row r="690" spans="1:1">
      <c r="A690" s="121" t="s">
        <v>867</v>
      </c>
    </row>
    <row r="691" spans="1:1">
      <c r="A691" s="121" t="s">
        <v>868</v>
      </c>
    </row>
    <row r="692" spans="1:1">
      <c r="A692" s="122" t="s">
        <v>869</v>
      </c>
    </row>
    <row r="693" spans="1:1">
      <c r="A693" s="121" t="s">
        <v>869</v>
      </c>
    </row>
    <row r="694" spans="1:1">
      <c r="A694" s="121" t="s">
        <v>870</v>
      </c>
    </row>
    <row r="695" spans="1:1">
      <c r="A695" s="122" t="s">
        <v>871</v>
      </c>
    </row>
    <row r="696" spans="1:1">
      <c r="A696" s="121" t="s">
        <v>871</v>
      </c>
    </row>
    <row r="697" spans="1:1">
      <c r="A697" s="121" t="s">
        <v>872</v>
      </c>
    </row>
    <row r="698" spans="1:1">
      <c r="A698" s="122" t="s">
        <v>873</v>
      </c>
    </row>
    <row r="699" spans="1:1">
      <c r="A699" s="121" t="s">
        <v>873</v>
      </c>
    </row>
    <row r="700" spans="1:1">
      <c r="A700" s="121" t="s">
        <v>874</v>
      </c>
    </row>
    <row r="701" spans="1:1">
      <c r="A701" s="122" t="s">
        <v>875</v>
      </c>
    </row>
    <row r="702" spans="1:1">
      <c r="A702" s="121" t="s">
        <v>875</v>
      </c>
    </row>
    <row r="703" spans="1:1">
      <c r="A703" s="121" t="s">
        <v>876</v>
      </c>
    </row>
    <row r="704" spans="1:1">
      <c r="A704" s="122" t="s">
        <v>877</v>
      </c>
    </row>
    <row r="705" spans="1:1">
      <c r="A705" s="121" t="s">
        <v>878</v>
      </c>
    </row>
    <row r="706" spans="1:1">
      <c r="A706" s="121" t="s">
        <v>879</v>
      </c>
    </row>
    <row r="707" spans="1:1">
      <c r="A707" s="122" t="s">
        <v>880</v>
      </c>
    </row>
    <row r="708" spans="1:1">
      <c r="A708" s="121" t="s">
        <v>881</v>
      </c>
    </row>
    <row r="709" spans="1:1">
      <c r="A709" s="121" t="s">
        <v>882</v>
      </c>
    </row>
    <row r="710" spans="1:1">
      <c r="A710" s="122" t="s">
        <v>883</v>
      </c>
    </row>
    <row r="711" spans="1:1">
      <c r="A711" s="121" t="s">
        <v>883</v>
      </c>
    </row>
    <row r="712" spans="1:1">
      <c r="A712" s="121" t="s">
        <v>884</v>
      </c>
    </row>
    <row r="713" spans="1:1">
      <c r="A713" s="122" t="s">
        <v>885</v>
      </c>
    </row>
    <row r="714" spans="1:1">
      <c r="A714" s="121" t="s">
        <v>885</v>
      </c>
    </row>
    <row r="715" spans="1:1">
      <c r="A715" s="126" t="s">
        <v>465</v>
      </c>
    </row>
    <row r="716" spans="1:1">
      <c r="A716" s="115" t="s">
        <v>886</v>
      </c>
    </row>
    <row r="717" spans="1:1">
      <c r="A717" s="115" t="s">
        <v>436</v>
      </c>
    </row>
    <row r="718" spans="1:1">
      <c r="A718" s="114" t="s">
        <v>887</v>
      </c>
    </row>
    <row r="719" spans="1:1">
      <c r="A719" s="115" t="s">
        <v>755</v>
      </c>
    </row>
    <row r="720" spans="1:1">
      <c r="A720" s="115" t="s">
        <v>756</v>
      </c>
    </row>
    <row r="721" spans="1:1">
      <c r="A721" s="115" t="s">
        <v>795</v>
      </c>
    </row>
    <row r="722" spans="1:1">
      <c r="A722" s="115" t="s">
        <v>888</v>
      </c>
    </row>
    <row r="723" spans="1:1">
      <c r="A723" s="120" t="s">
        <v>388</v>
      </c>
    </row>
    <row r="724" spans="1:1">
      <c r="A724" s="121" t="s">
        <v>889</v>
      </c>
    </row>
    <row r="725" spans="1:1">
      <c r="A725" s="122" t="s">
        <v>890</v>
      </c>
    </row>
    <row r="726" spans="1:1">
      <c r="A726" s="121" t="s">
        <v>890</v>
      </c>
    </row>
    <row r="727" spans="1:1">
      <c r="A727" s="121" t="s">
        <v>891</v>
      </c>
    </row>
    <row r="728" spans="1:1">
      <c r="A728" s="122" t="s">
        <v>892</v>
      </c>
    </row>
    <row r="729" spans="1:1">
      <c r="A729" s="121" t="s">
        <v>893</v>
      </c>
    </row>
    <row r="730" spans="1:1">
      <c r="A730" s="121" t="s">
        <v>894</v>
      </c>
    </row>
    <row r="731" spans="1:1">
      <c r="A731" s="122" t="s">
        <v>895</v>
      </c>
    </row>
    <row r="732" spans="1:1">
      <c r="A732" s="121" t="s">
        <v>895</v>
      </c>
    </row>
    <row r="733" spans="1:1">
      <c r="A733" s="121" t="s">
        <v>896</v>
      </c>
    </row>
    <row r="734" spans="1:1">
      <c r="A734" s="122" t="s">
        <v>897</v>
      </c>
    </row>
    <row r="735" spans="1:1">
      <c r="A735" s="121" t="s">
        <v>898</v>
      </c>
    </row>
    <row r="736" spans="1:1">
      <c r="A736" s="121" t="s">
        <v>899</v>
      </c>
    </row>
    <row r="737" spans="1:1">
      <c r="A737" s="122" t="s">
        <v>900</v>
      </c>
    </row>
    <row r="738" spans="1:1">
      <c r="A738" s="121" t="s">
        <v>900</v>
      </c>
    </row>
    <row r="739" spans="1:1">
      <c r="A739" s="121" t="s">
        <v>901</v>
      </c>
    </row>
    <row r="740" spans="1:1">
      <c r="A740" s="122" t="s">
        <v>902</v>
      </c>
    </row>
    <row r="741" spans="1:1">
      <c r="A741" s="121" t="s">
        <v>902</v>
      </c>
    </row>
    <row r="742" spans="1:1">
      <c r="A742" s="121" t="s">
        <v>903</v>
      </c>
    </row>
    <row r="743" spans="1:1">
      <c r="A743" s="122" t="s">
        <v>904</v>
      </c>
    </row>
    <row r="744" spans="1:1">
      <c r="A744" s="121" t="s">
        <v>905</v>
      </c>
    </row>
    <row r="745" spans="1:1">
      <c r="A745" s="121" t="s">
        <v>906</v>
      </c>
    </row>
    <row r="746" spans="1:1">
      <c r="A746" s="122" t="s">
        <v>907</v>
      </c>
    </row>
    <row r="747" spans="1:1">
      <c r="A747" s="121" t="s">
        <v>907</v>
      </c>
    </row>
    <row r="748" spans="1:1">
      <c r="A748" s="121" t="s">
        <v>908</v>
      </c>
    </row>
    <row r="749" spans="1:1">
      <c r="A749" s="122" t="s">
        <v>909</v>
      </c>
    </row>
    <row r="750" spans="1:1">
      <c r="A750" s="121" t="s">
        <v>909</v>
      </c>
    </row>
    <row r="751" spans="1:1">
      <c r="A751" s="121" t="s">
        <v>910</v>
      </c>
    </row>
    <row r="752" spans="1:1">
      <c r="A752" s="114" t="s">
        <v>377</v>
      </c>
    </row>
    <row r="753" spans="1:1">
      <c r="A753" s="114" t="s">
        <v>653</v>
      </c>
    </row>
    <row r="754" spans="1:1">
      <c r="A754" s="129" t="s">
        <v>635</v>
      </c>
    </row>
    <row r="755" spans="1:1">
      <c r="A755" s="129" t="s">
        <v>787</v>
      </c>
    </row>
    <row r="756" spans="1:1">
      <c r="A756" s="129" t="s">
        <v>637</v>
      </c>
    </row>
    <row r="757" spans="1:1">
      <c r="A757" s="120" t="s">
        <v>388</v>
      </c>
    </row>
    <row r="758" spans="1:1">
      <c r="A758" s="121" t="s">
        <v>911</v>
      </c>
    </row>
    <row r="759" spans="1:1">
      <c r="A759" s="121" t="s">
        <v>912</v>
      </c>
    </row>
    <row r="760" spans="1:1">
      <c r="A760" s="121" t="s">
        <v>913</v>
      </c>
    </row>
    <row r="761" spans="1:1">
      <c r="A761" s="121" t="s">
        <v>914</v>
      </c>
    </row>
    <row r="762" spans="1:1">
      <c r="A762" s="122" t="s">
        <v>915</v>
      </c>
    </row>
    <row r="763" spans="1:1">
      <c r="A763" s="121" t="s">
        <v>916</v>
      </c>
    </row>
    <row r="764" spans="1:1">
      <c r="A764" s="121" t="s">
        <v>917</v>
      </c>
    </row>
    <row r="765" spans="1:1">
      <c r="A765" s="126" t="s">
        <v>465</v>
      </c>
    </row>
    <row r="766" spans="1:1">
      <c r="A766" s="115" t="s">
        <v>918</v>
      </c>
    </row>
    <row r="767" spans="1:1">
      <c r="A767" s="114" t="s">
        <v>919</v>
      </c>
    </row>
    <row r="768" spans="1:1">
      <c r="A768" s="124" t="s">
        <v>920</v>
      </c>
    </row>
    <row r="769" spans="1:1">
      <c r="A769" s="114" t="s">
        <v>377</v>
      </c>
    </row>
    <row r="770" spans="1:1">
      <c r="A770" s="114" t="s">
        <v>468</v>
      </c>
    </row>
    <row r="773" spans="1:1">
      <c r="A773" s="132" t="s">
        <v>402</v>
      </c>
    </row>
    <row r="774" spans="1:1">
      <c r="A774" s="133" t="s">
        <v>921</v>
      </c>
    </row>
    <row r="775" spans="1:1">
      <c r="A775" s="133" t="s">
        <v>922</v>
      </c>
    </row>
    <row r="776" spans="1:1">
      <c r="A776" s="133" t="s">
        <v>379</v>
      </c>
    </row>
    <row r="777" spans="1:1">
      <c r="A777" s="133" t="s">
        <v>380</v>
      </c>
    </row>
    <row r="778" spans="1:1">
      <c r="A778" s="133" t="s">
        <v>381</v>
      </c>
    </row>
    <row r="779" spans="1:1">
      <c r="A779" s="134" t="s">
        <v>403</v>
      </c>
    </row>
    <row r="780" spans="1:1">
      <c r="A780" s="114">
        <v>47</v>
      </c>
    </row>
    <row r="781" spans="1:1">
      <c r="A781" s="134" t="s">
        <v>923</v>
      </c>
    </row>
    <row r="782" spans="1:1">
      <c r="A782" s="132" t="s">
        <v>382</v>
      </c>
    </row>
    <row r="783" spans="1:1">
      <c r="A783" s="129" t="s">
        <v>634</v>
      </c>
    </row>
    <row r="784" spans="1:1">
      <c r="A784" s="129" t="s">
        <v>635</v>
      </c>
    </row>
    <row r="785" spans="1:1">
      <c r="A785" s="129" t="s">
        <v>924</v>
      </c>
    </row>
    <row r="786" spans="1:1">
      <c r="A786" s="129" t="s">
        <v>637</v>
      </c>
    </row>
    <row r="787" spans="1:1">
      <c r="A787" s="114">
        <v>3074</v>
      </c>
    </row>
    <row r="788" spans="1:1">
      <c r="A788" s="116" t="s">
        <v>409</v>
      </c>
    </row>
    <row r="789" spans="1:1">
      <c r="A789" s="116" t="s">
        <v>638</v>
      </c>
    </row>
    <row r="790" spans="1:1">
      <c r="A790" s="116" t="s">
        <v>639</v>
      </c>
    </row>
    <row r="791" spans="1:1" ht="37">
      <c r="A791" s="135" t="s">
        <v>640</v>
      </c>
    </row>
    <row r="792" spans="1:1">
      <c r="A792" s="136" t="s">
        <v>925</v>
      </c>
    </row>
    <row r="793" spans="1:1">
      <c r="A793" s="136" t="s">
        <v>926</v>
      </c>
    </row>
    <row r="794" spans="1:1">
      <c r="A794" s="136" t="s">
        <v>927</v>
      </c>
    </row>
    <row r="795" spans="1:1">
      <c r="A795" s="136" t="s">
        <v>928</v>
      </c>
    </row>
    <row r="796" spans="1:1" ht="16">
      <c r="A796" s="137" t="s">
        <v>352</v>
      </c>
    </row>
    <row r="797" spans="1:1">
      <c r="A797" s="115" t="s">
        <v>482</v>
      </c>
    </row>
    <row r="798" spans="1:1">
      <c r="A798" s="115" t="s">
        <v>483</v>
      </c>
    </row>
    <row r="799" spans="1:1">
      <c r="A799" s="115" t="s">
        <v>929</v>
      </c>
    </row>
    <row r="800" spans="1:1">
      <c r="A800" s="115" t="s">
        <v>421</v>
      </c>
    </row>
    <row r="801" spans="1:1">
      <c r="A801" s="114" t="s">
        <v>930</v>
      </c>
    </row>
    <row r="802" spans="1:1">
      <c r="A802" s="120" t="s">
        <v>388</v>
      </c>
    </row>
    <row r="803" spans="1:1">
      <c r="A803" s="121" t="s">
        <v>931</v>
      </c>
    </row>
    <row r="804" spans="1:1">
      <c r="A804" s="121" t="s">
        <v>932</v>
      </c>
    </row>
    <row r="805" spans="1:1">
      <c r="A805" s="109">
        <v>10818.24</v>
      </c>
    </row>
    <row r="806" spans="1:1">
      <c r="A806" s="121" t="s">
        <v>367</v>
      </c>
    </row>
    <row r="807" spans="1:1">
      <c r="A807" s="121" t="s">
        <v>933</v>
      </c>
    </row>
    <row r="808" spans="1:1">
      <c r="A808" s="123">
        <v>7221.3</v>
      </c>
    </row>
    <row r="809" spans="1:1">
      <c r="A809" s="121" t="s">
        <v>934</v>
      </c>
    </row>
    <row r="810" spans="1:1">
      <c r="A810" s="121" t="s">
        <v>935</v>
      </c>
    </row>
    <row r="811" spans="1:1">
      <c r="A811" s="122" t="s">
        <v>935</v>
      </c>
    </row>
    <row r="812" spans="1:1">
      <c r="A812" s="121" t="s">
        <v>936</v>
      </c>
    </row>
    <row r="813" spans="1:1">
      <c r="A813" s="121" t="s">
        <v>937</v>
      </c>
    </row>
    <row r="814" spans="1:1">
      <c r="A814" s="122" t="s">
        <v>938</v>
      </c>
    </row>
    <row r="815" spans="1:1">
      <c r="A815" s="121" t="s">
        <v>938</v>
      </c>
    </row>
    <row r="816" spans="1:1">
      <c r="A816" s="121" t="s">
        <v>939</v>
      </c>
    </row>
    <row r="817" spans="1:1">
      <c r="A817" s="122" t="s">
        <v>940</v>
      </c>
    </row>
    <row r="818" spans="1:1">
      <c r="A818" s="121" t="s">
        <v>940</v>
      </c>
    </row>
    <row r="819" spans="1:1">
      <c r="A819" s="122" t="s">
        <v>941</v>
      </c>
    </row>
    <row r="820" spans="1:1">
      <c r="A820" s="121" t="s">
        <v>941</v>
      </c>
    </row>
    <row r="821" spans="1:1">
      <c r="A821" s="121" t="s">
        <v>942</v>
      </c>
    </row>
    <row r="822" spans="1:1">
      <c r="A822" s="124" t="s">
        <v>803</v>
      </c>
    </row>
    <row r="823" spans="1:1">
      <c r="A823" s="114" t="s">
        <v>943</v>
      </c>
    </row>
    <row r="824" spans="1:1">
      <c r="A824" s="114" t="s">
        <v>944</v>
      </c>
    </row>
    <row r="825" spans="1:1">
      <c r="A825" s="133" t="s">
        <v>922</v>
      </c>
    </row>
    <row r="826" spans="1:1">
      <c r="A826" s="133" t="s">
        <v>379</v>
      </c>
    </row>
    <row r="827" spans="1:1">
      <c r="A827" s="133" t="s">
        <v>380</v>
      </c>
    </row>
    <row r="828" spans="1:1">
      <c r="A828" s="133" t="s">
        <v>381</v>
      </c>
    </row>
    <row r="829" spans="1:1">
      <c r="A829" s="129" t="s">
        <v>634</v>
      </c>
    </row>
    <row r="830" spans="1:1">
      <c r="A830" s="129" t="s">
        <v>635</v>
      </c>
    </row>
    <row r="831" spans="1:1">
      <c r="A831" s="129" t="s">
        <v>924</v>
      </c>
    </row>
    <row r="832" spans="1:1">
      <c r="A832" s="129" t="s">
        <v>637</v>
      </c>
    </row>
    <row r="833" spans="1:1">
      <c r="A833" s="121" t="s">
        <v>945</v>
      </c>
    </row>
    <row r="834" spans="1:1">
      <c r="A834" s="120" t="s">
        <v>388</v>
      </c>
    </row>
    <row r="835" spans="1:1">
      <c r="A835" s="121" t="s">
        <v>946</v>
      </c>
    </row>
    <row r="836" spans="1:1">
      <c r="A836" s="123">
        <v>13060.11</v>
      </c>
    </row>
    <row r="837" spans="1:1">
      <c r="A837" s="121" t="s">
        <v>369</v>
      </c>
    </row>
    <row r="838" spans="1:1">
      <c r="A838" s="121" t="s">
        <v>947</v>
      </c>
    </row>
    <row r="839" spans="1:1">
      <c r="A839" s="123">
        <v>9463.17</v>
      </c>
    </row>
    <row r="840" spans="1:1">
      <c r="A840" s="121" t="s">
        <v>948</v>
      </c>
    </row>
    <row r="841" spans="1:1">
      <c r="A841" s="121" t="s">
        <v>949</v>
      </c>
    </row>
    <row r="842" spans="1:1">
      <c r="A842" s="121" t="s">
        <v>950</v>
      </c>
    </row>
    <row r="843" spans="1:1">
      <c r="A843" s="122" t="s">
        <v>951</v>
      </c>
    </row>
    <row r="844" spans="1:1">
      <c r="A844" s="121" t="s">
        <v>952</v>
      </c>
    </row>
    <row r="845" spans="1:1">
      <c r="A845" s="121" t="s">
        <v>953</v>
      </c>
    </row>
    <row r="846" spans="1:1">
      <c r="A846" s="121" t="s">
        <v>954</v>
      </c>
    </row>
    <row r="847" spans="1:1">
      <c r="A847" s="121" t="s">
        <v>955</v>
      </c>
    </row>
    <row r="848" spans="1:1">
      <c r="A848" s="121" t="s">
        <v>956</v>
      </c>
    </row>
    <row r="849" spans="1:1">
      <c r="A849" s="122" t="s">
        <v>956</v>
      </c>
    </row>
    <row r="850" spans="1:1">
      <c r="A850" s="121" t="s">
        <v>957</v>
      </c>
    </row>
    <row r="851" spans="1:1">
      <c r="A851" s="122" t="s">
        <v>958</v>
      </c>
    </row>
    <row r="852" spans="1:1">
      <c r="A852" s="121" t="s">
        <v>959</v>
      </c>
    </row>
    <row r="853" spans="1:1">
      <c r="A853" s="121" t="s">
        <v>960</v>
      </c>
    </row>
    <row r="854" spans="1:1">
      <c r="A854" s="121" t="s">
        <v>961</v>
      </c>
    </row>
    <row r="855" spans="1:1">
      <c r="A855" s="122" t="s">
        <v>962</v>
      </c>
    </row>
    <row r="856" spans="1:1">
      <c r="A856" s="121" t="s">
        <v>963</v>
      </c>
    </row>
    <row r="857" spans="1:1">
      <c r="A857" s="121" t="s">
        <v>964</v>
      </c>
    </row>
    <row r="858" spans="1:1">
      <c r="A858" s="121" t="s">
        <v>965</v>
      </c>
    </row>
    <row r="859" spans="1:1">
      <c r="A859" s="121" t="s">
        <v>966</v>
      </c>
    </row>
    <row r="860" spans="1:1">
      <c r="A860" s="121" t="s">
        <v>967</v>
      </c>
    </row>
    <row r="861" spans="1:1">
      <c r="A861" s="122" t="s">
        <v>967</v>
      </c>
    </row>
    <row r="862" spans="1:1">
      <c r="A862" s="121" t="s">
        <v>968</v>
      </c>
    </row>
    <row r="863" spans="1:1">
      <c r="A863" s="122" t="s">
        <v>969</v>
      </c>
    </row>
    <row r="864" spans="1:1">
      <c r="A864" s="121" t="s">
        <v>970</v>
      </c>
    </row>
    <row r="865" spans="1:1">
      <c r="A865" s="121" t="s">
        <v>971</v>
      </c>
    </row>
    <row r="866" spans="1:1">
      <c r="A866" s="122" t="s">
        <v>972</v>
      </c>
    </row>
    <row r="867" spans="1:1">
      <c r="A867" s="122" t="s">
        <v>973</v>
      </c>
    </row>
    <row r="868" spans="1:1">
      <c r="A868" s="121" t="s">
        <v>974</v>
      </c>
    </row>
    <row r="869" spans="1:1">
      <c r="A869" s="121" t="s">
        <v>975</v>
      </c>
    </row>
    <row r="870" spans="1:1">
      <c r="A870" s="122" t="s">
        <v>975</v>
      </c>
    </row>
    <row r="871" spans="1:1">
      <c r="A871" s="121" t="s">
        <v>976</v>
      </c>
    </row>
    <row r="872" spans="1:1">
      <c r="A872" s="121" t="s">
        <v>977</v>
      </c>
    </row>
    <row r="873" spans="1:1">
      <c r="A873" s="121" t="s">
        <v>389</v>
      </c>
    </row>
    <row r="874" spans="1:1">
      <c r="A874" s="122" t="s">
        <v>389</v>
      </c>
    </row>
    <row r="875" spans="1:1">
      <c r="A875" s="121" t="s">
        <v>978</v>
      </c>
    </row>
    <row r="876" spans="1:1">
      <c r="A876" s="122" t="s">
        <v>973</v>
      </c>
    </row>
    <row r="877" spans="1:1">
      <c r="A877" s="123">
        <v>17011.82</v>
      </c>
    </row>
    <row r="878" spans="1:1">
      <c r="A878" s="121" t="s">
        <v>979</v>
      </c>
    </row>
    <row r="879" spans="1:1">
      <c r="A879" s="122" t="s">
        <v>979</v>
      </c>
    </row>
    <row r="880" spans="1:1">
      <c r="A880" s="121" t="s">
        <v>980</v>
      </c>
    </row>
    <row r="881" spans="1:1">
      <c r="A881" s="121" t="s">
        <v>981</v>
      </c>
    </row>
    <row r="882" spans="1:1">
      <c r="A882" s="121" t="s">
        <v>982</v>
      </c>
    </row>
    <row r="883" spans="1:1">
      <c r="A883" s="122" t="s">
        <v>983</v>
      </c>
    </row>
    <row r="884" spans="1:1">
      <c r="A884" s="121" t="s">
        <v>984</v>
      </c>
    </row>
    <row r="885" spans="1:1">
      <c r="A885" s="121" t="s">
        <v>985</v>
      </c>
    </row>
    <row r="886" spans="1:1">
      <c r="A886" s="122" t="s">
        <v>985</v>
      </c>
    </row>
    <row r="887" spans="1:1">
      <c r="A887" s="121" t="s">
        <v>986</v>
      </c>
    </row>
    <row r="888" spans="1:1">
      <c r="A888" s="122" t="s">
        <v>987</v>
      </c>
    </row>
    <row r="889" spans="1:1">
      <c r="A889" s="121" t="s">
        <v>988</v>
      </c>
    </row>
    <row r="890" spans="1:1">
      <c r="A890" s="121" t="s">
        <v>989</v>
      </c>
    </row>
    <row r="891" spans="1:1">
      <c r="A891" s="122" t="s">
        <v>990</v>
      </c>
    </row>
    <row r="892" spans="1:1">
      <c r="A892" s="122" t="s">
        <v>991</v>
      </c>
    </row>
    <row r="893" spans="1:1">
      <c r="A893" s="121" t="s">
        <v>992</v>
      </c>
    </row>
    <row r="894" spans="1:1">
      <c r="A894" s="121" t="s">
        <v>993</v>
      </c>
    </row>
    <row r="895" spans="1:1">
      <c r="A895" s="122" t="s">
        <v>993</v>
      </c>
    </row>
    <row r="896" spans="1:1">
      <c r="A896" s="121" t="s">
        <v>994</v>
      </c>
    </row>
    <row r="897" spans="1:1">
      <c r="A897" s="121" t="s">
        <v>995</v>
      </c>
    </row>
    <row r="898" spans="1:1">
      <c r="A898" s="121" t="s">
        <v>996</v>
      </c>
    </row>
    <row r="899" spans="1:1">
      <c r="A899" s="122" t="s">
        <v>997</v>
      </c>
    </row>
    <row r="900" spans="1:1">
      <c r="A900" s="121" t="s">
        <v>998</v>
      </c>
    </row>
    <row r="901" spans="1:1">
      <c r="A901" s="121" t="s">
        <v>999</v>
      </c>
    </row>
    <row r="902" spans="1:1">
      <c r="A902" s="121" t="s">
        <v>1000</v>
      </c>
    </row>
    <row r="903" spans="1:1">
      <c r="A903" s="121" t="s">
        <v>1001</v>
      </c>
    </row>
    <row r="904" spans="1:1">
      <c r="A904" s="121" t="s">
        <v>1002</v>
      </c>
    </row>
    <row r="905" spans="1:1">
      <c r="A905" s="121" t="s">
        <v>973</v>
      </c>
    </row>
    <row r="906" spans="1:1">
      <c r="A906" s="122" t="s">
        <v>1003</v>
      </c>
    </row>
    <row r="907" spans="1:1">
      <c r="A907" s="121" t="s">
        <v>1003</v>
      </c>
    </row>
    <row r="908" spans="1:1">
      <c r="A908" s="121" t="s">
        <v>955</v>
      </c>
    </row>
    <row r="909" spans="1:1">
      <c r="A909" s="121" t="s">
        <v>1004</v>
      </c>
    </row>
    <row r="910" spans="1:1">
      <c r="A910" s="122" t="s">
        <v>1005</v>
      </c>
    </row>
    <row r="911" spans="1:1">
      <c r="A911" s="121" t="s">
        <v>391</v>
      </c>
    </row>
    <row r="912" spans="1:1">
      <c r="A912" s="121" t="s">
        <v>1006</v>
      </c>
    </row>
    <row r="913" spans="1:1">
      <c r="A913" s="121" t="s">
        <v>1007</v>
      </c>
    </row>
    <row r="914" spans="1:1">
      <c r="A914" s="122" t="s">
        <v>1008</v>
      </c>
    </row>
    <row r="915" spans="1:1">
      <c r="A915" s="121" t="s">
        <v>1009</v>
      </c>
    </row>
    <row r="916" spans="1:1">
      <c r="A916" s="121" t="s">
        <v>1010</v>
      </c>
    </row>
    <row r="917" spans="1:1">
      <c r="A917" s="122" t="s">
        <v>1011</v>
      </c>
    </row>
    <row r="918" spans="1:1">
      <c r="A918" s="122" t="s">
        <v>991</v>
      </c>
    </row>
    <row r="919" spans="1:1">
      <c r="A919" s="122" t="s">
        <v>1012</v>
      </c>
    </row>
    <row r="920" spans="1:1">
      <c r="A920" s="121" t="s">
        <v>945</v>
      </c>
    </row>
    <row r="921" spans="1:1">
      <c r="A921" s="109">
        <v>16957.47</v>
      </c>
    </row>
    <row r="922" spans="1:1">
      <c r="A922" s="123">
        <v>16957.47</v>
      </c>
    </row>
    <row r="923" spans="1:1">
      <c r="A923" s="121" t="s">
        <v>1013</v>
      </c>
    </row>
    <row r="924" spans="1:1">
      <c r="A924" s="114" t="s">
        <v>1014</v>
      </c>
    </row>
    <row r="925" spans="1:1">
      <c r="A925" s="122" t="s">
        <v>1015</v>
      </c>
    </row>
    <row r="926" spans="1:1">
      <c r="A926" s="121" t="s">
        <v>1015</v>
      </c>
    </row>
    <row r="927" spans="1:1">
      <c r="A927" s="121" t="s">
        <v>1016</v>
      </c>
    </row>
    <row r="928" spans="1:1">
      <c r="A928" s="121" t="s">
        <v>1017</v>
      </c>
    </row>
    <row r="929" spans="1:1">
      <c r="A929" s="121" t="s">
        <v>1018</v>
      </c>
    </row>
    <row r="930" spans="1:1">
      <c r="A930" s="124" t="s">
        <v>862</v>
      </c>
    </row>
    <row r="931" spans="1:1">
      <c r="A931" s="114" t="s">
        <v>943</v>
      </c>
    </row>
    <row r="932" spans="1:1">
      <c r="A932" s="114" t="s">
        <v>944</v>
      </c>
    </row>
    <row r="933" spans="1:1">
      <c r="A933" s="133" t="s">
        <v>922</v>
      </c>
    </row>
    <row r="934" spans="1:1">
      <c r="A934" s="133" t="s">
        <v>379</v>
      </c>
    </row>
    <row r="935" spans="1:1">
      <c r="A935" s="133" t="s">
        <v>380</v>
      </c>
    </row>
    <row r="936" spans="1:1">
      <c r="A936" s="133" t="s">
        <v>381</v>
      </c>
    </row>
    <row r="937" spans="1:1">
      <c r="A937" s="129" t="s">
        <v>634</v>
      </c>
    </row>
    <row r="938" spans="1:1">
      <c r="A938" s="129" t="s">
        <v>635</v>
      </c>
    </row>
    <row r="939" spans="1:1">
      <c r="A939" s="129" t="s">
        <v>924</v>
      </c>
    </row>
    <row r="940" spans="1:1">
      <c r="A940" s="129" t="s">
        <v>637</v>
      </c>
    </row>
    <row r="941" spans="1:1">
      <c r="A941" s="120" t="s">
        <v>388</v>
      </c>
    </row>
    <row r="942" spans="1:1">
      <c r="A942" s="121" t="s">
        <v>1019</v>
      </c>
    </row>
    <row r="943" spans="1:1">
      <c r="A943" s="121" t="s">
        <v>1003</v>
      </c>
    </row>
    <row r="944" spans="1:1">
      <c r="A944" s="121" t="s">
        <v>1020</v>
      </c>
    </row>
    <row r="945" spans="1:1">
      <c r="A945" s="122" t="s">
        <v>955</v>
      </c>
    </row>
    <row r="946" spans="1:1">
      <c r="A946" s="121" t="s">
        <v>1021</v>
      </c>
    </row>
    <row r="947" spans="1:1">
      <c r="A947" s="121" t="s">
        <v>1022</v>
      </c>
    </row>
    <row r="948" spans="1:1">
      <c r="A948" s="121" t="s">
        <v>945</v>
      </c>
    </row>
    <row r="949" spans="1:1">
      <c r="A949" s="121" t="s">
        <v>1023</v>
      </c>
    </row>
    <row r="950" spans="1:1">
      <c r="A950" s="121" t="s">
        <v>1024</v>
      </c>
    </row>
    <row r="951" spans="1:1">
      <c r="A951" s="121" t="s">
        <v>973</v>
      </c>
    </row>
    <row r="952" spans="1:1">
      <c r="A952" s="121" t="s">
        <v>1025</v>
      </c>
    </row>
    <row r="953" spans="1:1">
      <c r="A953" s="122" t="s">
        <v>1025</v>
      </c>
    </row>
    <row r="954" spans="1:1">
      <c r="A954" s="121" t="s">
        <v>1026</v>
      </c>
    </row>
    <row r="955" spans="1:1">
      <c r="A955" s="121" t="s">
        <v>1027</v>
      </c>
    </row>
    <row r="956" spans="1:1">
      <c r="A956" s="121" t="s">
        <v>1028</v>
      </c>
    </row>
    <row r="957" spans="1:1">
      <c r="A957" s="122" t="s">
        <v>1029</v>
      </c>
    </row>
    <row r="958" spans="1:1">
      <c r="A958" s="121" t="s">
        <v>1030</v>
      </c>
    </row>
    <row r="959" spans="1:1">
      <c r="A959" s="121" t="s">
        <v>1031</v>
      </c>
    </row>
    <row r="960" spans="1:1">
      <c r="A960" s="122" t="s">
        <v>1031</v>
      </c>
    </row>
    <row r="961" spans="1:1">
      <c r="A961" s="121" t="s">
        <v>1032</v>
      </c>
    </row>
    <row r="962" spans="1:1">
      <c r="A962" s="121" t="s">
        <v>1003</v>
      </c>
    </row>
    <row r="963" spans="1:1">
      <c r="A963" s="121" t="s">
        <v>1033</v>
      </c>
    </row>
    <row r="964" spans="1:1">
      <c r="A964" s="122" t="s">
        <v>955</v>
      </c>
    </row>
    <row r="965" spans="1:1">
      <c r="A965" s="121" t="s">
        <v>1034</v>
      </c>
    </row>
    <row r="966" spans="1:1">
      <c r="A966" s="121" t="s">
        <v>1035</v>
      </c>
    </row>
    <row r="967" spans="1:1">
      <c r="A967" s="121" t="s">
        <v>945</v>
      </c>
    </row>
    <row r="968" spans="1:1">
      <c r="A968" s="121" t="s">
        <v>1036</v>
      </c>
    </row>
    <row r="969" spans="1:1">
      <c r="A969" s="121" t="s">
        <v>1037</v>
      </c>
    </row>
    <row r="970" spans="1:1">
      <c r="A970" s="122" t="s">
        <v>991</v>
      </c>
    </row>
    <row r="971" spans="1:1">
      <c r="A971" s="121" t="s">
        <v>1000</v>
      </c>
    </row>
    <row r="972" spans="1:1">
      <c r="A972" s="121" t="s">
        <v>1038</v>
      </c>
    </row>
    <row r="973" spans="1:1">
      <c r="A973" s="122" t="s">
        <v>1038</v>
      </c>
    </row>
    <row r="974" spans="1:1">
      <c r="A974" s="121" t="s">
        <v>1039</v>
      </c>
    </row>
    <row r="975" spans="1:1">
      <c r="A975" s="121" t="s">
        <v>1040</v>
      </c>
    </row>
    <row r="976" spans="1:1">
      <c r="A976" s="121" t="s">
        <v>1041</v>
      </c>
    </row>
    <row r="977" spans="1:1">
      <c r="A977" s="122" t="s">
        <v>1042</v>
      </c>
    </row>
    <row r="978" spans="1:1">
      <c r="A978" s="121" t="s">
        <v>1043</v>
      </c>
    </row>
    <row r="979" spans="1:1">
      <c r="A979" s="121" t="s">
        <v>393</v>
      </c>
    </row>
    <row r="980" spans="1:1">
      <c r="A980" s="122" t="s">
        <v>393</v>
      </c>
    </row>
    <row r="981" spans="1:1">
      <c r="A981" s="121" t="s">
        <v>1044</v>
      </c>
    </row>
    <row r="982" spans="1:1">
      <c r="A982" s="122" t="s">
        <v>1045</v>
      </c>
    </row>
    <row r="983" spans="1:1">
      <c r="A983" s="121" t="s">
        <v>1046</v>
      </c>
    </row>
    <row r="984" spans="1:1">
      <c r="A984" s="121" t="s">
        <v>1003</v>
      </c>
    </row>
    <row r="985" spans="1:1">
      <c r="A985" s="121" t="s">
        <v>1047</v>
      </c>
    </row>
    <row r="986" spans="1:1">
      <c r="A986" s="122" t="s">
        <v>1048</v>
      </c>
    </row>
    <row r="987" spans="1:1">
      <c r="A987" s="121" t="s">
        <v>1049</v>
      </c>
    </row>
    <row r="988" spans="1:1">
      <c r="A988" s="121" t="s">
        <v>1050</v>
      </c>
    </row>
    <row r="989" spans="1:1">
      <c r="A989" s="122" t="s">
        <v>1050</v>
      </c>
    </row>
    <row r="990" spans="1:1">
      <c r="A990" s="121" t="s">
        <v>1051</v>
      </c>
    </row>
    <row r="991" spans="1:1">
      <c r="A991" s="122" t="s">
        <v>1052</v>
      </c>
    </row>
    <row r="992" spans="1:1">
      <c r="A992" s="121" t="s">
        <v>1053</v>
      </c>
    </row>
    <row r="993" spans="1:1">
      <c r="A993" s="122" t="s">
        <v>1054</v>
      </c>
    </row>
    <row r="994" spans="1:1">
      <c r="A994" s="121" t="s">
        <v>1055</v>
      </c>
    </row>
    <row r="995" spans="1:1">
      <c r="A995" s="121" t="s">
        <v>1056</v>
      </c>
    </row>
    <row r="996" spans="1:1">
      <c r="A996" s="122" t="s">
        <v>1057</v>
      </c>
    </row>
    <row r="997" spans="1:1">
      <c r="A997" s="122" t="s">
        <v>991</v>
      </c>
    </row>
    <row r="998" spans="1:1">
      <c r="A998" s="121" t="s">
        <v>1058</v>
      </c>
    </row>
    <row r="999" spans="1:1">
      <c r="A999" s="121" t="s">
        <v>1059</v>
      </c>
    </row>
    <row r="1000" spans="1:1">
      <c r="A1000" s="121" t="s">
        <v>1060</v>
      </c>
    </row>
    <row r="1001" spans="1:1">
      <c r="A1001" s="122" t="s">
        <v>1060</v>
      </c>
    </row>
    <row r="1002" spans="1:1">
      <c r="A1002" s="121" t="s">
        <v>1061</v>
      </c>
    </row>
    <row r="1003" spans="1:1">
      <c r="A1003" s="121" t="s">
        <v>1062</v>
      </c>
    </row>
    <row r="1004" spans="1:1">
      <c r="A1004" s="121" t="s">
        <v>1063</v>
      </c>
    </row>
    <row r="1005" spans="1:1">
      <c r="A1005" s="122" t="s">
        <v>1064</v>
      </c>
    </row>
    <row r="1006" spans="1:1">
      <c r="A1006" s="121" t="s">
        <v>1065</v>
      </c>
    </row>
    <row r="1007" spans="1:1">
      <c r="A1007" s="121" t="s">
        <v>1066</v>
      </c>
    </row>
    <row r="1008" spans="1:1">
      <c r="A1008" s="121" t="s">
        <v>991</v>
      </c>
    </row>
    <row r="1009" spans="1:1">
      <c r="A1009" s="121" t="s">
        <v>1067</v>
      </c>
    </row>
    <row r="1010" spans="1:1">
      <c r="A1010" s="122" t="s">
        <v>1067</v>
      </c>
    </row>
    <row r="1011" spans="1:1">
      <c r="A1011" s="121" t="s">
        <v>1068</v>
      </c>
    </row>
    <row r="1012" spans="1:1">
      <c r="A1012" s="121" t="s">
        <v>1069</v>
      </c>
    </row>
    <row r="1013" spans="1:1">
      <c r="A1013" s="121" t="s">
        <v>1070</v>
      </c>
    </row>
    <row r="1014" spans="1:1">
      <c r="A1014" s="122" t="s">
        <v>1071</v>
      </c>
    </row>
    <row r="1015" spans="1:1">
      <c r="A1015" s="121" t="s">
        <v>1072</v>
      </c>
    </row>
    <row r="1016" spans="1:1">
      <c r="A1016" s="121" t="s">
        <v>1073</v>
      </c>
    </row>
    <row r="1017" spans="1:1">
      <c r="A1017" s="122" t="s">
        <v>1073</v>
      </c>
    </row>
    <row r="1018" spans="1:1">
      <c r="A1018" s="121" t="s">
        <v>1074</v>
      </c>
    </row>
    <row r="1019" spans="1:1">
      <c r="A1019" s="121" t="s">
        <v>973</v>
      </c>
    </row>
    <row r="1020" spans="1:1">
      <c r="A1020" s="121" t="s">
        <v>1000</v>
      </c>
    </row>
    <row r="1021" spans="1:1">
      <c r="A1021" s="122" t="s">
        <v>1003</v>
      </c>
    </row>
    <row r="1022" spans="1:1">
      <c r="A1022" s="121" t="s">
        <v>1003</v>
      </c>
    </row>
    <row r="1023" spans="1:1">
      <c r="A1023" s="121" t="s">
        <v>955</v>
      </c>
    </row>
    <row r="1024" spans="1:1">
      <c r="A1024" s="121" t="s">
        <v>1075</v>
      </c>
    </row>
    <row r="1025" spans="1:1">
      <c r="A1025" s="121" t="s">
        <v>1076</v>
      </c>
    </row>
    <row r="1026" spans="1:1">
      <c r="A1026" s="121" t="s">
        <v>1077</v>
      </c>
    </row>
    <row r="1027" spans="1:1">
      <c r="A1027" s="121" t="s">
        <v>991</v>
      </c>
    </row>
    <row r="1028" spans="1:1">
      <c r="A1028" s="121" t="s">
        <v>945</v>
      </c>
    </row>
    <row r="1029" spans="1:1">
      <c r="A1029" s="114" t="s">
        <v>1078</v>
      </c>
    </row>
    <row r="1030" spans="1:1">
      <c r="A1030" s="121" t="s">
        <v>1038</v>
      </c>
    </row>
    <row r="1031" spans="1:1">
      <c r="A1031" s="122" t="s">
        <v>1038</v>
      </c>
    </row>
    <row r="1032" spans="1:1">
      <c r="A1032" s="121" t="s">
        <v>1079</v>
      </c>
    </row>
    <row r="1033" spans="1:1">
      <c r="A1033" s="121" t="s">
        <v>1040</v>
      </c>
    </row>
    <row r="1034" spans="1:1">
      <c r="A1034" s="121" t="s">
        <v>1080</v>
      </c>
    </row>
    <row r="1035" spans="1:1">
      <c r="A1035" s="122" t="s">
        <v>1042</v>
      </c>
    </row>
    <row r="1036" spans="1:1">
      <c r="A1036" s="121" t="s">
        <v>1081</v>
      </c>
    </row>
    <row r="1037" spans="1:1">
      <c r="A1037" s="121" t="s">
        <v>1082</v>
      </c>
    </row>
    <row r="1038" spans="1:1">
      <c r="A1038" s="122" t="s">
        <v>1082</v>
      </c>
    </row>
    <row r="1039" spans="1:1">
      <c r="A1039" s="124" t="s">
        <v>1083</v>
      </c>
    </row>
    <row r="1040" spans="1:1">
      <c r="A1040" s="114" t="s">
        <v>943</v>
      </c>
    </row>
    <row r="1041" spans="1:1">
      <c r="A1041" s="114" t="s">
        <v>944</v>
      </c>
    </row>
    <row r="1042" spans="1:1">
      <c r="A1042" s="133" t="s">
        <v>922</v>
      </c>
    </row>
    <row r="1043" spans="1:1">
      <c r="A1043" s="133" t="s">
        <v>379</v>
      </c>
    </row>
    <row r="1044" spans="1:1">
      <c r="A1044" s="133" t="s">
        <v>380</v>
      </c>
    </row>
    <row r="1045" spans="1:1">
      <c r="A1045" s="133" t="s">
        <v>381</v>
      </c>
    </row>
    <row r="1046" spans="1:1">
      <c r="A1046" s="129" t="s">
        <v>634</v>
      </c>
    </row>
    <row r="1047" spans="1:1">
      <c r="A1047" s="129" t="s">
        <v>635</v>
      </c>
    </row>
    <row r="1048" spans="1:1">
      <c r="A1048" s="129" t="s">
        <v>924</v>
      </c>
    </row>
    <row r="1049" spans="1:1">
      <c r="A1049" s="129" t="s">
        <v>637</v>
      </c>
    </row>
    <row r="1050" spans="1:1">
      <c r="A1050" s="120" t="s">
        <v>388</v>
      </c>
    </row>
    <row r="1051" spans="1:1">
      <c r="A1051" s="121" t="s">
        <v>945</v>
      </c>
    </row>
    <row r="1052" spans="1:1">
      <c r="A1052" s="121" t="s">
        <v>1084</v>
      </c>
    </row>
    <row r="1053" spans="1:1">
      <c r="A1053" s="121" t="s">
        <v>1085</v>
      </c>
    </row>
    <row r="1054" spans="1:1">
      <c r="A1054" s="121" t="s">
        <v>1086</v>
      </c>
    </row>
    <row r="1055" spans="1:1">
      <c r="A1055" s="121" t="s">
        <v>973</v>
      </c>
    </row>
    <row r="1056" spans="1:1">
      <c r="A1056" s="121" t="s">
        <v>1023</v>
      </c>
    </row>
    <row r="1057" spans="1:1">
      <c r="A1057" s="122" t="s">
        <v>1025</v>
      </c>
    </row>
    <row r="1058" spans="1:1">
      <c r="A1058" s="121" t="s">
        <v>1025</v>
      </c>
    </row>
    <row r="1059" spans="1:1">
      <c r="A1059" s="121" t="s">
        <v>1087</v>
      </c>
    </row>
    <row r="1060" spans="1:1">
      <c r="A1060" s="121" t="s">
        <v>1088</v>
      </c>
    </row>
    <row r="1061" spans="1:1">
      <c r="A1061" s="121" t="s">
        <v>1089</v>
      </c>
    </row>
    <row r="1062" spans="1:1">
      <c r="A1062" s="121" t="s">
        <v>1090</v>
      </c>
    </row>
    <row r="1063" spans="1:1">
      <c r="A1063" s="115" t="s">
        <v>569</v>
      </c>
    </row>
    <row r="1064" spans="1:1">
      <c r="A1064" s="115" t="s">
        <v>570</v>
      </c>
    </row>
    <row r="1065" spans="1:1">
      <c r="A1065" s="115" t="s">
        <v>929</v>
      </c>
    </row>
    <row r="1066" spans="1:1">
      <c r="A1066" s="115" t="s">
        <v>433</v>
      </c>
    </row>
    <row r="1067" spans="1:1">
      <c r="A1067" s="120" t="s">
        <v>388</v>
      </c>
    </row>
    <row r="1068" spans="1:1">
      <c r="A1068" s="121" t="s">
        <v>434</v>
      </c>
    </row>
    <row r="1069" spans="1:1">
      <c r="A1069" s="122" t="s">
        <v>435</v>
      </c>
    </row>
    <row r="1070" spans="1:1">
      <c r="A1070" s="121" t="s">
        <v>435</v>
      </c>
    </row>
    <row r="1071" spans="1:1">
      <c r="A1071" s="115" t="s">
        <v>436</v>
      </c>
    </row>
    <row r="1072" spans="1:1">
      <c r="A1072" s="114" t="s">
        <v>1091</v>
      </c>
    </row>
    <row r="1073" spans="1:1">
      <c r="A1073" s="115" t="s">
        <v>863</v>
      </c>
    </row>
    <row r="1074" spans="1:1">
      <c r="A1074" s="115" t="s">
        <v>864</v>
      </c>
    </row>
    <row r="1075" spans="1:1">
      <c r="A1075" s="115" t="s">
        <v>929</v>
      </c>
    </row>
    <row r="1076" spans="1:1">
      <c r="A1076" s="115" t="s">
        <v>865</v>
      </c>
    </row>
    <row r="1077" spans="1:1">
      <c r="A1077" s="120" t="s">
        <v>388</v>
      </c>
    </row>
    <row r="1078" spans="1:1">
      <c r="A1078" s="121" t="s">
        <v>1092</v>
      </c>
    </row>
    <row r="1079" spans="1:1">
      <c r="A1079" s="122" t="s">
        <v>1093</v>
      </c>
    </row>
    <row r="1080" spans="1:1">
      <c r="A1080" s="121" t="s">
        <v>1093</v>
      </c>
    </row>
    <row r="1081" spans="1:1">
      <c r="A1081" s="121" t="s">
        <v>1094</v>
      </c>
    </row>
    <row r="1082" spans="1:1">
      <c r="A1082" s="122" t="s">
        <v>1095</v>
      </c>
    </row>
    <row r="1083" spans="1:1">
      <c r="A1083" s="121" t="s">
        <v>1095</v>
      </c>
    </row>
    <row r="1084" spans="1:1">
      <c r="A1084" s="121" t="s">
        <v>1096</v>
      </c>
    </row>
    <row r="1085" spans="1:1">
      <c r="A1085" s="122" t="s">
        <v>1097</v>
      </c>
    </row>
    <row r="1086" spans="1:1">
      <c r="A1086" s="121" t="s">
        <v>1098</v>
      </c>
    </row>
    <row r="1087" spans="1:1">
      <c r="A1087" s="121" t="s">
        <v>1099</v>
      </c>
    </row>
    <row r="1088" spans="1:1">
      <c r="A1088" s="122" t="s">
        <v>1100</v>
      </c>
    </row>
    <row r="1089" spans="1:1">
      <c r="A1089" s="121" t="s">
        <v>1101</v>
      </c>
    </row>
    <row r="1090" spans="1:1">
      <c r="A1090" s="121" t="s">
        <v>1102</v>
      </c>
    </row>
    <row r="1091" spans="1:1">
      <c r="A1091" s="122" t="s">
        <v>1103</v>
      </c>
    </row>
    <row r="1092" spans="1:1">
      <c r="A1092" s="121" t="s">
        <v>1104</v>
      </c>
    </row>
    <row r="1093" spans="1:1">
      <c r="A1093" s="121" t="s">
        <v>1105</v>
      </c>
    </row>
    <row r="1094" spans="1:1">
      <c r="A1094" s="122" t="s">
        <v>1106</v>
      </c>
    </row>
    <row r="1095" spans="1:1">
      <c r="A1095" s="121" t="s">
        <v>1107</v>
      </c>
    </row>
    <row r="1096" spans="1:1">
      <c r="A1096" s="121" t="s">
        <v>1108</v>
      </c>
    </row>
    <row r="1097" spans="1:1">
      <c r="A1097" s="122" t="s">
        <v>1109</v>
      </c>
    </row>
    <row r="1098" spans="1:1">
      <c r="A1098" s="121" t="s">
        <v>1110</v>
      </c>
    </row>
    <row r="1099" spans="1:1">
      <c r="A1099" s="121" t="s">
        <v>1111</v>
      </c>
    </row>
    <row r="1100" spans="1:1">
      <c r="A1100" s="122" t="s">
        <v>1112</v>
      </c>
    </row>
    <row r="1101" spans="1:1">
      <c r="A1101" s="121" t="s">
        <v>1113</v>
      </c>
    </row>
    <row r="1102" spans="1:1">
      <c r="A1102" s="121" t="s">
        <v>1114</v>
      </c>
    </row>
    <row r="1103" spans="1:1">
      <c r="A1103" s="122" t="s">
        <v>1115</v>
      </c>
    </row>
    <row r="1104" spans="1:1">
      <c r="A1104" s="121" t="s">
        <v>1107</v>
      </c>
    </row>
    <row r="1105" spans="1:1">
      <c r="A1105" s="121" t="s">
        <v>1116</v>
      </c>
    </row>
    <row r="1106" spans="1:1">
      <c r="A1106" s="122" t="s">
        <v>1117</v>
      </c>
    </row>
    <row r="1107" spans="1:1">
      <c r="A1107" s="121" t="s">
        <v>1110</v>
      </c>
    </row>
    <row r="1108" spans="1:1">
      <c r="A1108" s="121" t="s">
        <v>1118</v>
      </c>
    </row>
    <row r="1109" spans="1:1">
      <c r="A1109" s="122" t="s">
        <v>1119</v>
      </c>
    </row>
    <row r="1110" spans="1:1">
      <c r="A1110" s="121" t="s">
        <v>1119</v>
      </c>
    </row>
    <row r="1111" spans="1:1">
      <c r="A1111" s="121" t="s">
        <v>1120</v>
      </c>
    </row>
    <row r="1112" spans="1:1">
      <c r="A1112" s="122" t="s">
        <v>1121</v>
      </c>
    </row>
    <row r="1113" spans="1:1">
      <c r="A1113" s="121" t="s">
        <v>1122</v>
      </c>
    </row>
    <row r="1114" spans="1:1">
      <c r="A1114" s="121" t="s">
        <v>1123</v>
      </c>
    </row>
    <row r="1115" spans="1:1">
      <c r="A1115" s="122" t="s">
        <v>1124</v>
      </c>
    </row>
    <row r="1116" spans="1:1">
      <c r="A1116" s="121" t="s">
        <v>1125</v>
      </c>
    </row>
    <row r="1117" spans="1:1">
      <c r="A1117" s="121" t="s">
        <v>1126</v>
      </c>
    </row>
    <row r="1118" spans="1:1">
      <c r="A1118" s="122" t="s">
        <v>1127</v>
      </c>
    </row>
    <row r="1119" spans="1:1">
      <c r="A1119" s="121" t="s">
        <v>1128</v>
      </c>
    </row>
    <row r="1120" spans="1:1">
      <c r="A1120" s="121" t="s">
        <v>1129</v>
      </c>
    </row>
    <row r="1121" spans="1:1">
      <c r="A1121" s="124" t="s">
        <v>920</v>
      </c>
    </row>
    <row r="1122" spans="1:1">
      <c r="A1122" s="114" t="s">
        <v>943</v>
      </c>
    </row>
    <row r="1123" spans="1:1">
      <c r="A1123" s="114" t="s">
        <v>944</v>
      </c>
    </row>
    <row r="1124" spans="1:1">
      <c r="A1124" s="133" t="s">
        <v>922</v>
      </c>
    </row>
    <row r="1125" spans="1:1">
      <c r="A1125" s="133" t="s">
        <v>379</v>
      </c>
    </row>
    <row r="1126" spans="1:1">
      <c r="A1126" s="133" t="s">
        <v>380</v>
      </c>
    </row>
    <row r="1127" spans="1:1">
      <c r="A1127" s="133" t="s">
        <v>381</v>
      </c>
    </row>
    <row r="1128" spans="1:1">
      <c r="A1128" s="129" t="s">
        <v>634</v>
      </c>
    </row>
    <row r="1129" spans="1:1">
      <c r="A1129" s="129" t="s">
        <v>635</v>
      </c>
    </row>
    <row r="1130" spans="1:1">
      <c r="A1130" s="129" t="s">
        <v>924</v>
      </c>
    </row>
    <row r="1131" spans="1:1">
      <c r="A1131" s="129" t="s">
        <v>637</v>
      </c>
    </row>
    <row r="1132" spans="1:1">
      <c r="A1132" s="120" t="s">
        <v>388</v>
      </c>
    </row>
    <row r="1133" spans="1:1">
      <c r="A1133" s="122" t="s">
        <v>1130</v>
      </c>
    </row>
    <row r="1134" spans="1:1">
      <c r="A1134" s="121" t="s">
        <v>1131</v>
      </c>
    </row>
    <row r="1135" spans="1:1">
      <c r="A1135" s="121" t="s">
        <v>1132</v>
      </c>
    </row>
    <row r="1136" spans="1:1">
      <c r="A1136" s="136" t="s">
        <v>465</v>
      </c>
    </row>
    <row r="1137" spans="1:1">
      <c r="A1137" s="136" t="s">
        <v>1133</v>
      </c>
    </row>
    <row r="1138" spans="1:1">
      <c r="A1138" s="115" t="s">
        <v>436</v>
      </c>
    </row>
    <row r="1139" spans="1:1">
      <c r="A1139" s="115" t="s">
        <v>755</v>
      </c>
    </row>
    <row r="1140" spans="1:1">
      <c r="A1140" s="115" t="s">
        <v>756</v>
      </c>
    </row>
    <row r="1141" spans="1:1">
      <c r="A1141" s="115" t="s">
        <v>929</v>
      </c>
    </row>
    <row r="1142" spans="1:1">
      <c r="A1142" s="115" t="s">
        <v>888</v>
      </c>
    </row>
    <row r="1143" spans="1:1">
      <c r="A1143" s="120" t="s">
        <v>388</v>
      </c>
    </row>
    <row r="1144" spans="1:1">
      <c r="A1144" s="121" t="s">
        <v>1134</v>
      </c>
    </row>
    <row r="1145" spans="1:1">
      <c r="A1145" s="122" t="s">
        <v>1135</v>
      </c>
    </row>
    <row r="1146" spans="1:1">
      <c r="A1146" s="121" t="s">
        <v>1135</v>
      </c>
    </row>
    <row r="1147" spans="1:1">
      <c r="A1147" s="121" t="s">
        <v>1136</v>
      </c>
    </row>
    <row r="1148" spans="1:1">
      <c r="A1148" s="122" t="s">
        <v>1137</v>
      </c>
    </row>
    <row r="1149" spans="1:1">
      <c r="A1149" s="121" t="s">
        <v>1138</v>
      </c>
    </row>
    <row r="1150" spans="1:1">
      <c r="A1150" s="121" t="s">
        <v>1139</v>
      </c>
    </row>
    <row r="1151" spans="1:1">
      <c r="A1151" s="122" t="s">
        <v>1140</v>
      </c>
    </row>
    <row r="1152" spans="1:1">
      <c r="A1152" s="121" t="s">
        <v>1140</v>
      </c>
    </row>
    <row r="1153" spans="1:1">
      <c r="A1153" s="121" t="s">
        <v>1141</v>
      </c>
    </row>
    <row r="1154" spans="1:1">
      <c r="A1154" s="122" t="s">
        <v>1142</v>
      </c>
    </row>
    <row r="1155" spans="1:1">
      <c r="A1155" s="121" t="s">
        <v>1143</v>
      </c>
    </row>
    <row r="1156" spans="1:1">
      <c r="A1156" s="121" t="s">
        <v>1144</v>
      </c>
    </row>
    <row r="1157" spans="1:1">
      <c r="A1157" s="122" t="s">
        <v>1145</v>
      </c>
    </row>
    <row r="1158" spans="1:1">
      <c r="A1158" s="121" t="s">
        <v>1145</v>
      </c>
    </row>
    <row r="1159" spans="1:1">
      <c r="A1159" s="121" t="s">
        <v>1146</v>
      </c>
    </row>
    <row r="1160" spans="1:1">
      <c r="A1160" s="122" t="s">
        <v>1147</v>
      </c>
    </row>
    <row r="1161" spans="1:1">
      <c r="A1161" s="121" t="s">
        <v>1148</v>
      </c>
    </row>
    <row r="1162" spans="1:1">
      <c r="A1162" s="121" t="s">
        <v>1149</v>
      </c>
    </row>
    <row r="1163" spans="1:1">
      <c r="A1163" s="122" t="s">
        <v>1150</v>
      </c>
    </row>
    <row r="1164" spans="1:1">
      <c r="A1164" s="121" t="s">
        <v>1150</v>
      </c>
    </row>
    <row r="1165" spans="1:1">
      <c r="A1165" s="121" t="s">
        <v>1151</v>
      </c>
    </row>
    <row r="1166" spans="1:1">
      <c r="A1166" s="122" t="s">
        <v>1152</v>
      </c>
    </row>
    <row r="1167" spans="1:1">
      <c r="A1167" s="121" t="s">
        <v>1153</v>
      </c>
    </row>
    <row r="1168" spans="1:1">
      <c r="A1168" s="121" t="s">
        <v>1154</v>
      </c>
    </row>
    <row r="1169" spans="1:1">
      <c r="A1169" s="122" t="s">
        <v>1155</v>
      </c>
    </row>
    <row r="1170" spans="1:1">
      <c r="A1170" s="121" t="s">
        <v>1156</v>
      </c>
    </row>
    <row r="1171" spans="1:1">
      <c r="A1171" s="121" t="s">
        <v>1157</v>
      </c>
    </row>
    <row r="1172" spans="1:1">
      <c r="A1172" s="122" t="s">
        <v>1158</v>
      </c>
    </row>
    <row r="1173" spans="1:1">
      <c r="A1173" s="121" t="s">
        <v>1158</v>
      </c>
    </row>
    <row r="1174" spans="1:1">
      <c r="A1174" s="121" t="s">
        <v>1159</v>
      </c>
    </row>
    <row r="1175" spans="1:1">
      <c r="A1175" s="122" t="s">
        <v>1160</v>
      </c>
    </row>
    <row r="1176" spans="1:1">
      <c r="A1176" s="121" t="s">
        <v>1161</v>
      </c>
    </row>
    <row r="1177" spans="1:1">
      <c r="A1177" s="121" t="s">
        <v>1162</v>
      </c>
    </row>
    <row r="1178" spans="1:1">
      <c r="A1178" s="122" t="s">
        <v>1163</v>
      </c>
    </row>
    <row r="1179" spans="1:1">
      <c r="A1179" s="121" t="s">
        <v>1163</v>
      </c>
    </row>
    <row r="1180" spans="1:1">
      <c r="A1180" s="121" t="s">
        <v>1164</v>
      </c>
    </row>
    <row r="1181" spans="1:1">
      <c r="A1181" s="122" t="s">
        <v>1165</v>
      </c>
    </row>
    <row r="1182" spans="1:1">
      <c r="A1182" s="121" t="s">
        <v>1165</v>
      </c>
    </row>
    <row r="1183" spans="1:1">
      <c r="A1183" s="136" t="s">
        <v>465</v>
      </c>
    </row>
    <row r="1184" spans="1:1">
      <c r="A1184" s="136" t="s">
        <v>1166</v>
      </c>
    </row>
    <row r="1185" spans="1:1">
      <c r="A1185" s="114" t="s">
        <v>1167</v>
      </c>
    </row>
    <row r="1186" spans="1:1">
      <c r="A1186" s="124" t="s">
        <v>1168</v>
      </c>
    </row>
    <row r="1187" spans="1:1">
      <c r="A1187" s="114" t="s">
        <v>943</v>
      </c>
    </row>
    <row r="1188" spans="1:1">
      <c r="A1188" s="114" t="s">
        <v>468</v>
      </c>
    </row>
    <row r="1191" spans="1:1">
      <c r="A1191" s="132" t="s">
        <v>402</v>
      </c>
    </row>
    <row r="1192" spans="1:1">
      <c r="A1192" s="133" t="s">
        <v>921</v>
      </c>
    </row>
    <row r="1193" spans="1:1">
      <c r="A1193" s="133" t="s">
        <v>922</v>
      </c>
    </row>
    <row r="1194" spans="1:1">
      <c r="A1194" s="133" t="s">
        <v>379</v>
      </c>
    </row>
    <row r="1195" spans="1:1">
      <c r="A1195" s="133" t="s">
        <v>380</v>
      </c>
    </row>
    <row r="1196" spans="1:1">
      <c r="A1196" s="133" t="s">
        <v>381</v>
      </c>
    </row>
    <row r="1197" spans="1:1">
      <c r="A1197" s="134" t="s">
        <v>403</v>
      </c>
    </row>
    <row r="1198" spans="1:1">
      <c r="A1198" s="114">
        <v>47</v>
      </c>
    </row>
    <row r="1199" spans="1:1">
      <c r="A1199" s="134" t="s">
        <v>923</v>
      </c>
    </row>
    <row r="1200" spans="1:1">
      <c r="A1200" s="132" t="s">
        <v>382</v>
      </c>
    </row>
    <row r="1201" spans="1:1">
      <c r="A1201" s="129" t="s">
        <v>1169</v>
      </c>
    </row>
    <row r="1202" spans="1:1">
      <c r="A1202" s="129" t="s">
        <v>635</v>
      </c>
    </row>
    <row r="1203" spans="1:1">
      <c r="A1203" s="129" t="s">
        <v>1170</v>
      </c>
    </row>
    <row r="1204" spans="1:1">
      <c r="A1204" s="129" t="s">
        <v>637</v>
      </c>
    </row>
    <row r="1205" spans="1:1">
      <c r="A1205" s="114">
        <v>2034</v>
      </c>
    </row>
    <row r="1206" spans="1:1">
      <c r="A1206" s="116" t="s">
        <v>409</v>
      </c>
    </row>
    <row r="1207" spans="1:1">
      <c r="A1207" s="116" t="s">
        <v>638</v>
      </c>
    </row>
    <row r="1208" spans="1:1">
      <c r="A1208" s="116" t="s">
        <v>639</v>
      </c>
    </row>
    <row r="1209" spans="1:1" ht="37">
      <c r="A1209" s="135" t="s">
        <v>640</v>
      </c>
    </row>
    <row r="1210" spans="1:1">
      <c r="A1210" s="136" t="s">
        <v>1171</v>
      </c>
    </row>
    <row r="1211" spans="1:1">
      <c r="A1211" s="136" t="s">
        <v>926</v>
      </c>
    </row>
    <row r="1212" spans="1:1">
      <c r="A1212" s="136" t="s">
        <v>1172</v>
      </c>
    </row>
    <row r="1213" spans="1:1">
      <c r="A1213" s="136" t="s">
        <v>1173</v>
      </c>
    </row>
    <row r="1214" spans="1:1" ht="16">
      <c r="A1214" s="137" t="s">
        <v>352</v>
      </c>
    </row>
    <row r="1215" spans="1:1">
      <c r="A1215" s="115" t="s">
        <v>482</v>
      </c>
    </row>
    <row r="1216" spans="1:1">
      <c r="A1216" s="115" t="s">
        <v>483</v>
      </c>
    </row>
    <row r="1217" spans="1:1">
      <c r="A1217" s="115" t="s">
        <v>1174</v>
      </c>
    </row>
    <row r="1218" spans="1:1">
      <c r="A1218" s="115" t="s">
        <v>421</v>
      </c>
    </row>
    <row r="1219" spans="1:1">
      <c r="A1219" s="114" t="s">
        <v>1175</v>
      </c>
    </row>
    <row r="1220" spans="1:1">
      <c r="A1220" s="120" t="s">
        <v>388</v>
      </c>
    </row>
    <row r="1221" spans="1:1">
      <c r="A1221" s="121" t="s">
        <v>1176</v>
      </c>
    </row>
    <row r="1222" spans="1:1">
      <c r="A1222" s="122" t="s">
        <v>1177</v>
      </c>
    </row>
    <row r="1223" spans="1:1">
      <c r="A1223" s="122" t="s">
        <v>973</v>
      </c>
    </row>
    <row r="1224" spans="1:1">
      <c r="A1224" s="121" t="s">
        <v>1025</v>
      </c>
    </row>
    <row r="1225" spans="1:1">
      <c r="A1225" s="122" t="s">
        <v>1025</v>
      </c>
    </row>
    <row r="1226" spans="1:1">
      <c r="A1226" s="121" t="s">
        <v>1178</v>
      </c>
    </row>
    <row r="1227" spans="1:1">
      <c r="A1227" s="121" t="s">
        <v>1027</v>
      </c>
    </row>
    <row r="1228" spans="1:1">
      <c r="A1228" s="121" t="s">
        <v>1179</v>
      </c>
    </row>
    <row r="1229" spans="1:1">
      <c r="A1229" s="122" t="s">
        <v>955</v>
      </c>
    </row>
    <row r="1230" spans="1:1">
      <c r="A1230" s="121" t="s">
        <v>1180</v>
      </c>
    </row>
    <row r="1231" spans="1:1">
      <c r="A1231" s="121" t="s">
        <v>1181</v>
      </c>
    </row>
    <row r="1232" spans="1:1">
      <c r="A1232" s="121" t="s">
        <v>945</v>
      </c>
    </row>
    <row r="1233" spans="1:1">
      <c r="A1233" s="121" t="s">
        <v>1182</v>
      </c>
    </row>
    <row r="1234" spans="1:1">
      <c r="A1234" s="121" t="s">
        <v>1183</v>
      </c>
    </row>
    <row r="1235" spans="1:1">
      <c r="A1235" s="121" t="s">
        <v>1184</v>
      </c>
    </row>
    <row r="1236" spans="1:1">
      <c r="A1236" s="121" t="s">
        <v>488</v>
      </c>
    </row>
    <row r="1237" spans="1:1">
      <c r="A1237" s="121" t="s">
        <v>1185</v>
      </c>
    </row>
    <row r="1238" spans="1:1">
      <c r="A1238" s="122" t="s">
        <v>973</v>
      </c>
    </row>
    <row r="1239" spans="1:1">
      <c r="A1239" s="122" t="s">
        <v>1186</v>
      </c>
    </row>
    <row r="1240" spans="1:1">
      <c r="A1240" s="121" t="s">
        <v>1186</v>
      </c>
    </row>
    <row r="1241" spans="1:1">
      <c r="A1241" s="124" t="s">
        <v>1187</v>
      </c>
    </row>
    <row r="1242" spans="1:1">
      <c r="A1242" s="114" t="s">
        <v>943</v>
      </c>
    </row>
    <row r="1243" spans="1:1">
      <c r="A1243" s="114" t="s">
        <v>944</v>
      </c>
    </row>
    <row r="1244" spans="1:1">
      <c r="A1244" s="133" t="s">
        <v>922</v>
      </c>
    </row>
    <row r="1245" spans="1:1">
      <c r="A1245" s="133" t="s">
        <v>379</v>
      </c>
    </row>
    <row r="1246" spans="1:1">
      <c r="A1246" s="133" t="s">
        <v>380</v>
      </c>
    </row>
    <row r="1247" spans="1:1">
      <c r="A1247" s="133" t="s">
        <v>381</v>
      </c>
    </row>
    <row r="1248" spans="1:1">
      <c r="A1248" s="129" t="s">
        <v>1169</v>
      </c>
    </row>
    <row r="1249" spans="1:1">
      <c r="A1249" s="129" t="s">
        <v>635</v>
      </c>
    </row>
    <row r="1250" spans="1:1">
      <c r="A1250" s="129" t="s">
        <v>1170</v>
      </c>
    </row>
    <row r="1251" spans="1:1">
      <c r="A1251" s="129" t="s">
        <v>637</v>
      </c>
    </row>
    <row r="1252" spans="1:1">
      <c r="A1252" s="120" t="s">
        <v>388</v>
      </c>
    </row>
    <row r="1253" spans="1:1">
      <c r="A1253" s="121" t="s">
        <v>1188</v>
      </c>
    </row>
    <row r="1254" spans="1:1">
      <c r="A1254" s="121" t="s">
        <v>1189</v>
      </c>
    </row>
    <row r="1255" spans="1:1">
      <c r="A1255" s="122" t="s">
        <v>1190</v>
      </c>
    </row>
    <row r="1256" spans="1:1">
      <c r="A1256" s="121" t="s">
        <v>991</v>
      </c>
    </row>
    <row r="1257" spans="1:1">
      <c r="A1257" s="122" t="s">
        <v>1191</v>
      </c>
    </row>
    <row r="1258" spans="1:1">
      <c r="A1258" s="121" t="s">
        <v>1191</v>
      </c>
    </row>
    <row r="1259" spans="1:1">
      <c r="A1259" s="121" t="s">
        <v>1192</v>
      </c>
    </row>
    <row r="1260" spans="1:1">
      <c r="A1260" s="121" t="s">
        <v>1193</v>
      </c>
    </row>
    <row r="1261" spans="1:1">
      <c r="A1261" s="122" t="s">
        <v>1194</v>
      </c>
    </row>
    <row r="1262" spans="1:1">
      <c r="A1262" s="121" t="s">
        <v>1195</v>
      </c>
    </row>
    <row r="1263" spans="1:1">
      <c r="A1263" s="121" t="s">
        <v>1003</v>
      </c>
    </row>
    <row r="1264" spans="1:1">
      <c r="A1264" s="121" t="s">
        <v>1196</v>
      </c>
    </row>
    <row r="1265" spans="1:1">
      <c r="A1265" s="122" t="s">
        <v>955</v>
      </c>
    </row>
    <row r="1266" spans="1:1">
      <c r="A1266" s="121" t="s">
        <v>1197</v>
      </c>
    </row>
    <row r="1267" spans="1:1">
      <c r="A1267" s="121" t="s">
        <v>1198</v>
      </c>
    </row>
    <row r="1268" spans="1:1">
      <c r="A1268" s="121" t="s">
        <v>1199</v>
      </c>
    </row>
    <row r="1269" spans="1:1">
      <c r="A1269" s="121" t="s">
        <v>1197</v>
      </c>
    </row>
    <row r="1270" spans="1:1">
      <c r="A1270" s="121" t="s">
        <v>1200</v>
      </c>
    </row>
    <row r="1271" spans="1:1">
      <c r="A1271" s="122" t="s">
        <v>1200</v>
      </c>
    </row>
    <row r="1272" spans="1:1">
      <c r="A1272" s="121" t="s">
        <v>973</v>
      </c>
    </row>
    <row r="1273" spans="1:1">
      <c r="A1273" s="121" t="s">
        <v>1025</v>
      </c>
    </row>
    <row r="1274" spans="1:1">
      <c r="A1274" s="121" t="s">
        <v>991</v>
      </c>
    </row>
    <row r="1275" spans="1:1">
      <c r="A1275" s="122" t="s">
        <v>991</v>
      </c>
    </row>
    <row r="1276" spans="1:1">
      <c r="A1276" s="122" t="s">
        <v>1027</v>
      </c>
    </row>
    <row r="1277" spans="1:1">
      <c r="A1277" s="121" t="s">
        <v>1027</v>
      </c>
    </row>
    <row r="1278" spans="1:1">
      <c r="A1278" s="121" t="s">
        <v>1000</v>
      </c>
    </row>
    <row r="1279" spans="1:1">
      <c r="A1279" s="121" t="s">
        <v>1201</v>
      </c>
    </row>
    <row r="1280" spans="1:1">
      <c r="A1280" s="122" t="s">
        <v>1202</v>
      </c>
    </row>
    <row r="1281" spans="1:1">
      <c r="A1281" s="121" t="s">
        <v>1203</v>
      </c>
    </row>
    <row r="1282" spans="1:1">
      <c r="A1282" s="121" t="s">
        <v>1003</v>
      </c>
    </row>
    <row r="1283" spans="1:1">
      <c r="A1283" s="121" t="s">
        <v>807</v>
      </c>
    </row>
    <row r="1284" spans="1:1">
      <c r="A1284" s="122" t="s">
        <v>807</v>
      </c>
    </row>
    <row r="1285" spans="1:1">
      <c r="A1285" s="121" t="s">
        <v>1204</v>
      </c>
    </row>
    <row r="1286" spans="1:1">
      <c r="A1286" s="122" t="s">
        <v>1205</v>
      </c>
    </row>
    <row r="1287" spans="1:1">
      <c r="A1287" s="121" t="s">
        <v>1206</v>
      </c>
    </row>
    <row r="1288" spans="1:1">
      <c r="A1288" s="122" t="s">
        <v>1023</v>
      </c>
    </row>
    <row r="1289" spans="1:1">
      <c r="A1289" s="121" t="s">
        <v>1023</v>
      </c>
    </row>
    <row r="1290" spans="1:1">
      <c r="A1290" s="121" t="s">
        <v>1207</v>
      </c>
    </row>
    <row r="1291" spans="1:1">
      <c r="A1291" s="121" t="s">
        <v>1025</v>
      </c>
    </row>
    <row r="1292" spans="1:1">
      <c r="A1292" s="122" t="s">
        <v>1208</v>
      </c>
    </row>
    <row r="1293" spans="1:1">
      <c r="A1293" s="122" t="s">
        <v>991</v>
      </c>
    </row>
    <row r="1294" spans="1:1">
      <c r="A1294" s="121" t="s">
        <v>955</v>
      </c>
    </row>
    <row r="1295" spans="1:1">
      <c r="A1295" s="122" t="s">
        <v>1027</v>
      </c>
    </row>
    <row r="1296" spans="1:1">
      <c r="A1296" s="121" t="s">
        <v>1027</v>
      </c>
    </row>
    <row r="1297" spans="1:1">
      <c r="A1297" s="121" t="s">
        <v>1209</v>
      </c>
    </row>
    <row r="1298" spans="1:1">
      <c r="A1298" s="122" t="s">
        <v>1210</v>
      </c>
    </row>
    <row r="1299" spans="1:1">
      <c r="A1299" s="121" t="s">
        <v>1210</v>
      </c>
    </row>
    <row r="1300" spans="1:1">
      <c r="A1300" s="122" t="s">
        <v>1211</v>
      </c>
    </row>
    <row r="1301" spans="1:1">
      <c r="A1301" s="121" t="s">
        <v>1211</v>
      </c>
    </row>
    <row r="1302" spans="1:1">
      <c r="A1302" s="121" t="s">
        <v>1212</v>
      </c>
    </row>
    <row r="1303" spans="1:1">
      <c r="A1303" s="122" t="s">
        <v>1213</v>
      </c>
    </row>
    <row r="1304" spans="1:1">
      <c r="A1304" s="122" t="s">
        <v>1214</v>
      </c>
    </row>
    <row r="1305" spans="1:1">
      <c r="A1305" s="121" t="s">
        <v>973</v>
      </c>
    </row>
    <row r="1306" spans="1:1">
      <c r="A1306" s="121" t="s">
        <v>1215</v>
      </c>
    </row>
    <row r="1307" spans="1:1">
      <c r="A1307" s="121" t="s">
        <v>1216</v>
      </c>
    </row>
    <row r="1308" spans="1:1">
      <c r="A1308" s="121" t="s">
        <v>973</v>
      </c>
    </row>
    <row r="1309" spans="1:1">
      <c r="A1309" s="121" t="s">
        <v>1217</v>
      </c>
    </row>
    <row r="1310" spans="1:1">
      <c r="A1310" s="122" t="s">
        <v>991</v>
      </c>
    </row>
    <row r="1311" spans="1:1">
      <c r="A1311" s="121" t="s">
        <v>991</v>
      </c>
    </row>
    <row r="1312" spans="1:1">
      <c r="A1312" s="121" t="s">
        <v>1218</v>
      </c>
    </row>
    <row r="1313" spans="1:1">
      <c r="A1313" s="121" t="s">
        <v>1219</v>
      </c>
    </row>
    <row r="1314" spans="1:1">
      <c r="A1314" s="121" t="s">
        <v>1220</v>
      </c>
    </row>
    <row r="1315" spans="1:1">
      <c r="A1315" s="122" t="s">
        <v>1221</v>
      </c>
    </row>
    <row r="1316" spans="1:1">
      <c r="A1316" s="121" t="s">
        <v>1221</v>
      </c>
    </row>
    <row r="1317" spans="1:1">
      <c r="A1317" s="121" t="s">
        <v>1222</v>
      </c>
    </row>
    <row r="1318" spans="1:1">
      <c r="A1318" s="122" t="s">
        <v>1223</v>
      </c>
    </row>
    <row r="1319" spans="1:1">
      <c r="A1319" s="121" t="s">
        <v>1223</v>
      </c>
    </row>
    <row r="1320" spans="1:1">
      <c r="A1320" s="121" t="s">
        <v>1224</v>
      </c>
    </row>
    <row r="1321" spans="1:1">
      <c r="A1321" s="121" t="s">
        <v>1225</v>
      </c>
    </row>
    <row r="1322" spans="1:1">
      <c r="A1322" s="121" t="s">
        <v>1226</v>
      </c>
    </row>
    <row r="1323" spans="1:1">
      <c r="A1323" s="123">
        <v>15900</v>
      </c>
    </row>
    <row r="1324" spans="1:1">
      <c r="A1324" s="121" t="s">
        <v>821</v>
      </c>
    </row>
    <row r="1325" spans="1:1">
      <c r="A1325" s="121" t="s">
        <v>1227</v>
      </c>
    </row>
    <row r="1326" spans="1:1">
      <c r="A1326" s="122" t="s">
        <v>973</v>
      </c>
    </row>
    <row r="1327" spans="1:1">
      <c r="A1327" s="122" t="s">
        <v>1228</v>
      </c>
    </row>
    <row r="1328" spans="1:1">
      <c r="A1328" s="121" t="s">
        <v>1229</v>
      </c>
    </row>
    <row r="1329" spans="1:1">
      <c r="A1329" s="122" t="s">
        <v>1229</v>
      </c>
    </row>
    <row r="1330" spans="1:1">
      <c r="A1330" s="121" t="s">
        <v>1230</v>
      </c>
    </row>
    <row r="1331" spans="1:1">
      <c r="A1331" s="121" t="s">
        <v>1231</v>
      </c>
    </row>
    <row r="1332" spans="1:1">
      <c r="A1332" s="121" t="s">
        <v>1232</v>
      </c>
    </row>
    <row r="1333" spans="1:1">
      <c r="A1333" s="122" t="s">
        <v>1233</v>
      </c>
    </row>
    <row r="1334" spans="1:1">
      <c r="A1334" s="121" t="s">
        <v>1234</v>
      </c>
    </row>
    <row r="1335" spans="1:1">
      <c r="A1335" s="121" t="s">
        <v>1235</v>
      </c>
    </row>
    <row r="1336" spans="1:1">
      <c r="A1336" s="122" t="s">
        <v>1236</v>
      </c>
    </row>
    <row r="1337" spans="1:1">
      <c r="A1337" s="121" t="s">
        <v>1237</v>
      </c>
    </row>
    <row r="1338" spans="1:1">
      <c r="A1338" s="121" t="s">
        <v>1238</v>
      </c>
    </row>
    <row r="1339" spans="1:1">
      <c r="A1339" s="121" t="s">
        <v>1239</v>
      </c>
    </row>
    <row r="1340" spans="1:1">
      <c r="A1340" s="122" t="s">
        <v>1240</v>
      </c>
    </row>
    <row r="1341" spans="1:1">
      <c r="A1341" s="121" t="s">
        <v>1241</v>
      </c>
    </row>
    <row r="1342" spans="1:1">
      <c r="A1342" s="121" t="s">
        <v>1242</v>
      </c>
    </row>
    <row r="1343" spans="1:1">
      <c r="A1343" s="121" t="s">
        <v>1243</v>
      </c>
    </row>
    <row r="1344" spans="1:1">
      <c r="A1344" s="121" t="s">
        <v>1244</v>
      </c>
    </row>
    <row r="1345" spans="1:1">
      <c r="A1345" s="122" t="s">
        <v>1245</v>
      </c>
    </row>
    <row r="1346" spans="1:1">
      <c r="A1346" s="121" t="s">
        <v>1245</v>
      </c>
    </row>
    <row r="1347" spans="1:1">
      <c r="A1347" s="121" t="s">
        <v>1246</v>
      </c>
    </row>
    <row r="1348" spans="1:1">
      <c r="A1348" s="121" t="s">
        <v>1025</v>
      </c>
    </row>
    <row r="1349" spans="1:1">
      <c r="A1349" s="124" t="s">
        <v>1247</v>
      </c>
    </row>
    <row r="1350" spans="1:1">
      <c r="A1350" s="114" t="s">
        <v>943</v>
      </c>
    </row>
    <row r="1351" spans="1:1">
      <c r="A1351" s="114" t="s">
        <v>944</v>
      </c>
    </row>
    <row r="1352" spans="1:1">
      <c r="A1352" s="133" t="s">
        <v>922</v>
      </c>
    </row>
    <row r="1353" spans="1:1">
      <c r="A1353" s="133" t="s">
        <v>379</v>
      </c>
    </row>
    <row r="1354" spans="1:1">
      <c r="A1354" s="133" t="s">
        <v>380</v>
      </c>
    </row>
    <row r="1355" spans="1:1">
      <c r="A1355" s="133" t="s">
        <v>381</v>
      </c>
    </row>
    <row r="1356" spans="1:1">
      <c r="A1356" s="129" t="s">
        <v>1169</v>
      </c>
    </row>
    <row r="1357" spans="1:1">
      <c r="A1357" s="129" t="s">
        <v>635</v>
      </c>
    </row>
    <row r="1358" spans="1:1">
      <c r="A1358" s="129" t="s">
        <v>1170</v>
      </c>
    </row>
    <row r="1359" spans="1:1">
      <c r="A1359" s="129" t="s">
        <v>637</v>
      </c>
    </row>
    <row r="1360" spans="1:1">
      <c r="A1360" s="120" t="s">
        <v>388</v>
      </c>
    </row>
    <row r="1361" spans="1:1">
      <c r="A1361" s="122" t="s">
        <v>1248</v>
      </c>
    </row>
    <row r="1362" spans="1:1">
      <c r="A1362" s="121" t="s">
        <v>991</v>
      </c>
    </row>
    <row r="1363" spans="1:1">
      <c r="A1363" s="122" t="s">
        <v>1027</v>
      </c>
    </row>
    <row r="1364" spans="1:1">
      <c r="A1364" s="121" t="s">
        <v>1027</v>
      </c>
    </row>
    <row r="1365" spans="1:1">
      <c r="A1365" s="121" t="s">
        <v>1000</v>
      </c>
    </row>
    <row r="1366" spans="1:1">
      <c r="A1366" s="121" t="s">
        <v>1249</v>
      </c>
    </row>
    <row r="1367" spans="1:1">
      <c r="A1367" s="121" t="s">
        <v>973</v>
      </c>
    </row>
    <row r="1368" spans="1:1">
      <c r="A1368" s="121" t="s">
        <v>1250</v>
      </c>
    </row>
    <row r="1369" spans="1:1">
      <c r="A1369" s="121" t="s">
        <v>1003</v>
      </c>
    </row>
    <row r="1370" spans="1:1">
      <c r="A1370" s="121" t="s">
        <v>991</v>
      </c>
    </row>
    <row r="1371" spans="1:1">
      <c r="A1371" s="121" t="s">
        <v>1251</v>
      </c>
    </row>
    <row r="1372" spans="1:1">
      <c r="A1372" s="122" t="s">
        <v>973</v>
      </c>
    </row>
    <row r="1373" spans="1:1">
      <c r="A1373" s="121" t="s">
        <v>973</v>
      </c>
    </row>
    <row r="1374" spans="1:1">
      <c r="A1374" s="122" t="s">
        <v>1252</v>
      </c>
    </row>
    <row r="1375" spans="1:1">
      <c r="A1375" s="121" t="s">
        <v>1252</v>
      </c>
    </row>
    <row r="1376" spans="1:1">
      <c r="A1376" s="121" t="s">
        <v>825</v>
      </c>
    </row>
    <row r="1377" spans="1:1">
      <c r="A1377" s="121" t="s">
        <v>1253</v>
      </c>
    </row>
    <row r="1378" spans="1:1">
      <c r="A1378" s="121" t="s">
        <v>1254</v>
      </c>
    </row>
    <row r="1379" spans="1:1">
      <c r="A1379" s="121" t="s">
        <v>1255</v>
      </c>
    </row>
    <row r="1380" spans="1:1">
      <c r="A1380" s="122" t="s">
        <v>1042</v>
      </c>
    </row>
    <row r="1381" spans="1:1">
      <c r="A1381" s="121" t="s">
        <v>1042</v>
      </c>
    </row>
    <row r="1382" spans="1:1">
      <c r="A1382" s="121" t="s">
        <v>1256</v>
      </c>
    </row>
    <row r="1383" spans="1:1">
      <c r="A1383" s="121" t="s">
        <v>1257</v>
      </c>
    </row>
    <row r="1384" spans="1:1">
      <c r="A1384" s="122" t="s">
        <v>1258</v>
      </c>
    </row>
    <row r="1385" spans="1:1">
      <c r="A1385" s="122" t="s">
        <v>973</v>
      </c>
    </row>
    <row r="1386" spans="1:1">
      <c r="A1386" s="122" t="s">
        <v>1259</v>
      </c>
    </row>
    <row r="1387" spans="1:1">
      <c r="A1387" s="121" t="s">
        <v>1259</v>
      </c>
    </row>
    <row r="1388" spans="1:1">
      <c r="A1388" s="121" t="s">
        <v>1260</v>
      </c>
    </row>
    <row r="1389" spans="1:1">
      <c r="A1389" s="121" t="s">
        <v>1261</v>
      </c>
    </row>
    <row r="1390" spans="1:1">
      <c r="A1390" s="121" t="s">
        <v>1262</v>
      </c>
    </row>
    <row r="1391" spans="1:1">
      <c r="A1391" s="121" t="s">
        <v>1263</v>
      </c>
    </row>
    <row r="1392" spans="1:1">
      <c r="A1392" s="122" t="s">
        <v>1263</v>
      </c>
    </row>
    <row r="1393" spans="1:1">
      <c r="A1393" s="121" t="s">
        <v>1264</v>
      </c>
    </row>
    <row r="1394" spans="1:1">
      <c r="A1394" s="122" t="s">
        <v>1265</v>
      </c>
    </row>
    <row r="1395" spans="1:1">
      <c r="A1395" s="122" t="s">
        <v>1262</v>
      </c>
    </row>
    <row r="1396" spans="1:1">
      <c r="A1396" s="121" t="s">
        <v>1266</v>
      </c>
    </row>
    <row r="1397" spans="1:1">
      <c r="A1397" s="121" t="s">
        <v>1267</v>
      </c>
    </row>
    <row r="1398" spans="1:1">
      <c r="A1398" s="121" t="s">
        <v>1262</v>
      </c>
    </row>
    <row r="1399" spans="1:1">
      <c r="A1399" s="121" t="s">
        <v>1268</v>
      </c>
    </row>
    <row r="1400" spans="1:1">
      <c r="A1400" s="122" t="s">
        <v>1269</v>
      </c>
    </row>
    <row r="1401" spans="1:1">
      <c r="A1401" s="121" t="s">
        <v>1269</v>
      </c>
    </row>
    <row r="1402" spans="1:1">
      <c r="A1402" s="122" t="s">
        <v>1270</v>
      </c>
    </row>
    <row r="1403" spans="1:1">
      <c r="A1403" s="121" t="s">
        <v>1270</v>
      </c>
    </row>
    <row r="1404" spans="1:1">
      <c r="A1404" s="121" t="s">
        <v>833</v>
      </c>
    </row>
    <row r="1405" spans="1:1">
      <c r="A1405" s="122" t="s">
        <v>1271</v>
      </c>
    </row>
    <row r="1406" spans="1:1">
      <c r="A1406" s="122" t="s">
        <v>991</v>
      </c>
    </row>
    <row r="1407" spans="1:1">
      <c r="A1407" s="121" t="s">
        <v>1272</v>
      </c>
    </row>
    <row r="1408" spans="1:1">
      <c r="A1408" s="121" t="s">
        <v>1273</v>
      </c>
    </row>
    <row r="1409" spans="1:1">
      <c r="A1409" s="121" t="s">
        <v>1262</v>
      </c>
    </row>
    <row r="1410" spans="1:1">
      <c r="A1410" s="121" t="s">
        <v>1274</v>
      </c>
    </row>
    <row r="1411" spans="1:1">
      <c r="A1411" s="122" t="s">
        <v>1262</v>
      </c>
    </row>
    <row r="1412" spans="1:1">
      <c r="A1412" s="121" t="s">
        <v>1262</v>
      </c>
    </row>
    <row r="1413" spans="1:1">
      <c r="A1413" s="121" t="s">
        <v>1275</v>
      </c>
    </row>
    <row r="1414" spans="1:1">
      <c r="A1414" s="122" t="s">
        <v>1276</v>
      </c>
    </row>
    <row r="1415" spans="1:1">
      <c r="A1415" s="121" t="s">
        <v>1262</v>
      </c>
    </row>
    <row r="1416" spans="1:1">
      <c r="A1416" s="121" t="s">
        <v>1277</v>
      </c>
    </row>
    <row r="1417" spans="1:1">
      <c r="A1417" s="121" t="s">
        <v>1278</v>
      </c>
    </row>
    <row r="1418" spans="1:1">
      <c r="A1418" s="122" t="s">
        <v>1278</v>
      </c>
    </row>
    <row r="1419" spans="1:1">
      <c r="A1419" s="121" t="s">
        <v>1279</v>
      </c>
    </row>
    <row r="1420" spans="1:1">
      <c r="A1420" s="121" t="s">
        <v>1280</v>
      </c>
    </row>
    <row r="1421" spans="1:1">
      <c r="A1421" s="121" t="s">
        <v>973</v>
      </c>
    </row>
    <row r="1422" spans="1:1">
      <c r="A1422" s="122" t="s">
        <v>1281</v>
      </c>
    </row>
    <row r="1423" spans="1:1">
      <c r="A1423" s="121" t="s">
        <v>1281</v>
      </c>
    </row>
    <row r="1424" spans="1:1">
      <c r="A1424" s="121" t="s">
        <v>847</v>
      </c>
    </row>
    <row r="1425" spans="1:1">
      <c r="A1425" s="122" t="s">
        <v>1282</v>
      </c>
    </row>
    <row r="1426" spans="1:1">
      <c r="A1426" s="122" t="s">
        <v>991</v>
      </c>
    </row>
    <row r="1427" spans="1:1">
      <c r="A1427" s="122" t="s">
        <v>1283</v>
      </c>
    </row>
    <row r="1428" spans="1:1">
      <c r="A1428" s="121" t="s">
        <v>1283</v>
      </c>
    </row>
    <row r="1429" spans="1:1">
      <c r="A1429" s="121" t="s">
        <v>1284</v>
      </c>
    </row>
    <row r="1430" spans="1:1">
      <c r="A1430" s="122" t="s">
        <v>1285</v>
      </c>
    </row>
    <row r="1431" spans="1:1">
      <c r="A1431" s="121" t="s">
        <v>1285</v>
      </c>
    </row>
    <row r="1432" spans="1:1">
      <c r="A1432" s="136" t="s">
        <v>465</v>
      </c>
    </row>
    <row r="1433" spans="1:1">
      <c r="A1433" s="136" t="s">
        <v>1286</v>
      </c>
    </row>
    <row r="1434" spans="1:1">
      <c r="A1434" s="115" t="s">
        <v>569</v>
      </c>
    </row>
    <row r="1435" spans="1:1">
      <c r="A1435" s="115" t="s">
        <v>570</v>
      </c>
    </row>
    <row r="1436" spans="1:1">
      <c r="A1436" s="115" t="s">
        <v>1174</v>
      </c>
    </row>
    <row r="1437" spans="1:1">
      <c r="A1437" s="115" t="s">
        <v>1287</v>
      </c>
    </row>
    <row r="1438" spans="1:1">
      <c r="A1438" s="115" t="s">
        <v>436</v>
      </c>
    </row>
    <row r="1439" spans="1:1">
      <c r="A1439" s="120" t="s">
        <v>388</v>
      </c>
    </row>
    <row r="1440" spans="1:1">
      <c r="A1440" s="121" t="s">
        <v>571</v>
      </c>
    </row>
    <row r="1441" spans="1:1">
      <c r="A1441" s="124" t="s">
        <v>1288</v>
      </c>
    </row>
    <row r="1442" spans="1:1">
      <c r="A1442" s="114" t="s">
        <v>943</v>
      </c>
    </row>
    <row r="1443" spans="1:1">
      <c r="A1443" s="114" t="s">
        <v>944</v>
      </c>
    </row>
    <row r="1444" spans="1:1">
      <c r="A1444" s="133" t="s">
        <v>922</v>
      </c>
    </row>
    <row r="1445" spans="1:1">
      <c r="A1445" s="133" t="s">
        <v>379</v>
      </c>
    </row>
    <row r="1446" spans="1:1">
      <c r="A1446" s="133" t="s">
        <v>380</v>
      </c>
    </row>
    <row r="1447" spans="1:1">
      <c r="A1447" s="133" t="s">
        <v>381</v>
      </c>
    </row>
    <row r="1448" spans="1:1">
      <c r="A1448" s="129" t="s">
        <v>1169</v>
      </c>
    </row>
    <row r="1449" spans="1:1">
      <c r="A1449" s="129" t="s">
        <v>635</v>
      </c>
    </row>
    <row r="1450" spans="1:1">
      <c r="A1450" s="129" t="s">
        <v>1170</v>
      </c>
    </row>
    <row r="1451" spans="1:1">
      <c r="A1451" s="129" t="s">
        <v>637</v>
      </c>
    </row>
    <row r="1452" spans="1:1">
      <c r="A1452" s="120" t="s">
        <v>388</v>
      </c>
    </row>
    <row r="1453" spans="1:1">
      <c r="A1453" s="122" t="s">
        <v>572</v>
      </c>
    </row>
    <row r="1454" spans="1:1">
      <c r="A1454" s="121" t="s">
        <v>572</v>
      </c>
    </row>
    <row r="1455" spans="1:1">
      <c r="A1455" s="115" t="s">
        <v>436</v>
      </c>
    </row>
    <row r="1456" spans="1:1">
      <c r="A1456" s="115" t="s">
        <v>1289</v>
      </c>
    </row>
    <row r="1457" spans="1:1">
      <c r="A1457" s="115" t="s">
        <v>1290</v>
      </c>
    </row>
    <row r="1458" spans="1:1">
      <c r="A1458" s="115" t="s">
        <v>1174</v>
      </c>
    </row>
    <row r="1459" spans="1:1">
      <c r="A1459" s="115" t="s">
        <v>1291</v>
      </c>
    </row>
    <row r="1460" spans="1:1">
      <c r="A1460" s="120" t="s">
        <v>388</v>
      </c>
    </row>
    <row r="1461" spans="1:1">
      <c r="A1461" s="121" t="s">
        <v>1292</v>
      </c>
    </row>
    <row r="1462" spans="1:1">
      <c r="A1462" s="122" t="s">
        <v>1293</v>
      </c>
    </row>
    <row r="1463" spans="1:1">
      <c r="A1463" s="121" t="s">
        <v>1293</v>
      </c>
    </row>
    <row r="1464" spans="1:1">
      <c r="A1464" s="121" t="s">
        <v>1294</v>
      </c>
    </row>
    <row r="1465" spans="1:1">
      <c r="A1465" s="122" t="s">
        <v>1295</v>
      </c>
    </row>
    <row r="1466" spans="1:1">
      <c r="A1466" s="121" t="s">
        <v>1295</v>
      </c>
    </row>
    <row r="1467" spans="1:1">
      <c r="A1467" s="121" t="s">
        <v>1296</v>
      </c>
    </row>
    <row r="1468" spans="1:1">
      <c r="A1468" s="122" t="s">
        <v>1297</v>
      </c>
    </row>
    <row r="1469" spans="1:1">
      <c r="A1469" s="121" t="s">
        <v>1297</v>
      </c>
    </row>
    <row r="1470" spans="1:1">
      <c r="A1470" s="121" t="s">
        <v>1298</v>
      </c>
    </row>
    <row r="1471" spans="1:1">
      <c r="A1471" s="122" t="s">
        <v>1299</v>
      </c>
    </row>
    <row r="1472" spans="1:1">
      <c r="A1472" s="121" t="s">
        <v>1299</v>
      </c>
    </row>
    <row r="1473" spans="1:1">
      <c r="A1473" s="121" t="s">
        <v>1300</v>
      </c>
    </row>
    <row r="1474" spans="1:1">
      <c r="A1474" s="122" t="s">
        <v>1301</v>
      </c>
    </row>
    <row r="1475" spans="1:1">
      <c r="A1475" s="121" t="s">
        <v>1301</v>
      </c>
    </row>
    <row r="1476" spans="1:1">
      <c r="A1476" s="121" t="s">
        <v>1302</v>
      </c>
    </row>
    <row r="1477" spans="1:1">
      <c r="A1477" s="122" t="s">
        <v>1303</v>
      </c>
    </row>
    <row r="1478" spans="1:1">
      <c r="A1478" s="121" t="s">
        <v>1303</v>
      </c>
    </row>
    <row r="1479" spans="1:1">
      <c r="A1479" s="121" t="s">
        <v>1304</v>
      </c>
    </row>
    <row r="1480" spans="1:1">
      <c r="A1480" s="122" t="s">
        <v>1305</v>
      </c>
    </row>
    <row r="1481" spans="1:1">
      <c r="A1481" s="121" t="s">
        <v>1305</v>
      </c>
    </row>
    <row r="1482" spans="1:1">
      <c r="A1482" s="121" t="s">
        <v>1306</v>
      </c>
    </row>
    <row r="1483" spans="1:1">
      <c r="A1483" s="122" t="s">
        <v>1307</v>
      </c>
    </row>
    <row r="1484" spans="1:1">
      <c r="A1484" s="121" t="s">
        <v>1307</v>
      </c>
    </row>
    <row r="1485" spans="1:1">
      <c r="A1485" s="121" t="s">
        <v>1308</v>
      </c>
    </row>
    <row r="1486" spans="1:1">
      <c r="A1486" s="122" t="s">
        <v>1309</v>
      </c>
    </row>
    <row r="1487" spans="1:1">
      <c r="A1487" s="121" t="s">
        <v>1309</v>
      </c>
    </row>
    <row r="1488" spans="1:1">
      <c r="A1488" s="121" t="s">
        <v>1310</v>
      </c>
    </row>
    <row r="1489" spans="1:1">
      <c r="A1489" s="122" t="s">
        <v>1311</v>
      </c>
    </row>
    <row r="1490" spans="1:1">
      <c r="A1490" s="121" t="s">
        <v>1311</v>
      </c>
    </row>
    <row r="1491" spans="1:1">
      <c r="A1491" s="121" t="s">
        <v>1312</v>
      </c>
    </row>
    <row r="1492" spans="1:1">
      <c r="A1492" s="122" t="s">
        <v>1313</v>
      </c>
    </row>
    <row r="1493" spans="1:1">
      <c r="A1493" s="121" t="s">
        <v>1314</v>
      </c>
    </row>
    <row r="1494" spans="1:1">
      <c r="A1494" s="121" t="s">
        <v>1315</v>
      </c>
    </row>
    <row r="1495" spans="1:1">
      <c r="A1495" s="122" t="s">
        <v>1316</v>
      </c>
    </row>
    <row r="1496" spans="1:1">
      <c r="A1496" s="121" t="s">
        <v>1317</v>
      </c>
    </row>
    <row r="1497" spans="1:1">
      <c r="A1497" s="121" t="s">
        <v>1318</v>
      </c>
    </row>
    <row r="1498" spans="1:1">
      <c r="A1498" s="122" t="s">
        <v>1319</v>
      </c>
    </row>
    <row r="1499" spans="1:1">
      <c r="A1499" s="121" t="s">
        <v>1320</v>
      </c>
    </row>
    <row r="1500" spans="1:1">
      <c r="A1500" s="121" t="s">
        <v>1321</v>
      </c>
    </row>
    <row r="1501" spans="1:1">
      <c r="A1501" s="122" t="s">
        <v>1322</v>
      </c>
    </row>
    <row r="1502" spans="1:1">
      <c r="A1502" s="121" t="s">
        <v>1323</v>
      </c>
    </row>
    <row r="1503" spans="1:1">
      <c r="A1503" s="121" t="s">
        <v>1324</v>
      </c>
    </row>
    <row r="1504" spans="1:1">
      <c r="A1504" s="122" t="s">
        <v>1325</v>
      </c>
    </row>
    <row r="1505" spans="1:1">
      <c r="A1505" s="121" t="s">
        <v>1325</v>
      </c>
    </row>
    <row r="1506" spans="1:1">
      <c r="A1506" s="121" t="s">
        <v>1326</v>
      </c>
    </row>
    <row r="1507" spans="1:1">
      <c r="A1507" s="122" t="s">
        <v>1327</v>
      </c>
    </row>
    <row r="1508" spans="1:1">
      <c r="A1508" s="121" t="s">
        <v>1327</v>
      </c>
    </row>
    <row r="1509" spans="1:1">
      <c r="A1509" s="136" t="s">
        <v>465</v>
      </c>
    </row>
    <row r="1510" spans="1:1">
      <c r="A1510" s="136" t="s">
        <v>1328</v>
      </c>
    </row>
    <row r="1511" spans="1:1">
      <c r="A1511" s="114" t="s">
        <v>1329</v>
      </c>
    </row>
    <row r="1512" spans="1:1">
      <c r="A1512" s="124" t="s">
        <v>1330</v>
      </c>
    </row>
    <row r="1513" spans="1:1">
      <c r="A1513" s="114" t="s">
        <v>943</v>
      </c>
    </row>
    <row r="1514" spans="1:1">
      <c r="A1514" s="114" t="s">
        <v>944</v>
      </c>
    </row>
    <row r="1515" spans="1:1">
      <c r="A1515" s="133" t="s">
        <v>922</v>
      </c>
    </row>
    <row r="1516" spans="1:1">
      <c r="A1516" s="133" t="s">
        <v>379</v>
      </c>
    </row>
    <row r="1517" spans="1:1">
      <c r="A1517" s="133" t="s">
        <v>380</v>
      </c>
    </row>
    <row r="1518" spans="1:1">
      <c r="A1518" s="133" t="s">
        <v>381</v>
      </c>
    </row>
    <row r="1519" spans="1:1">
      <c r="A1519" s="129" t="s">
        <v>1169</v>
      </c>
    </row>
    <row r="1520" spans="1:1">
      <c r="A1520" s="129" t="s">
        <v>635</v>
      </c>
    </row>
    <row r="1521" spans="1:1">
      <c r="A1521" s="129" t="s">
        <v>1170</v>
      </c>
    </row>
    <row r="1522" spans="1:1">
      <c r="A1522" s="129" t="s">
        <v>637</v>
      </c>
    </row>
    <row r="1523" spans="1:1">
      <c r="A1523" s="115" t="s">
        <v>436</v>
      </c>
    </row>
    <row r="1524" spans="1:1">
      <c r="A1524" s="115" t="s">
        <v>1331</v>
      </c>
    </row>
    <row r="1525" spans="1:1">
      <c r="A1525" s="115" t="s">
        <v>1332</v>
      </c>
    </row>
    <row r="1526" spans="1:1">
      <c r="A1526" s="115" t="s">
        <v>1174</v>
      </c>
    </row>
    <row r="1527" spans="1:1">
      <c r="A1527" s="115" t="s">
        <v>1333</v>
      </c>
    </row>
    <row r="1528" spans="1:1">
      <c r="A1528" s="120" t="s">
        <v>388</v>
      </c>
    </row>
    <row r="1529" spans="1:1">
      <c r="A1529" s="121" t="s">
        <v>1334</v>
      </c>
    </row>
    <row r="1530" spans="1:1">
      <c r="A1530" s="122" t="s">
        <v>1335</v>
      </c>
    </row>
    <row r="1531" spans="1:1">
      <c r="A1531" s="121" t="s">
        <v>1336</v>
      </c>
    </row>
    <row r="1532" spans="1:1">
      <c r="A1532" s="121" t="s">
        <v>1337</v>
      </c>
    </row>
    <row r="1533" spans="1:1">
      <c r="A1533" s="122" t="s">
        <v>1338</v>
      </c>
    </row>
    <row r="1534" spans="1:1">
      <c r="A1534" s="121" t="s">
        <v>1338</v>
      </c>
    </row>
    <row r="1535" spans="1:1">
      <c r="A1535" s="121" t="s">
        <v>1339</v>
      </c>
    </row>
    <row r="1536" spans="1:1">
      <c r="A1536" s="122" t="s">
        <v>1340</v>
      </c>
    </row>
    <row r="1537" spans="1:1">
      <c r="A1537" s="121" t="s">
        <v>1341</v>
      </c>
    </row>
    <row r="1538" spans="1:1">
      <c r="A1538" s="121" t="s">
        <v>1342</v>
      </c>
    </row>
    <row r="1539" spans="1:1">
      <c r="A1539" s="122" t="s">
        <v>1343</v>
      </c>
    </row>
    <row r="1540" spans="1:1">
      <c r="A1540" s="121" t="s">
        <v>1343</v>
      </c>
    </row>
    <row r="1541" spans="1:1">
      <c r="A1541" s="121" t="s">
        <v>1344</v>
      </c>
    </row>
    <row r="1542" spans="1:1">
      <c r="A1542" s="122" t="s">
        <v>1345</v>
      </c>
    </row>
    <row r="1543" spans="1:1">
      <c r="A1543" s="121" t="s">
        <v>1346</v>
      </c>
    </row>
    <row r="1544" spans="1:1">
      <c r="A1544" s="121" t="s">
        <v>1347</v>
      </c>
    </row>
    <row r="1545" spans="1:1">
      <c r="A1545" s="122" t="s">
        <v>1348</v>
      </c>
    </row>
    <row r="1546" spans="1:1">
      <c r="A1546" s="121" t="s">
        <v>1348</v>
      </c>
    </row>
    <row r="1547" spans="1:1">
      <c r="A1547" s="121" t="s">
        <v>1349</v>
      </c>
    </row>
    <row r="1548" spans="1:1">
      <c r="A1548" s="122" t="s">
        <v>1350</v>
      </c>
    </row>
    <row r="1549" spans="1:1">
      <c r="A1549" s="121" t="s">
        <v>1351</v>
      </c>
    </row>
    <row r="1550" spans="1:1">
      <c r="A1550" s="121" t="s">
        <v>1352</v>
      </c>
    </row>
    <row r="1551" spans="1:1">
      <c r="A1551" s="122" t="s">
        <v>1353</v>
      </c>
    </row>
    <row r="1552" spans="1:1">
      <c r="A1552" s="121" t="s">
        <v>1353</v>
      </c>
    </row>
    <row r="1553" spans="1:1">
      <c r="A1553" s="121" t="s">
        <v>1354</v>
      </c>
    </row>
    <row r="1554" spans="1:1">
      <c r="A1554" s="122" t="s">
        <v>1355</v>
      </c>
    </row>
    <row r="1555" spans="1:1">
      <c r="A1555" s="121" t="s">
        <v>1355</v>
      </c>
    </row>
    <row r="1556" spans="1:1">
      <c r="A1556" s="121" t="s">
        <v>1356</v>
      </c>
    </row>
    <row r="1557" spans="1:1">
      <c r="A1557" s="122" t="s">
        <v>1357</v>
      </c>
    </row>
    <row r="1558" spans="1:1">
      <c r="A1558" s="121" t="s">
        <v>1358</v>
      </c>
    </row>
    <row r="1559" spans="1:1">
      <c r="A1559" s="121" t="s">
        <v>1359</v>
      </c>
    </row>
    <row r="1560" spans="1:1">
      <c r="A1560" s="122" t="s">
        <v>1360</v>
      </c>
    </row>
    <row r="1561" spans="1:1">
      <c r="A1561" s="121" t="s">
        <v>1361</v>
      </c>
    </row>
    <row r="1562" spans="1:1">
      <c r="A1562" s="121" t="s">
        <v>1362</v>
      </c>
    </row>
    <row r="1563" spans="1:1">
      <c r="A1563" s="122" t="s">
        <v>1363</v>
      </c>
    </row>
    <row r="1564" spans="1:1">
      <c r="A1564" s="121" t="s">
        <v>1364</v>
      </c>
    </row>
    <row r="1565" spans="1:1">
      <c r="A1565" s="121" t="s">
        <v>1365</v>
      </c>
    </row>
    <row r="1566" spans="1:1">
      <c r="A1566" s="122" t="s">
        <v>1366</v>
      </c>
    </row>
    <row r="1567" spans="1:1">
      <c r="A1567" s="121" t="s">
        <v>1366</v>
      </c>
    </row>
    <row r="1568" spans="1:1">
      <c r="A1568" s="121" t="s">
        <v>1367</v>
      </c>
    </row>
    <row r="1569" spans="1:1">
      <c r="A1569" s="122" t="s">
        <v>1368</v>
      </c>
    </row>
    <row r="1570" spans="1:1">
      <c r="A1570" s="121" t="s">
        <v>1368</v>
      </c>
    </row>
    <row r="1571" spans="1:1">
      <c r="A1571" s="121" t="s">
        <v>1369</v>
      </c>
    </row>
    <row r="1572" spans="1:1">
      <c r="A1572" s="122" t="s">
        <v>1370</v>
      </c>
    </row>
    <row r="1573" spans="1:1">
      <c r="A1573" s="121" t="s">
        <v>1370</v>
      </c>
    </row>
    <row r="1574" spans="1:1">
      <c r="A1574" s="121" t="s">
        <v>1371</v>
      </c>
    </row>
    <row r="1575" spans="1:1">
      <c r="A1575" s="122" t="s">
        <v>1372</v>
      </c>
    </row>
    <row r="1576" spans="1:1">
      <c r="A1576" s="121" t="s">
        <v>1372</v>
      </c>
    </row>
    <row r="1577" spans="1:1">
      <c r="A1577" s="121" t="s">
        <v>1373</v>
      </c>
    </row>
    <row r="1578" spans="1:1">
      <c r="A1578" s="122" t="s">
        <v>1374</v>
      </c>
    </row>
    <row r="1579" spans="1:1">
      <c r="A1579" s="121" t="s">
        <v>1374</v>
      </c>
    </row>
    <row r="1580" spans="1:1">
      <c r="A1580" s="136" t="s">
        <v>465</v>
      </c>
    </row>
    <row r="1581" spans="1:1">
      <c r="A1581" s="136" t="s">
        <v>1375</v>
      </c>
    </row>
    <row r="1582" spans="1:1">
      <c r="A1582" s="114" t="s">
        <v>1376</v>
      </c>
    </row>
    <row r="1583" spans="1:1">
      <c r="A1583" s="124" t="s">
        <v>1377</v>
      </c>
    </row>
    <row r="1584" spans="1:1">
      <c r="A1584" s="114" t="s">
        <v>943</v>
      </c>
    </row>
    <row r="1585" spans="1:1">
      <c r="A1585" s="114" t="s">
        <v>468</v>
      </c>
    </row>
    <row r="1588" spans="1:1">
      <c r="A1588" s="132" t="s">
        <v>402</v>
      </c>
    </row>
    <row r="1589" spans="1:1">
      <c r="A1589" s="133" t="s">
        <v>921</v>
      </c>
    </row>
    <row r="1590" spans="1:1">
      <c r="A1590" s="133" t="s">
        <v>922</v>
      </c>
    </row>
    <row r="1591" spans="1:1">
      <c r="A1591" s="133" t="s">
        <v>379</v>
      </c>
    </row>
    <row r="1592" spans="1:1">
      <c r="A1592" s="133" t="s">
        <v>380</v>
      </c>
    </row>
    <row r="1593" spans="1:1">
      <c r="A1593" s="133" t="s">
        <v>381</v>
      </c>
    </row>
    <row r="1594" spans="1:1">
      <c r="A1594" s="134" t="s">
        <v>403</v>
      </c>
    </row>
    <row r="1595" spans="1:1">
      <c r="A1595" s="114">
        <v>47</v>
      </c>
    </row>
    <row r="1596" spans="1:1">
      <c r="A1596" s="134" t="s">
        <v>923</v>
      </c>
    </row>
    <row r="1597" spans="1:1">
      <c r="A1597" s="132" t="s">
        <v>382</v>
      </c>
    </row>
    <row r="1598" spans="1:1">
      <c r="A1598" s="129" t="s">
        <v>1169</v>
      </c>
    </row>
    <row r="1599" spans="1:1">
      <c r="A1599" s="129" t="s">
        <v>635</v>
      </c>
    </row>
    <row r="1600" spans="1:1">
      <c r="A1600" s="129" t="s">
        <v>1378</v>
      </c>
    </row>
    <row r="1601" spans="1:6">
      <c r="A1601" s="129" t="s">
        <v>637</v>
      </c>
    </row>
    <row r="1602" spans="1:6">
      <c r="A1602" s="114">
        <v>57</v>
      </c>
    </row>
    <row r="1603" spans="1:6">
      <c r="A1603" s="116" t="s">
        <v>409</v>
      </c>
    </row>
    <row r="1604" spans="1:6">
      <c r="A1604" s="116" t="s">
        <v>638</v>
      </c>
    </row>
    <row r="1605" spans="1:6">
      <c r="A1605" s="116" t="s">
        <v>639</v>
      </c>
    </row>
    <row r="1606" spans="1:6" ht="37">
      <c r="A1606" s="135" t="s">
        <v>640</v>
      </c>
    </row>
    <row r="1607" spans="1:6" ht="16">
      <c r="A1607" s="117"/>
      <c r="B1607" s="117"/>
      <c r="C1607" s="117"/>
      <c r="D1607" s="117"/>
      <c r="E1607" s="117"/>
      <c r="F1607" s="117"/>
    </row>
    <row r="1608" spans="1:6" ht="16">
      <c r="A1608" s="117" t="s">
        <v>412</v>
      </c>
      <c r="B1608" s="117" t="s">
        <v>472</v>
      </c>
      <c r="C1608" s="117" t="s">
        <v>1379</v>
      </c>
      <c r="D1608" s="117" t="s">
        <v>1380</v>
      </c>
      <c r="E1608" s="117" t="s">
        <v>1381</v>
      </c>
      <c r="F1608" s="118">
        <v>4700.8500000000004</v>
      </c>
    </row>
    <row r="1609" spans="1:6" ht="16">
      <c r="A1609" s="117" t="s">
        <v>416</v>
      </c>
      <c r="B1609" s="117" t="s">
        <v>475</v>
      </c>
      <c r="C1609" s="117" t="s">
        <v>418</v>
      </c>
      <c r="D1609" s="117" t="s">
        <v>418</v>
      </c>
      <c r="E1609" s="117" t="s">
        <v>418</v>
      </c>
      <c r="F1609" s="118">
        <v>0</v>
      </c>
    </row>
    <row r="1610" spans="1:6" ht="16">
      <c r="A1610" s="117" t="s">
        <v>477</v>
      </c>
      <c r="B1610" s="117" t="s">
        <v>1382</v>
      </c>
      <c r="C1610" s="117" t="s">
        <v>1383</v>
      </c>
      <c r="D1610" s="117" t="s">
        <v>1384</v>
      </c>
      <c r="E1610" s="117" t="s">
        <v>1385</v>
      </c>
      <c r="F1610" s="118">
        <v>-470866.17</v>
      </c>
    </row>
    <row r="1611" spans="1:6" ht="16">
      <c r="A1611" s="117"/>
      <c r="B1611" s="117"/>
      <c r="C1611" s="117" t="s">
        <v>1386</v>
      </c>
      <c r="D1611" s="117"/>
      <c r="E1611" s="117"/>
      <c r="F1611" s="117"/>
    </row>
    <row r="1613" spans="1:6" ht="16">
      <c r="A1613" s="137" t="s">
        <v>352</v>
      </c>
    </row>
    <row r="1614" spans="1:6">
      <c r="A1614" s="115" t="s">
        <v>482</v>
      </c>
    </row>
    <row r="1615" spans="1:6">
      <c r="A1615" s="115" t="s">
        <v>483</v>
      </c>
    </row>
    <row r="1616" spans="1:6">
      <c r="A1616" s="115" t="s">
        <v>1387</v>
      </c>
    </row>
    <row r="1617" spans="1:1">
      <c r="A1617" s="115" t="s">
        <v>421</v>
      </c>
    </row>
    <row r="1618" spans="1:1">
      <c r="A1618" s="114" t="s">
        <v>1388</v>
      </c>
    </row>
    <row r="1619" spans="1:1">
      <c r="A1619" s="120" t="s">
        <v>388</v>
      </c>
    </row>
    <row r="1620" spans="1:1">
      <c r="A1620" s="121" t="s">
        <v>1389</v>
      </c>
    </row>
    <row r="1621" spans="1:1">
      <c r="A1621" s="122" t="s">
        <v>1390</v>
      </c>
    </row>
    <row r="1622" spans="1:1">
      <c r="A1622" s="121" t="s">
        <v>973</v>
      </c>
    </row>
    <row r="1623" spans="1:1">
      <c r="A1623" s="121" t="s">
        <v>1391</v>
      </c>
    </row>
    <row r="1624" spans="1:1">
      <c r="A1624" s="122" t="s">
        <v>1391</v>
      </c>
    </row>
    <row r="1625" spans="1:1">
      <c r="A1625" s="121" t="s">
        <v>367</v>
      </c>
    </row>
    <row r="1626" spans="1:1">
      <c r="A1626" s="122" t="s">
        <v>1392</v>
      </c>
    </row>
    <row r="1627" spans="1:1">
      <c r="A1627" s="121" t="s">
        <v>991</v>
      </c>
    </row>
    <row r="1628" spans="1:1">
      <c r="A1628" s="121" t="s">
        <v>1393</v>
      </c>
    </row>
    <row r="1629" spans="1:1">
      <c r="A1629" s="122" t="s">
        <v>1393</v>
      </c>
    </row>
    <row r="1630" spans="1:1">
      <c r="A1630" s="121" t="s">
        <v>1394</v>
      </c>
    </row>
    <row r="1631" spans="1:1">
      <c r="A1631" s="122" t="s">
        <v>1395</v>
      </c>
    </row>
    <row r="1632" spans="1:1">
      <c r="A1632" s="122" t="s">
        <v>973</v>
      </c>
    </row>
    <row r="1633" spans="1:1">
      <c r="A1633" s="121" t="s">
        <v>1396</v>
      </c>
    </row>
    <row r="1634" spans="1:1">
      <c r="A1634" s="122" t="s">
        <v>1396</v>
      </c>
    </row>
    <row r="1635" spans="1:1">
      <c r="A1635" s="121" t="s">
        <v>369</v>
      </c>
    </row>
    <row r="1636" spans="1:1">
      <c r="A1636" s="122" t="s">
        <v>1397</v>
      </c>
    </row>
    <row r="1637" spans="1:1">
      <c r="A1637" s="121" t="s">
        <v>991</v>
      </c>
    </row>
    <row r="1638" spans="1:1">
      <c r="A1638" s="121" t="s">
        <v>1398</v>
      </c>
    </row>
    <row r="1639" spans="1:1">
      <c r="A1639" s="122" t="s">
        <v>1398</v>
      </c>
    </row>
    <row r="1640" spans="1:1">
      <c r="A1640" s="121" t="s">
        <v>1399</v>
      </c>
    </row>
    <row r="1641" spans="1:1">
      <c r="A1641" s="124" t="s">
        <v>803</v>
      </c>
    </row>
    <row r="1642" spans="1:1">
      <c r="A1642" s="114" t="s">
        <v>943</v>
      </c>
    </row>
    <row r="1643" spans="1:1">
      <c r="A1643" s="114" t="s">
        <v>944</v>
      </c>
    </row>
    <row r="1644" spans="1:1">
      <c r="A1644" s="133" t="s">
        <v>922</v>
      </c>
    </row>
    <row r="1645" spans="1:1">
      <c r="A1645" s="133" t="s">
        <v>379</v>
      </c>
    </row>
    <row r="1646" spans="1:1">
      <c r="A1646" s="133" t="s">
        <v>380</v>
      </c>
    </row>
    <row r="1647" spans="1:1">
      <c r="A1647" s="133" t="s">
        <v>381</v>
      </c>
    </row>
    <row r="1648" spans="1:1">
      <c r="A1648" s="129" t="s">
        <v>1169</v>
      </c>
    </row>
    <row r="1649" spans="1:1">
      <c r="A1649" s="129" t="s">
        <v>635</v>
      </c>
    </row>
    <row r="1650" spans="1:1">
      <c r="A1650" s="129" t="s">
        <v>1378</v>
      </c>
    </row>
    <row r="1651" spans="1:1">
      <c r="A1651" s="129" t="s">
        <v>637</v>
      </c>
    </row>
    <row r="1652" spans="1:1">
      <c r="A1652" s="120" t="s">
        <v>388</v>
      </c>
    </row>
    <row r="1653" spans="1:1">
      <c r="A1653" s="122" t="s">
        <v>1400</v>
      </c>
    </row>
    <row r="1654" spans="1:1">
      <c r="A1654" s="121" t="s">
        <v>973</v>
      </c>
    </row>
    <row r="1655" spans="1:1">
      <c r="A1655" s="122" t="s">
        <v>1401</v>
      </c>
    </row>
    <row r="1656" spans="1:1">
      <c r="A1656" s="121" t="s">
        <v>1401</v>
      </c>
    </row>
    <row r="1657" spans="1:1">
      <c r="A1657" s="121" t="s">
        <v>389</v>
      </c>
    </row>
    <row r="1658" spans="1:1">
      <c r="A1658" s="122" t="s">
        <v>1402</v>
      </c>
    </row>
    <row r="1659" spans="1:1">
      <c r="A1659" s="122" t="s">
        <v>991</v>
      </c>
    </row>
    <row r="1660" spans="1:1">
      <c r="A1660" s="122" t="s">
        <v>1403</v>
      </c>
    </row>
    <row r="1661" spans="1:1">
      <c r="A1661" s="121" t="s">
        <v>1403</v>
      </c>
    </row>
    <row r="1662" spans="1:1">
      <c r="A1662" s="121" t="s">
        <v>1404</v>
      </c>
    </row>
    <row r="1663" spans="1:1">
      <c r="A1663" s="122" t="s">
        <v>1405</v>
      </c>
    </row>
    <row r="1664" spans="1:1">
      <c r="A1664" s="121" t="s">
        <v>973</v>
      </c>
    </row>
    <row r="1665" spans="1:1">
      <c r="A1665" s="122" t="s">
        <v>1406</v>
      </c>
    </row>
    <row r="1666" spans="1:1">
      <c r="A1666" s="121" t="s">
        <v>1406</v>
      </c>
    </row>
    <row r="1667" spans="1:1">
      <c r="A1667" s="121" t="s">
        <v>391</v>
      </c>
    </row>
    <row r="1668" spans="1:1">
      <c r="A1668" s="122" t="s">
        <v>1407</v>
      </c>
    </row>
    <row r="1669" spans="1:1">
      <c r="A1669" s="122" t="s">
        <v>991</v>
      </c>
    </row>
    <row r="1670" spans="1:1">
      <c r="A1670" s="121" t="s">
        <v>1408</v>
      </c>
    </row>
    <row r="1671" spans="1:1">
      <c r="A1671" s="122" t="s">
        <v>1408</v>
      </c>
    </row>
    <row r="1672" spans="1:1">
      <c r="A1672" s="121" t="s">
        <v>1409</v>
      </c>
    </row>
    <row r="1673" spans="1:1">
      <c r="A1673" s="121" t="s">
        <v>1410</v>
      </c>
    </row>
    <row r="1674" spans="1:1">
      <c r="A1674" s="122" t="s">
        <v>1410</v>
      </c>
    </row>
    <row r="1675" spans="1:1">
      <c r="A1675" s="121" t="s">
        <v>1411</v>
      </c>
    </row>
    <row r="1676" spans="1:1">
      <c r="A1676" s="121" t="s">
        <v>1412</v>
      </c>
    </row>
    <row r="1677" spans="1:1">
      <c r="A1677" s="121" t="s">
        <v>393</v>
      </c>
    </row>
    <row r="1678" spans="1:1">
      <c r="A1678" s="122" t="s">
        <v>393</v>
      </c>
    </row>
    <row r="1679" spans="1:1">
      <c r="A1679" s="121" t="s">
        <v>1413</v>
      </c>
    </row>
    <row r="1680" spans="1:1">
      <c r="A1680" s="121" t="s">
        <v>1414</v>
      </c>
    </row>
    <row r="1681" spans="1:1">
      <c r="A1681" s="121" t="s">
        <v>1415</v>
      </c>
    </row>
    <row r="1682" spans="1:1">
      <c r="A1682" s="122" t="s">
        <v>1415</v>
      </c>
    </row>
    <row r="1683" spans="1:1">
      <c r="A1683" s="121" t="s">
        <v>1416</v>
      </c>
    </row>
    <row r="1684" spans="1:1">
      <c r="A1684" s="121" t="s">
        <v>1417</v>
      </c>
    </row>
    <row r="1685" spans="1:1">
      <c r="A1685" s="121" t="s">
        <v>1073</v>
      </c>
    </row>
    <row r="1686" spans="1:1">
      <c r="A1686" s="122" t="s">
        <v>1073</v>
      </c>
    </row>
    <row r="1687" spans="1:1">
      <c r="A1687" s="121" t="s">
        <v>1418</v>
      </c>
    </row>
    <row r="1688" spans="1:1">
      <c r="A1688" s="121" t="s">
        <v>1419</v>
      </c>
    </row>
    <row r="1689" spans="1:1">
      <c r="A1689" s="121" t="s">
        <v>1420</v>
      </c>
    </row>
    <row r="1690" spans="1:1">
      <c r="A1690" s="122" t="s">
        <v>1421</v>
      </c>
    </row>
    <row r="1691" spans="1:1">
      <c r="A1691" s="121" t="s">
        <v>1422</v>
      </c>
    </row>
    <row r="1692" spans="1:1">
      <c r="A1692" s="121" t="s">
        <v>1423</v>
      </c>
    </row>
    <row r="1693" spans="1:1">
      <c r="A1693" s="121" t="s">
        <v>1424</v>
      </c>
    </row>
    <row r="1694" spans="1:1">
      <c r="A1694" s="122" t="s">
        <v>1425</v>
      </c>
    </row>
    <row r="1695" spans="1:1">
      <c r="A1695" s="121" t="s">
        <v>1426</v>
      </c>
    </row>
    <row r="1696" spans="1:1">
      <c r="A1696" s="121" t="s">
        <v>1427</v>
      </c>
    </row>
    <row r="1697" spans="1:1">
      <c r="A1697" s="121" t="s">
        <v>1428</v>
      </c>
    </row>
    <row r="1698" spans="1:1">
      <c r="A1698" s="122" t="s">
        <v>1428</v>
      </c>
    </row>
    <row r="1699" spans="1:1">
      <c r="A1699" s="121" t="s">
        <v>1429</v>
      </c>
    </row>
    <row r="1700" spans="1:1">
      <c r="A1700" s="136" t="s">
        <v>465</v>
      </c>
    </row>
    <row r="1701" spans="1:1">
      <c r="A1701" s="136" t="s">
        <v>1430</v>
      </c>
    </row>
    <row r="1702" spans="1:1">
      <c r="A1702" s="115" t="s">
        <v>569</v>
      </c>
    </row>
    <row r="1703" spans="1:1">
      <c r="A1703" s="115" t="s">
        <v>570</v>
      </c>
    </row>
    <row r="1704" spans="1:1">
      <c r="A1704" s="115" t="s">
        <v>1387</v>
      </c>
    </row>
    <row r="1705" spans="1:1">
      <c r="A1705" s="115" t="s">
        <v>433</v>
      </c>
    </row>
    <row r="1706" spans="1:1">
      <c r="A1706" s="120" t="s">
        <v>388</v>
      </c>
    </row>
    <row r="1707" spans="1:1">
      <c r="A1707" s="121" t="s">
        <v>434</v>
      </c>
    </row>
    <row r="1708" spans="1:1">
      <c r="A1708" s="122" t="s">
        <v>1431</v>
      </c>
    </row>
    <row r="1709" spans="1:1">
      <c r="A1709" s="121" t="s">
        <v>1431</v>
      </c>
    </row>
    <row r="1710" spans="1:1">
      <c r="A1710" s="121" t="s">
        <v>435</v>
      </c>
    </row>
    <row r="1711" spans="1:1">
      <c r="A1711" s="114" t="s">
        <v>1432</v>
      </c>
    </row>
    <row r="1712" spans="1:1">
      <c r="A1712" s="124" t="s">
        <v>862</v>
      </c>
    </row>
    <row r="1713" spans="1:1">
      <c r="A1713" s="114" t="s">
        <v>943</v>
      </c>
    </row>
    <row r="1714" spans="1:1">
      <c r="A1714" s="114" t="s">
        <v>944</v>
      </c>
    </row>
    <row r="1715" spans="1:1">
      <c r="A1715" s="133" t="s">
        <v>922</v>
      </c>
    </row>
    <row r="1716" spans="1:1">
      <c r="A1716" s="133" t="s">
        <v>379</v>
      </c>
    </row>
    <row r="1717" spans="1:1">
      <c r="A1717" s="133" t="s">
        <v>380</v>
      </c>
    </row>
    <row r="1718" spans="1:1">
      <c r="A1718" s="133" t="s">
        <v>381</v>
      </c>
    </row>
    <row r="1719" spans="1:1">
      <c r="A1719" s="129" t="s">
        <v>1169</v>
      </c>
    </row>
    <row r="1720" spans="1:1">
      <c r="A1720" s="129" t="s">
        <v>635</v>
      </c>
    </row>
    <row r="1721" spans="1:1">
      <c r="A1721" s="129" t="s">
        <v>1378</v>
      </c>
    </row>
    <row r="1722" spans="1:1">
      <c r="A1722" s="129" t="s">
        <v>637</v>
      </c>
    </row>
    <row r="1723" spans="1:1">
      <c r="A1723" s="115" t="s">
        <v>436</v>
      </c>
    </row>
    <row r="1724" spans="1:1">
      <c r="A1724" s="115" t="s">
        <v>1289</v>
      </c>
    </row>
    <row r="1725" spans="1:1">
      <c r="A1725" s="115" t="s">
        <v>1290</v>
      </c>
    </row>
    <row r="1726" spans="1:1">
      <c r="A1726" s="115" t="s">
        <v>1387</v>
      </c>
    </row>
    <row r="1727" spans="1:1">
      <c r="A1727" s="115" t="s">
        <v>1433</v>
      </c>
    </row>
    <row r="1728" spans="1:1">
      <c r="A1728" s="120" t="s">
        <v>388</v>
      </c>
    </row>
    <row r="1729" spans="1:1">
      <c r="A1729" s="121" t="s">
        <v>1434</v>
      </c>
    </row>
    <row r="1730" spans="1:1">
      <c r="A1730" s="122" t="s">
        <v>1435</v>
      </c>
    </row>
    <row r="1731" spans="1:1">
      <c r="A1731" s="121" t="s">
        <v>1435</v>
      </c>
    </row>
    <row r="1732" spans="1:1">
      <c r="A1732" s="121" t="s">
        <v>1436</v>
      </c>
    </row>
    <row r="1733" spans="1:1">
      <c r="A1733" s="122" t="s">
        <v>1437</v>
      </c>
    </row>
    <row r="1734" spans="1:1">
      <c r="A1734" s="121" t="s">
        <v>1437</v>
      </c>
    </row>
    <row r="1735" spans="1:1">
      <c r="A1735" s="121" t="s">
        <v>1438</v>
      </c>
    </row>
    <row r="1736" spans="1:1">
      <c r="A1736" s="122" t="s">
        <v>1439</v>
      </c>
    </row>
    <row r="1737" spans="1:1">
      <c r="A1737" s="121" t="s">
        <v>1439</v>
      </c>
    </row>
    <row r="1738" spans="1:1">
      <c r="A1738" s="121" t="s">
        <v>1440</v>
      </c>
    </row>
    <row r="1739" spans="1:1">
      <c r="A1739" s="122" t="s">
        <v>1441</v>
      </c>
    </row>
    <row r="1740" spans="1:1">
      <c r="A1740" s="121" t="s">
        <v>1441</v>
      </c>
    </row>
    <row r="1741" spans="1:1">
      <c r="A1741" s="121" t="s">
        <v>1442</v>
      </c>
    </row>
    <row r="1742" spans="1:1">
      <c r="A1742" s="122" t="s">
        <v>1443</v>
      </c>
    </row>
    <row r="1743" spans="1:1">
      <c r="A1743" s="121" t="s">
        <v>1443</v>
      </c>
    </row>
    <row r="1744" spans="1:1">
      <c r="A1744" s="121" t="s">
        <v>1444</v>
      </c>
    </row>
    <row r="1745" spans="1:1">
      <c r="A1745" s="122" t="s">
        <v>1445</v>
      </c>
    </row>
    <row r="1746" spans="1:1">
      <c r="A1746" s="121" t="s">
        <v>1445</v>
      </c>
    </row>
    <row r="1747" spans="1:1">
      <c r="A1747" s="121" t="s">
        <v>1446</v>
      </c>
    </row>
    <row r="1748" spans="1:1">
      <c r="A1748" s="122" t="s">
        <v>1447</v>
      </c>
    </row>
    <row r="1749" spans="1:1">
      <c r="A1749" s="121" t="s">
        <v>1447</v>
      </c>
    </row>
    <row r="1750" spans="1:1">
      <c r="A1750" s="121" t="s">
        <v>1448</v>
      </c>
    </row>
    <row r="1751" spans="1:1">
      <c r="A1751" s="122" t="s">
        <v>1449</v>
      </c>
    </row>
    <row r="1752" spans="1:1">
      <c r="A1752" s="121" t="s">
        <v>1450</v>
      </c>
    </row>
    <row r="1753" spans="1:1">
      <c r="A1753" s="121" t="s">
        <v>1451</v>
      </c>
    </row>
    <row r="1754" spans="1:1">
      <c r="A1754" s="136" t="s">
        <v>465</v>
      </c>
    </row>
    <row r="1755" spans="1:1">
      <c r="A1755" s="136" t="s">
        <v>1452</v>
      </c>
    </row>
    <row r="1756" spans="1:1">
      <c r="A1756" s="115" t="s">
        <v>436</v>
      </c>
    </row>
    <row r="1757" spans="1:1">
      <c r="A1757" s="114" t="s">
        <v>1453</v>
      </c>
    </row>
    <row r="1758" spans="1:1">
      <c r="A1758" s="115" t="s">
        <v>1331</v>
      </c>
    </row>
    <row r="1759" spans="1:1">
      <c r="A1759" s="115" t="s">
        <v>1332</v>
      </c>
    </row>
    <row r="1760" spans="1:1">
      <c r="A1760" s="115" t="s">
        <v>1387</v>
      </c>
    </row>
    <row r="1761" spans="1:1">
      <c r="A1761" s="115" t="s">
        <v>1333</v>
      </c>
    </row>
    <row r="1762" spans="1:1">
      <c r="A1762" s="120" t="s">
        <v>388</v>
      </c>
    </row>
    <row r="1763" spans="1:1">
      <c r="A1763" s="121" t="s">
        <v>1454</v>
      </c>
    </row>
    <row r="1764" spans="1:1">
      <c r="A1764" s="122" t="s">
        <v>1455</v>
      </c>
    </row>
    <row r="1765" spans="1:1">
      <c r="A1765" s="121" t="s">
        <v>1455</v>
      </c>
    </row>
    <row r="1766" spans="1:1">
      <c r="A1766" s="121" t="s">
        <v>1456</v>
      </c>
    </row>
    <row r="1767" spans="1:1">
      <c r="A1767" s="122" t="s">
        <v>1457</v>
      </c>
    </row>
    <row r="1768" spans="1:1">
      <c r="A1768" s="121" t="s">
        <v>1457</v>
      </c>
    </row>
    <row r="1769" spans="1:1">
      <c r="A1769" s="121" t="s">
        <v>1458</v>
      </c>
    </row>
    <row r="1770" spans="1:1">
      <c r="A1770" s="122" t="s">
        <v>1459</v>
      </c>
    </row>
    <row r="1771" spans="1:1">
      <c r="A1771" s="121" t="s">
        <v>1459</v>
      </c>
    </row>
    <row r="1772" spans="1:1">
      <c r="A1772" s="121" t="s">
        <v>1460</v>
      </c>
    </row>
    <row r="1773" spans="1:1">
      <c r="A1773" s="122" t="s">
        <v>1461</v>
      </c>
    </row>
    <row r="1774" spans="1:1">
      <c r="A1774" s="121" t="s">
        <v>1461</v>
      </c>
    </row>
    <row r="1775" spans="1:1">
      <c r="A1775" s="121" t="s">
        <v>1462</v>
      </c>
    </row>
    <row r="1776" spans="1:1">
      <c r="A1776" s="122" t="s">
        <v>1463</v>
      </c>
    </row>
    <row r="1777" spans="1:1">
      <c r="A1777" s="121" t="s">
        <v>1463</v>
      </c>
    </row>
    <row r="1778" spans="1:1">
      <c r="A1778" s="121" t="s">
        <v>1464</v>
      </c>
    </row>
    <row r="1779" spans="1:1">
      <c r="A1779" s="122" t="s">
        <v>1465</v>
      </c>
    </row>
    <row r="1780" spans="1:1">
      <c r="A1780" s="121" t="s">
        <v>1465</v>
      </c>
    </row>
    <row r="1781" spans="1:1">
      <c r="A1781" s="121" t="s">
        <v>1466</v>
      </c>
    </row>
    <row r="1782" spans="1:1">
      <c r="A1782" s="122" t="s">
        <v>1467</v>
      </c>
    </row>
    <row r="1783" spans="1:1">
      <c r="A1783" s="121" t="s">
        <v>1468</v>
      </c>
    </row>
    <row r="1784" spans="1:1">
      <c r="A1784" s="121" t="s">
        <v>1469</v>
      </c>
    </row>
    <row r="1785" spans="1:1">
      <c r="A1785" s="124" t="s">
        <v>1083</v>
      </c>
    </row>
    <row r="1786" spans="1:1">
      <c r="A1786" s="114" t="s">
        <v>943</v>
      </c>
    </row>
    <row r="1787" spans="1:1">
      <c r="A1787" s="114" t="s">
        <v>944</v>
      </c>
    </row>
    <row r="1788" spans="1:1">
      <c r="A1788" s="133" t="s">
        <v>922</v>
      </c>
    </row>
    <row r="1789" spans="1:1">
      <c r="A1789" s="133" t="s">
        <v>379</v>
      </c>
    </row>
    <row r="1790" spans="1:1">
      <c r="A1790" s="133" t="s">
        <v>380</v>
      </c>
    </row>
    <row r="1791" spans="1:1">
      <c r="A1791" s="133" t="s">
        <v>381</v>
      </c>
    </row>
    <row r="1792" spans="1:1">
      <c r="A1792" s="129" t="s">
        <v>1169</v>
      </c>
    </row>
    <row r="1793" spans="1:1">
      <c r="A1793" s="129" t="s">
        <v>635</v>
      </c>
    </row>
    <row r="1794" spans="1:1">
      <c r="A1794" s="129" t="s">
        <v>1378</v>
      </c>
    </row>
    <row r="1795" spans="1:1">
      <c r="A1795" s="129" t="s">
        <v>637</v>
      </c>
    </row>
    <row r="1796" spans="1:1">
      <c r="A1796" s="120" t="s">
        <v>388</v>
      </c>
    </row>
    <row r="1797" spans="1:1">
      <c r="A1797" s="122" t="s">
        <v>1470</v>
      </c>
    </row>
    <row r="1798" spans="1:1">
      <c r="A1798" s="121" t="s">
        <v>1470</v>
      </c>
    </row>
    <row r="1799" spans="1:1">
      <c r="A1799" s="136" t="s">
        <v>465</v>
      </c>
    </row>
    <row r="1800" spans="1:1">
      <c r="A1800" s="136" t="s">
        <v>1471</v>
      </c>
    </row>
    <row r="1801" spans="1:1">
      <c r="A1801" s="114" t="s">
        <v>1472</v>
      </c>
    </row>
    <row r="1802" spans="1:1">
      <c r="A1802" s="124" t="s">
        <v>920</v>
      </c>
    </row>
    <row r="1803" spans="1:1">
      <c r="A1803" s="114" t="s">
        <v>943</v>
      </c>
    </row>
    <row r="1804" spans="1:1">
      <c r="A1804" s="114" t="s">
        <v>468</v>
      </c>
    </row>
    <row r="1807" spans="1:1">
      <c r="A1807" s="132" t="s">
        <v>402</v>
      </c>
    </row>
    <row r="1808" spans="1:1">
      <c r="A1808" s="133" t="s">
        <v>921</v>
      </c>
    </row>
    <row r="1809" spans="1:1">
      <c r="A1809" s="133" t="s">
        <v>922</v>
      </c>
    </row>
    <row r="1810" spans="1:1">
      <c r="A1810" s="133" t="s">
        <v>379</v>
      </c>
    </row>
    <row r="1811" spans="1:1">
      <c r="A1811" s="133" t="s">
        <v>380</v>
      </c>
    </row>
    <row r="1812" spans="1:1">
      <c r="A1812" s="133" t="s">
        <v>381</v>
      </c>
    </row>
    <row r="1813" spans="1:1">
      <c r="A1813" s="134" t="s">
        <v>403</v>
      </c>
    </row>
    <row r="1814" spans="1:1">
      <c r="A1814" s="114">
        <v>47</v>
      </c>
    </row>
    <row r="1815" spans="1:1">
      <c r="A1815" s="134" t="s">
        <v>923</v>
      </c>
    </row>
    <row r="1816" spans="1:1">
      <c r="A1816" s="132" t="s">
        <v>382</v>
      </c>
    </row>
    <row r="1817" spans="1:1">
      <c r="A1817" s="129" t="s">
        <v>1169</v>
      </c>
    </row>
    <row r="1818" spans="1:1">
      <c r="A1818" s="129" t="s">
        <v>635</v>
      </c>
    </row>
    <row r="1819" spans="1:1">
      <c r="A1819" s="129" t="s">
        <v>1473</v>
      </c>
    </row>
    <row r="1820" spans="1:1">
      <c r="A1820" s="129" t="s">
        <v>637</v>
      </c>
    </row>
    <row r="1821" spans="1:1">
      <c r="A1821" s="114">
        <v>3774</v>
      </c>
    </row>
    <row r="1822" spans="1:1">
      <c r="A1822" s="116" t="s">
        <v>409</v>
      </c>
    </row>
    <row r="1823" spans="1:1">
      <c r="A1823" s="116" t="s">
        <v>638</v>
      </c>
    </row>
    <row r="1824" spans="1:1">
      <c r="A1824" s="116" t="s">
        <v>639</v>
      </c>
    </row>
    <row r="1825" spans="1:6" ht="37">
      <c r="A1825" s="135" t="s">
        <v>640</v>
      </c>
    </row>
    <row r="1826" spans="1:6" ht="16">
      <c r="A1826" s="117"/>
      <c r="B1826" s="117"/>
      <c r="C1826" s="117"/>
      <c r="D1826" s="117"/>
      <c r="E1826" s="117"/>
      <c r="F1826" s="117"/>
    </row>
    <row r="1827" spans="1:6" ht="16">
      <c r="A1827" s="117" t="s">
        <v>412</v>
      </c>
      <c r="B1827" s="117" t="s">
        <v>472</v>
      </c>
      <c r="C1827" s="117" t="s">
        <v>1474</v>
      </c>
      <c r="D1827" s="117" t="s">
        <v>1475</v>
      </c>
      <c r="E1827" s="117" t="s">
        <v>1476</v>
      </c>
      <c r="F1827" s="118">
        <v>7625.76</v>
      </c>
    </row>
    <row r="1828" spans="1:6" ht="16">
      <c r="A1828" s="117" t="s">
        <v>416</v>
      </c>
      <c r="B1828" s="117" t="s">
        <v>475</v>
      </c>
      <c r="C1828" s="117" t="s">
        <v>418</v>
      </c>
      <c r="D1828" s="117" t="s">
        <v>1477</v>
      </c>
      <c r="E1828" s="117" t="s">
        <v>1478</v>
      </c>
      <c r="F1828" s="118">
        <v>9106.9</v>
      </c>
    </row>
    <row r="1829" spans="1:6" ht="16">
      <c r="A1829" s="117" t="s">
        <v>477</v>
      </c>
      <c r="B1829" s="117" t="s">
        <v>1382</v>
      </c>
      <c r="C1829" s="117" t="s">
        <v>1479</v>
      </c>
      <c r="D1829" s="117" t="s">
        <v>1480</v>
      </c>
      <c r="E1829" s="117" t="s">
        <v>1481</v>
      </c>
      <c r="F1829" s="118">
        <v>-471555.78</v>
      </c>
    </row>
    <row r="1830" spans="1:6" ht="16">
      <c r="A1830" s="117"/>
      <c r="B1830" s="117"/>
      <c r="C1830" s="117" t="s">
        <v>1482</v>
      </c>
      <c r="D1830" s="117"/>
      <c r="E1830" s="117"/>
      <c r="F1830" s="117"/>
    </row>
    <row r="1832" spans="1:6" ht="16">
      <c r="A1832" s="137" t="s">
        <v>352</v>
      </c>
    </row>
    <row r="1833" spans="1:6">
      <c r="A1833" s="115" t="s">
        <v>482</v>
      </c>
    </row>
    <row r="1834" spans="1:6">
      <c r="A1834" s="115" t="s">
        <v>483</v>
      </c>
    </row>
    <row r="1835" spans="1:6">
      <c r="A1835" s="115" t="s">
        <v>1483</v>
      </c>
    </row>
    <row r="1836" spans="1:6">
      <c r="A1836" s="115" t="s">
        <v>421</v>
      </c>
    </row>
    <row r="1837" spans="1:6">
      <c r="A1837" s="114" t="s">
        <v>1484</v>
      </c>
    </row>
    <row r="1838" spans="1:6">
      <c r="A1838" s="120" t="s">
        <v>388</v>
      </c>
    </row>
    <row r="1839" spans="1:6">
      <c r="A1839" s="121" t="s">
        <v>1485</v>
      </c>
    </row>
    <row r="1840" spans="1:6">
      <c r="A1840" s="122" t="s">
        <v>1486</v>
      </c>
    </row>
    <row r="1841" spans="1:1">
      <c r="A1841" s="121" t="s">
        <v>973</v>
      </c>
    </row>
    <row r="1842" spans="1:1">
      <c r="A1842" s="122" t="s">
        <v>1487</v>
      </c>
    </row>
    <row r="1843" spans="1:1">
      <c r="A1843" s="121" t="s">
        <v>1487</v>
      </c>
    </row>
    <row r="1844" spans="1:1">
      <c r="A1844" s="122" t="s">
        <v>1488</v>
      </c>
    </row>
    <row r="1845" spans="1:1">
      <c r="A1845" s="121" t="s">
        <v>1488</v>
      </c>
    </row>
    <row r="1846" spans="1:1">
      <c r="A1846" s="122" t="s">
        <v>1489</v>
      </c>
    </row>
    <row r="1847" spans="1:1">
      <c r="A1847" s="121" t="s">
        <v>1489</v>
      </c>
    </row>
    <row r="1848" spans="1:1">
      <c r="A1848" s="122" t="s">
        <v>1488</v>
      </c>
    </row>
    <row r="1849" spans="1:1">
      <c r="A1849" s="121" t="s">
        <v>1488</v>
      </c>
    </row>
    <row r="1850" spans="1:1">
      <c r="A1850" s="122" t="s">
        <v>1490</v>
      </c>
    </row>
    <row r="1851" spans="1:1">
      <c r="A1851" s="121" t="s">
        <v>1490</v>
      </c>
    </row>
    <row r="1852" spans="1:1">
      <c r="A1852" s="121" t="s">
        <v>488</v>
      </c>
    </row>
    <row r="1853" spans="1:1">
      <c r="A1853" s="121" t="s">
        <v>1491</v>
      </c>
    </row>
    <row r="1854" spans="1:1">
      <c r="A1854" s="121" t="s">
        <v>991</v>
      </c>
    </row>
    <row r="1855" spans="1:1">
      <c r="A1855" s="121" t="s">
        <v>1492</v>
      </c>
    </row>
    <row r="1856" spans="1:1">
      <c r="A1856" s="122" t="s">
        <v>1492</v>
      </c>
    </row>
    <row r="1857" spans="1:1">
      <c r="A1857" s="121" t="s">
        <v>1488</v>
      </c>
    </row>
    <row r="1858" spans="1:1">
      <c r="A1858" s="122" t="s">
        <v>1488</v>
      </c>
    </row>
    <row r="1859" spans="1:1">
      <c r="A1859" s="121" t="s">
        <v>1493</v>
      </c>
    </row>
    <row r="1860" spans="1:1">
      <c r="A1860" s="122" t="s">
        <v>1493</v>
      </c>
    </row>
    <row r="1861" spans="1:1">
      <c r="A1861" s="121" t="s">
        <v>1488</v>
      </c>
    </row>
    <row r="1862" spans="1:1">
      <c r="A1862" s="122" t="s">
        <v>1488</v>
      </c>
    </row>
    <row r="1863" spans="1:1">
      <c r="A1863" s="121" t="s">
        <v>1494</v>
      </c>
    </row>
    <row r="1864" spans="1:1">
      <c r="A1864" s="122" t="s">
        <v>1494</v>
      </c>
    </row>
    <row r="1865" spans="1:1">
      <c r="A1865" s="121" t="s">
        <v>1495</v>
      </c>
    </row>
    <row r="1866" spans="1:1">
      <c r="A1866" s="122" t="s">
        <v>1496</v>
      </c>
    </row>
    <row r="1867" spans="1:1">
      <c r="A1867" s="122" t="s">
        <v>973</v>
      </c>
    </row>
    <row r="1868" spans="1:1">
      <c r="A1868" s="121" t="s">
        <v>1487</v>
      </c>
    </row>
    <row r="1869" spans="1:1">
      <c r="A1869" s="122" t="s">
        <v>1487</v>
      </c>
    </row>
    <row r="1870" spans="1:1">
      <c r="A1870" s="121" t="s">
        <v>1488</v>
      </c>
    </row>
    <row r="1871" spans="1:1">
      <c r="A1871" s="122" t="s">
        <v>1488</v>
      </c>
    </row>
    <row r="1872" spans="1:1">
      <c r="A1872" s="121" t="s">
        <v>1489</v>
      </c>
    </row>
    <row r="1873" spans="1:1">
      <c r="A1873" s="122" t="s">
        <v>1489</v>
      </c>
    </row>
    <row r="1874" spans="1:1">
      <c r="A1874" s="121" t="s">
        <v>1488</v>
      </c>
    </row>
    <row r="1875" spans="1:1">
      <c r="A1875" s="122" t="s">
        <v>1488</v>
      </c>
    </row>
    <row r="1876" spans="1:1">
      <c r="A1876" s="121" t="s">
        <v>1497</v>
      </c>
    </row>
    <row r="1877" spans="1:1">
      <c r="A1877" s="122" t="s">
        <v>1497</v>
      </c>
    </row>
    <row r="1878" spans="1:1">
      <c r="A1878" s="121" t="s">
        <v>807</v>
      </c>
    </row>
    <row r="1879" spans="1:1">
      <c r="A1879" s="121" t="s">
        <v>1498</v>
      </c>
    </row>
    <row r="1880" spans="1:1">
      <c r="A1880" s="123">
        <v>3687.49</v>
      </c>
    </row>
    <row r="1881" spans="1:1">
      <c r="A1881" s="121" t="s">
        <v>1499</v>
      </c>
    </row>
    <row r="1882" spans="1:1">
      <c r="A1882" s="124" t="s">
        <v>803</v>
      </c>
    </row>
    <row r="1883" spans="1:1">
      <c r="A1883" s="114" t="s">
        <v>943</v>
      </c>
    </row>
    <row r="1884" spans="1:1">
      <c r="A1884" s="114" t="s">
        <v>944</v>
      </c>
    </row>
    <row r="1885" spans="1:1">
      <c r="A1885" s="133" t="s">
        <v>922</v>
      </c>
    </row>
    <row r="1886" spans="1:1">
      <c r="A1886" s="133" t="s">
        <v>379</v>
      </c>
    </row>
    <row r="1887" spans="1:1">
      <c r="A1887" s="133" t="s">
        <v>380</v>
      </c>
    </row>
    <row r="1888" spans="1:1">
      <c r="A1888" s="133" t="s">
        <v>381</v>
      </c>
    </row>
    <row r="1889" spans="1:1">
      <c r="A1889" s="129" t="s">
        <v>1169</v>
      </c>
    </row>
    <row r="1890" spans="1:1">
      <c r="A1890" s="129" t="s">
        <v>635</v>
      </c>
    </row>
    <row r="1891" spans="1:1">
      <c r="A1891" s="129" t="s">
        <v>1473</v>
      </c>
    </row>
    <row r="1892" spans="1:1">
      <c r="A1892" s="129" t="s">
        <v>637</v>
      </c>
    </row>
    <row r="1893" spans="1:1">
      <c r="A1893" s="120" t="s">
        <v>388</v>
      </c>
    </row>
    <row r="1894" spans="1:1">
      <c r="A1894" s="122" t="s">
        <v>1500</v>
      </c>
    </row>
    <row r="1895" spans="1:1">
      <c r="A1895" s="121" t="s">
        <v>1501</v>
      </c>
    </row>
    <row r="1896" spans="1:1">
      <c r="A1896" s="121" t="s">
        <v>1502</v>
      </c>
    </row>
    <row r="1897" spans="1:1">
      <c r="A1897" s="122" t="s">
        <v>1502</v>
      </c>
    </row>
    <row r="1898" spans="1:1">
      <c r="A1898" s="121" t="s">
        <v>1503</v>
      </c>
    </row>
    <row r="1899" spans="1:1">
      <c r="A1899" s="121" t="s">
        <v>1492</v>
      </c>
    </row>
    <row r="1900" spans="1:1">
      <c r="A1900" s="121" t="s">
        <v>1488</v>
      </c>
    </row>
    <row r="1901" spans="1:1">
      <c r="A1901" s="121" t="s">
        <v>1493</v>
      </c>
    </row>
    <row r="1902" spans="1:1">
      <c r="A1902" s="121" t="s">
        <v>1488</v>
      </c>
    </row>
    <row r="1903" spans="1:1">
      <c r="A1903" s="121" t="s">
        <v>1504</v>
      </c>
    </row>
    <row r="1904" spans="1:1">
      <c r="A1904" s="121" t="s">
        <v>1505</v>
      </c>
    </row>
    <row r="1905" spans="1:1">
      <c r="A1905" s="122" t="s">
        <v>1506</v>
      </c>
    </row>
    <row r="1906" spans="1:1">
      <c r="A1906" s="121" t="s">
        <v>1507</v>
      </c>
    </row>
    <row r="1907" spans="1:1">
      <c r="A1907" s="121" t="s">
        <v>1508</v>
      </c>
    </row>
    <row r="1908" spans="1:1">
      <c r="A1908" s="121" t="s">
        <v>1509</v>
      </c>
    </row>
    <row r="1909" spans="1:1">
      <c r="A1909" s="122" t="s">
        <v>1509</v>
      </c>
    </row>
    <row r="1910" spans="1:1">
      <c r="A1910" s="121" t="s">
        <v>1510</v>
      </c>
    </row>
    <row r="1911" spans="1:1">
      <c r="A1911" s="121" t="s">
        <v>1487</v>
      </c>
    </row>
    <row r="1912" spans="1:1">
      <c r="A1912" s="121" t="s">
        <v>1488</v>
      </c>
    </row>
    <row r="1913" spans="1:1">
      <c r="A1913" s="121" t="s">
        <v>1489</v>
      </c>
    </row>
    <row r="1914" spans="1:1">
      <c r="A1914" s="121" t="s">
        <v>1488</v>
      </c>
    </row>
    <row r="1915" spans="1:1">
      <c r="A1915" s="121" t="s">
        <v>1511</v>
      </c>
    </row>
    <row r="1916" spans="1:1">
      <c r="A1916" s="121" t="s">
        <v>821</v>
      </c>
    </row>
    <row r="1917" spans="1:1">
      <c r="A1917" s="122" t="s">
        <v>821</v>
      </c>
    </row>
    <row r="1918" spans="1:1">
      <c r="A1918" s="121" t="s">
        <v>1512</v>
      </c>
    </row>
    <row r="1919" spans="1:1">
      <c r="A1919" s="122" t="s">
        <v>1513</v>
      </c>
    </row>
    <row r="1920" spans="1:1">
      <c r="A1920" s="121" t="s">
        <v>1513</v>
      </c>
    </row>
    <row r="1921" spans="1:1">
      <c r="A1921" s="121" t="s">
        <v>1514</v>
      </c>
    </row>
    <row r="1922" spans="1:1">
      <c r="A1922" s="121" t="s">
        <v>1515</v>
      </c>
    </row>
    <row r="1923" spans="1:1">
      <c r="A1923" s="122" t="s">
        <v>1516</v>
      </c>
    </row>
    <row r="1924" spans="1:1">
      <c r="A1924" s="122" t="s">
        <v>991</v>
      </c>
    </row>
    <row r="1925" spans="1:1">
      <c r="A1925" s="121" t="s">
        <v>1492</v>
      </c>
    </row>
    <row r="1926" spans="1:1">
      <c r="A1926" s="122" t="s">
        <v>1492</v>
      </c>
    </row>
    <row r="1927" spans="1:1">
      <c r="A1927" s="121" t="s">
        <v>1488</v>
      </c>
    </row>
    <row r="1928" spans="1:1">
      <c r="A1928" s="122" t="s">
        <v>1488</v>
      </c>
    </row>
    <row r="1929" spans="1:1">
      <c r="A1929" s="121" t="s">
        <v>1493</v>
      </c>
    </row>
    <row r="1930" spans="1:1">
      <c r="A1930" s="122" t="s">
        <v>1493</v>
      </c>
    </row>
    <row r="1931" spans="1:1">
      <c r="A1931" s="121" t="s">
        <v>1488</v>
      </c>
    </row>
    <row r="1932" spans="1:1">
      <c r="A1932" s="122" t="s">
        <v>1488</v>
      </c>
    </row>
    <row r="1933" spans="1:1">
      <c r="A1933" s="121" t="s">
        <v>1517</v>
      </c>
    </row>
    <row r="1934" spans="1:1">
      <c r="A1934" s="122" t="s">
        <v>1517</v>
      </c>
    </row>
    <row r="1935" spans="1:1">
      <c r="A1935" s="121" t="s">
        <v>1518</v>
      </c>
    </row>
    <row r="1936" spans="1:1">
      <c r="A1936" s="121" t="s">
        <v>1519</v>
      </c>
    </row>
    <row r="1937" spans="1:1">
      <c r="A1937" s="122" t="s">
        <v>1519</v>
      </c>
    </row>
    <row r="1938" spans="1:1">
      <c r="A1938" s="121" t="s">
        <v>1520</v>
      </c>
    </row>
    <row r="1939" spans="1:1">
      <c r="A1939" s="121" t="s">
        <v>1487</v>
      </c>
    </row>
    <row r="1940" spans="1:1">
      <c r="A1940" s="121" t="s">
        <v>1488</v>
      </c>
    </row>
    <row r="1941" spans="1:1">
      <c r="A1941" s="121" t="s">
        <v>1489</v>
      </c>
    </row>
    <row r="1942" spans="1:1">
      <c r="A1942" s="121" t="s">
        <v>1488</v>
      </c>
    </row>
    <row r="1943" spans="1:1">
      <c r="A1943" s="121" t="s">
        <v>1521</v>
      </c>
    </row>
    <row r="1944" spans="1:1">
      <c r="A1944" s="121" t="s">
        <v>1522</v>
      </c>
    </row>
    <row r="1945" spans="1:1">
      <c r="A1945" s="122" t="s">
        <v>1523</v>
      </c>
    </row>
    <row r="1946" spans="1:1">
      <c r="A1946" s="121" t="s">
        <v>1524</v>
      </c>
    </row>
    <row r="1947" spans="1:1">
      <c r="A1947" s="121" t="s">
        <v>1525</v>
      </c>
    </row>
    <row r="1948" spans="1:1">
      <c r="A1948" s="121" t="s">
        <v>825</v>
      </c>
    </row>
    <row r="1949" spans="1:1">
      <c r="A1949" s="122" t="s">
        <v>825</v>
      </c>
    </row>
    <row r="1950" spans="1:1">
      <c r="A1950" s="121" t="s">
        <v>1526</v>
      </c>
    </row>
    <row r="1951" spans="1:1">
      <c r="A1951" s="121" t="s">
        <v>1492</v>
      </c>
    </row>
    <row r="1952" spans="1:1">
      <c r="A1952" s="121" t="s">
        <v>1488</v>
      </c>
    </row>
    <row r="1953" spans="1:1">
      <c r="A1953" s="121" t="s">
        <v>1493</v>
      </c>
    </row>
    <row r="1954" spans="1:1">
      <c r="A1954" s="121" t="s">
        <v>1488</v>
      </c>
    </row>
    <row r="1955" spans="1:1">
      <c r="A1955" s="121" t="s">
        <v>1527</v>
      </c>
    </row>
    <row r="1956" spans="1:1">
      <c r="A1956" s="121" t="s">
        <v>1528</v>
      </c>
    </row>
    <row r="1957" spans="1:1">
      <c r="A1957" s="122" t="s">
        <v>1529</v>
      </c>
    </row>
    <row r="1958" spans="1:1">
      <c r="A1958" s="121" t="s">
        <v>1530</v>
      </c>
    </row>
    <row r="1959" spans="1:1">
      <c r="A1959" s="121" t="s">
        <v>1531</v>
      </c>
    </row>
    <row r="1960" spans="1:1">
      <c r="A1960" s="122" t="s">
        <v>973</v>
      </c>
    </row>
    <row r="1961" spans="1:1">
      <c r="A1961" s="121" t="s">
        <v>1487</v>
      </c>
    </row>
    <row r="1962" spans="1:1">
      <c r="A1962" s="122" t="s">
        <v>1487</v>
      </c>
    </row>
    <row r="1963" spans="1:1">
      <c r="A1963" s="121" t="s">
        <v>1488</v>
      </c>
    </row>
    <row r="1964" spans="1:1">
      <c r="A1964" s="122" t="s">
        <v>1488</v>
      </c>
    </row>
    <row r="1965" spans="1:1">
      <c r="A1965" s="121" t="s">
        <v>1489</v>
      </c>
    </row>
    <row r="1966" spans="1:1">
      <c r="A1966" s="122" t="s">
        <v>1489</v>
      </c>
    </row>
    <row r="1967" spans="1:1">
      <c r="A1967" s="121" t="s">
        <v>1488</v>
      </c>
    </row>
    <row r="1968" spans="1:1">
      <c r="A1968" s="122" t="s">
        <v>1488</v>
      </c>
    </row>
    <row r="1969" spans="1:1">
      <c r="A1969" s="121" t="s">
        <v>1532</v>
      </c>
    </row>
    <row r="1970" spans="1:1">
      <c r="A1970" s="122" t="s">
        <v>1532</v>
      </c>
    </row>
    <row r="1971" spans="1:1">
      <c r="A1971" s="121" t="s">
        <v>833</v>
      </c>
    </row>
    <row r="1972" spans="1:1">
      <c r="A1972" s="122" t="s">
        <v>1533</v>
      </c>
    </row>
    <row r="1973" spans="1:1">
      <c r="A1973" s="122" t="s">
        <v>1269</v>
      </c>
    </row>
    <row r="1974" spans="1:1">
      <c r="A1974" s="122" t="s">
        <v>1534</v>
      </c>
    </row>
    <row r="1975" spans="1:1">
      <c r="A1975" s="121" t="s">
        <v>1534</v>
      </c>
    </row>
    <row r="1976" spans="1:1">
      <c r="A1976" s="121" t="s">
        <v>1535</v>
      </c>
    </row>
    <row r="1977" spans="1:1">
      <c r="A1977" s="122" t="s">
        <v>1536</v>
      </c>
    </row>
    <row r="1978" spans="1:1">
      <c r="A1978" s="121" t="s">
        <v>991</v>
      </c>
    </row>
    <row r="1979" spans="1:1">
      <c r="A1979" s="122" t="s">
        <v>1492</v>
      </c>
    </row>
    <row r="1980" spans="1:1">
      <c r="A1980" s="121" t="s">
        <v>1492</v>
      </c>
    </row>
    <row r="1981" spans="1:1">
      <c r="A1981" s="122" t="s">
        <v>1488</v>
      </c>
    </row>
    <row r="1982" spans="1:1">
      <c r="A1982" s="121" t="s">
        <v>1488</v>
      </c>
    </row>
    <row r="1983" spans="1:1">
      <c r="A1983" s="122" t="s">
        <v>1493</v>
      </c>
    </row>
    <row r="1984" spans="1:1">
      <c r="A1984" s="121" t="s">
        <v>1493</v>
      </c>
    </row>
    <row r="1985" spans="1:1">
      <c r="A1985" s="122" t="s">
        <v>1488</v>
      </c>
    </row>
    <row r="1986" spans="1:1">
      <c r="A1986" s="121" t="s">
        <v>1488</v>
      </c>
    </row>
    <row r="1987" spans="1:1">
      <c r="A1987" s="122" t="s">
        <v>1537</v>
      </c>
    </row>
    <row r="1988" spans="1:1">
      <c r="A1988" s="121" t="s">
        <v>1537</v>
      </c>
    </row>
    <row r="1989" spans="1:1">
      <c r="A1989" s="121" t="s">
        <v>1538</v>
      </c>
    </row>
    <row r="1990" spans="1:1">
      <c r="A1990" s="122" t="s">
        <v>1539</v>
      </c>
    </row>
    <row r="1991" spans="1:1">
      <c r="A1991" s="121" t="s">
        <v>973</v>
      </c>
    </row>
    <row r="1992" spans="1:1">
      <c r="A1992" s="121" t="s">
        <v>1487</v>
      </c>
    </row>
    <row r="1993" spans="1:1">
      <c r="A1993" s="122" t="s">
        <v>1487</v>
      </c>
    </row>
    <row r="1994" spans="1:1">
      <c r="A1994" s="121" t="s">
        <v>1488</v>
      </c>
    </row>
    <row r="1995" spans="1:1">
      <c r="A1995" s="122" t="s">
        <v>1488</v>
      </c>
    </row>
    <row r="1996" spans="1:1">
      <c r="A1996" s="121" t="s">
        <v>1489</v>
      </c>
    </row>
    <row r="1997" spans="1:1">
      <c r="A1997" s="122" t="s">
        <v>1489</v>
      </c>
    </row>
    <row r="1998" spans="1:1">
      <c r="A1998" s="121" t="s">
        <v>1488</v>
      </c>
    </row>
    <row r="1999" spans="1:1">
      <c r="A1999" s="122" t="s">
        <v>1488</v>
      </c>
    </row>
    <row r="2000" spans="1:1">
      <c r="A2000" s="121" t="s">
        <v>1540</v>
      </c>
    </row>
    <row r="2001" spans="1:1">
      <c r="A2001" s="122" t="s">
        <v>1540</v>
      </c>
    </row>
    <row r="2002" spans="1:1">
      <c r="A2002" s="121" t="s">
        <v>847</v>
      </c>
    </row>
    <row r="2003" spans="1:1">
      <c r="A2003" s="122" t="s">
        <v>1541</v>
      </c>
    </row>
    <row r="2004" spans="1:1">
      <c r="A2004" s="122" t="s">
        <v>1542</v>
      </c>
    </row>
    <row r="2005" spans="1:1">
      <c r="A2005" s="121" t="s">
        <v>1543</v>
      </c>
    </row>
    <row r="2006" spans="1:1">
      <c r="A2006" s="121" t="s">
        <v>1544</v>
      </c>
    </row>
    <row r="2007" spans="1:1">
      <c r="A2007" s="121" t="s">
        <v>991</v>
      </c>
    </row>
    <row r="2008" spans="1:1">
      <c r="A2008" s="121" t="s">
        <v>1492</v>
      </c>
    </row>
    <row r="2009" spans="1:1">
      <c r="A2009" s="121" t="s">
        <v>1488</v>
      </c>
    </row>
    <row r="2010" spans="1:1">
      <c r="A2010" s="121" t="s">
        <v>1493</v>
      </c>
    </row>
    <row r="2011" spans="1:1">
      <c r="A2011" s="121" t="s">
        <v>1488</v>
      </c>
    </row>
    <row r="2012" spans="1:1">
      <c r="A2012" s="121" t="s">
        <v>1545</v>
      </c>
    </row>
    <row r="2013" spans="1:1">
      <c r="A2013" s="122" t="s">
        <v>1546</v>
      </c>
    </row>
    <row r="2014" spans="1:1">
      <c r="A2014" s="121" t="s">
        <v>1546</v>
      </c>
    </row>
    <row r="2015" spans="1:1">
      <c r="A2015" s="121" t="s">
        <v>1547</v>
      </c>
    </row>
    <row r="2016" spans="1:1">
      <c r="A2016" s="122" t="s">
        <v>1548</v>
      </c>
    </row>
    <row r="2017" spans="1:1">
      <c r="A2017" s="121" t="s">
        <v>1548</v>
      </c>
    </row>
    <row r="2018" spans="1:1">
      <c r="A2018" s="136" t="s">
        <v>465</v>
      </c>
    </row>
    <row r="2019" spans="1:1">
      <c r="A2019" s="136" t="s">
        <v>1430</v>
      </c>
    </row>
    <row r="2020" spans="1:1">
      <c r="A2020" s="114" t="s">
        <v>1549</v>
      </c>
    </row>
    <row r="2021" spans="1:1">
      <c r="A2021" s="124" t="s">
        <v>862</v>
      </c>
    </row>
    <row r="2022" spans="1:1">
      <c r="A2022" s="114" t="s">
        <v>943</v>
      </c>
    </row>
    <row r="2023" spans="1:1">
      <c r="A2023" s="114" t="s">
        <v>944</v>
      </c>
    </row>
    <row r="2024" spans="1:1">
      <c r="A2024" s="133" t="s">
        <v>922</v>
      </c>
    </row>
    <row r="2025" spans="1:1">
      <c r="A2025" s="133" t="s">
        <v>379</v>
      </c>
    </row>
    <row r="2026" spans="1:1">
      <c r="A2026" s="133" t="s">
        <v>380</v>
      </c>
    </row>
    <row r="2027" spans="1:1">
      <c r="A2027" s="133" t="s">
        <v>381</v>
      </c>
    </row>
    <row r="2028" spans="1:1">
      <c r="A2028" s="129" t="s">
        <v>1169</v>
      </c>
    </row>
    <row r="2029" spans="1:1">
      <c r="A2029" s="129" t="s">
        <v>635</v>
      </c>
    </row>
    <row r="2030" spans="1:1">
      <c r="A2030" s="129" t="s">
        <v>1473</v>
      </c>
    </row>
    <row r="2031" spans="1:1">
      <c r="A2031" s="129" t="s">
        <v>637</v>
      </c>
    </row>
    <row r="2032" spans="1:1">
      <c r="A2032" s="115" t="s">
        <v>569</v>
      </c>
    </row>
    <row r="2033" spans="1:1">
      <c r="A2033" s="115" t="s">
        <v>570</v>
      </c>
    </row>
    <row r="2034" spans="1:1">
      <c r="A2034" s="115" t="s">
        <v>1483</v>
      </c>
    </row>
    <row r="2035" spans="1:1">
      <c r="A2035" s="115" t="s">
        <v>433</v>
      </c>
    </row>
    <row r="2036" spans="1:1">
      <c r="A2036" s="120" t="s">
        <v>388</v>
      </c>
    </row>
    <row r="2037" spans="1:1">
      <c r="A2037" s="121" t="s">
        <v>571</v>
      </c>
    </row>
    <row r="2038" spans="1:1">
      <c r="A2038" s="121" t="s">
        <v>1550</v>
      </c>
    </row>
    <row r="2039" spans="1:1">
      <c r="A2039" s="122" t="s">
        <v>1550</v>
      </c>
    </row>
    <row r="2040" spans="1:1">
      <c r="A2040" s="121" t="s">
        <v>1551</v>
      </c>
    </row>
    <row r="2041" spans="1:1">
      <c r="A2041" s="122" t="s">
        <v>1552</v>
      </c>
    </row>
    <row r="2042" spans="1:1">
      <c r="A2042" s="121" t="s">
        <v>1553</v>
      </c>
    </row>
    <row r="2043" spans="1:1">
      <c r="A2043" s="121" t="s">
        <v>1554</v>
      </c>
    </row>
    <row r="2044" spans="1:1">
      <c r="A2044" s="121" t="s">
        <v>1555</v>
      </c>
    </row>
    <row r="2045" spans="1:1">
      <c r="A2045" s="122" t="s">
        <v>1556</v>
      </c>
    </row>
    <row r="2046" spans="1:1">
      <c r="A2046" s="121" t="s">
        <v>1556</v>
      </c>
    </row>
    <row r="2047" spans="1:1">
      <c r="A2047" s="121" t="s">
        <v>1557</v>
      </c>
    </row>
    <row r="2048" spans="1:1">
      <c r="A2048" s="121" t="s">
        <v>1558</v>
      </c>
    </row>
    <row r="2049" spans="1:1">
      <c r="A2049" s="121" t="s">
        <v>1559</v>
      </c>
    </row>
    <row r="2050" spans="1:1">
      <c r="A2050" s="122" t="s">
        <v>1559</v>
      </c>
    </row>
    <row r="2051" spans="1:1">
      <c r="A2051" s="121" t="s">
        <v>1560</v>
      </c>
    </row>
    <row r="2052" spans="1:1">
      <c r="A2052" s="121" t="s">
        <v>1561</v>
      </c>
    </row>
    <row r="2053" spans="1:1">
      <c r="A2053" s="121" t="s">
        <v>1562</v>
      </c>
    </row>
    <row r="2054" spans="1:1">
      <c r="A2054" s="121" t="s">
        <v>1563</v>
      </c>
    </row>
    <row r="2055" spans="1:1">
      <c r="A2055" s="121" t="s">
        <v>1564</v>
      </c>
    </row>
    <row r="2056" spans="1:1">
      <c r="A2056" s="121" t="s">
        <v>1565</v>
      </c>
    </row>
    <row r="2057" spans="1:1">
      <c r="A2057" s="121" t="s">
        <v>1566</v>
      </c>
    </row>
    <row r="2058" spans="1:1">
      <c r="A2058" s="136" t="s">
        <v>465</v>
      </c>
    </row>
    <row r="2059" spans="1:1">
      <c r="A2059" s="136" t="s">
        <v>1567</v>
      </c>
    </row>
    <row r="2060" spans="1:1">
      <c r="A2060" s="115" t="s">
        <v>436</v>
      </c>
    </row>
    <row r="2061" spans="1:1">
      <c r="A2061" s="114" t="s">
        <v>1568</v>
      </c>
    </row>
    <row r="2062" spans="1:1">
      <c r="A2062" s="115" t="s">
        <v>1289</v>
      </c>
    </row>
    <row r="2063" spans="1:1">
      <c r="A2063" s="115" t="s">
        <v>1290</v>
      </c>
    </row>
    <row r="2064" spans="1:1">
      <c r="A2064" s="115" t="s">
        <v>1483</v>
      </c>
    </row>
    <row r="2065" spans="1:1">
      <c r="A2065" s="115" t="s">
        <v>1569</v>
      </c>
    </row>
    <row r="2066" spans="1:1">
      <c r="A2066" s="120" t="s">
        <v>388</v>
      </c>
    </row>
    <row r="2067" spans="1:1">
      <c r="A2067" s="121" t="s">
        <v>1570</v>
      </c>
    </row>
    <row r="2068" spans="1:1">
      <c r="A2068" s="122" t="s">
        <v>1571</v>
      </c>
    </row>
    <row r="2069" spans="1:1">
      <c r="A2069" s="121" t="s">
        <v>1571</v>
      </c>
    </row>
    <row r="2070" spans="1:1">
      <c r="A2070" s="121" t="s">
        <v>1572</v>
      </c>
    </row>
    <row r="2071" spans="1:1">
      <c r="A2071" s="121" t="s">
        <v>1488</v>
      </c>
    </row>
    <row r="2072" spans="1:1">
      <c r="A2072" s="121" t="s">
        <v>1489</v>
      </c>
    </row>
    <row r="2073" spans="1:1">
      <c r="A2073" s="121" t="s">
        <v>1488</v>
      </c>
    </row>
    <row r="2074" spans="1:1">
      <c r="A2074" s="121" t="s">
        <v>1573</v>
      </c>
    </row>
    <row r="2075" spans="1:1">
      <c r="A2075" s="122" t="s">
        <v>1574</v>
      </c>
    </row>
    <row r="2076" spans="1:1">
      <c r="A2076" s="121" t="s">
        <v>1575</v>
      </c>
    </row>
    <row r="2077" spans="1:1">
      <c r="A2077" s="121" t="s">
        <v>1576</v>
      </c>
    </row>
    <row r="2078" spans="1:1">
      <c r="A2078" s="122" t="s">
        <v>1577</v>
      </c>
    </row>
    <row r="2079" spans="1:1">
      <c r="A2079" s="121" t="s">
        <v>1578</v>
      </c>
    </row>
    <row r="2080" spans="1:1">
      <c r="A2080" s="122" t="s">
        <v>1488</v>
      </c>
    </row>
    <row r="2081" spans="1:1">
      <c r="A2081" s="121" t="s">
        <v>1488</v>
      </c>
    </row>
    <row r="2082" spans="1:1">
      <c r="A2082" s="122" t="s">
        <v>1489</v>
      </c>
    </row>
    <row r="2083" spans="1:1">
      <c r="A2083" s="121" t="s">
        <v>1489</v>
      </c>
    </row>
    <row r="2084" spans="1:1">
      <c r="A2084" s="122" t="s">
        <v>1488</v>
      </c>
    </row>
    <row r="2085" spans="1:1">
      <c r="A2085" s="121" t="s">
        <v>1488</v>
      </c>
    </row>
    <row r="2086" spans="1:1">
      <c r="A2086" s="122" t="s">
        <v>1579</v>
      </c>
    </row>
    <row r="2087" spans="1:1">
      <c r="A2087" s="121" t="s">
        <v>1579</v>
      </c>
    </row>
    <row r="2088" spans="1:1">
      <c r="A2088" s="121" t="s">
        <v>1580</v>
      </c>
    </row>
    <row r="2089" spans="1:1">
      <c r="A2089" s="122" t="s">
        <v>1581</v>
      </c>
    </row>
    <row r="2090" spans="1:1">
      <c r="A2090" s="121" t="s">
        <v>1582</v>
      </c>
    </row>
    <row r="2091" spans="1:1">
      <c r="A2091" s="121" t="s">
        <v>1583</v>
      </c>
    </row>
    <row r="2092" spans="1:1">
      <c r="A2092" s="122" t="s">
        <v>1584</v>
      </c>
    </row>
    <row r="2093" spans="1:1">
      <c r="A2093" s="121" t="s">
        <v>1578</v>
      </c>
    </row>
    <row r="2094" spans="1:1">
      <c r="A2094" s="122" t="s">
        <v>1488</v>
      </c>
    </row>
    <row r="2095" spans="1:1">
      <c r="A2095" s="121" t="s">
        <v>1488</v>
      </c>
    </row>
    <row r="2096" spans="1:1">
      <c r="A2096" s="122" t="s">
        <v>1489</v>
      </c>
    </row>
    <row r="2097" spans="1:1">
      <c r="A2097" s="121" t="s">
        <v>1489</v>
      </c>
    </row>
    <row r="2098" spans="1:1">
      <c r="A2098" s="122" t="s">
        <v>1488</v>
      </c>
    </row>
    <row r="2099" spans="1:1">
      <c r="A2099" s="121" t="s">
        <v>1488</v>
      </c>
    </row>
    <row r="2100" spans="1:1">
      <c r="A2100" s="122" t="s">
        <v>1585</v>
      </c>
    </row>
    <row r="2101" spans="1:1">
      <c r="A2101" s="121" t="s">
        <v>1585</v>
      </c>
    </row>
    <row r="2102" spans="1:1">
      <c r="A2102" s="121" t="s">
        <v>1586</v>
      </c>
    </row>
    <row r="2103" spans="1:1">
      <c r="A2103" s="122" t="s">
        <v>1587</v>
      </c>
    </row>
    <row r="2104" spans="1:1">
      <c r="A2104" s="121" t="s">
        <v>1588</v>
      </c>
    </row>
    <row r="2105" spans="1:1">
      <c r="A2105" s="121" t="s">
        <v>1589</v>
      </c>
    </row>
    <row r="2106" spans="1:1">
      <c r="A2106" s="122" t="s">
        <v>1590</v>
      </c>
    </row>
    <row r="2107" spans="1:1">
      <c r="A2107" s="121" t="s">
        <v>1578</v>
      </c>
    </row>
    <row r="2108" spans="1:1">
      <c r="A2108" s="122" t="s">
        <v>1488</v>
      </c>
    </row>
    <row r="2109" spans="1:1">
      <c r="A2109" s="121" t="s">
        <v>1488</v>
      </c>
    </row>
    <row r="2110" spans="1:1">
      <c r="A2110" s="122" t="s">
        <v>1489</v>
      </c>
    </row>
    <row r="2111" spans="1:1">
      <c r="A2111" s="121" t="s">
        <v>1489</v>
      </c>
    </row>
    <row r="2112" spans="1:1">
      <c r="A2112" s="122" t="s">
        <v>1488</v>
      </c>
    </row>
    <row r="2113" spans="1:1">
      <c r="A2113" s="121" t="s">
        <v>1488</v>
      </c>
    </row>
    <row r="2114" spans="1:1">
      <c r="A2114" s="122" t="s">
        <v>1591</v>
      </c>
    </row>
    <row r="2115" spans="1:1">
      <c r="A2115" s="121" t="s">
        <v>1591</v>
      </c>
    </row>
    <row r="2116" spans="1:1">
      <c r="A2116" s="121" t="s">
        <v>1592</v>
      </c>
    </row>
    <row r="2117" spans="1:1">
      <c r="A2117" s="122" t="s">
        <v>1593</v>
      </c>
    </row>
    <row r="2118" spans="1:1">
      <c r="A2118" s="121" t="s">
        <v>1594</v>
      </c>
    </row>
    <row r="2119" spans="1:1">
      <c r="A2119" s="121" t="s">
        <v>1595</v>
      </c>
    </row>
    <row r="2120" spans="1:1">
      <c r="A2120" s="122" t="s">
        <v>1596</v>
      </c>
    </row>
    <row r="2121" spans="1:1">
      <c r="A2121" s="121" t="s">
        <v>1578</v>
      </c>
    </row>
    <row r="2122" spans="1:1">
      <c r="A2122" s="122" t="s">
        <v>1488</v>
      </c>
    </row>
    <row r="2123" spans="1:1">
      <c r="A2123" s="121" t="s">
        <v>1488</v>
      </c>
    </row>
    <row r="2124" spans="1:1">
      <c r="A2124" s="122" t="s">
        <v>1489</v>
      </c>
    </row>
    <row r="2125" spans="1:1">
      <c r="A2125" s="121" t="s">
        <v>1489</v>
      </c>
    </row>
    <row r="2126" spans="1:1">
      <c r="A2126" s="122" t="s">
        <v>1488</v>
      </c>
    </row>
    <row r="2127" spans="1:1">
      <c r="A2127" s="121" t="s">
        <v>1488</v>
      </c>
    </row>
    <row r="2128" spans="1:1">
      <c r="A2128" s="122" t="s">
        <v>1597</v>
      </c>
    </row>
    <row r="2129" spans="1:1">
      <c r="A2129" s="121" t="s">
        <v>1597</v>
      </c>
    </row>
    <row r="2130" spans="1:1">
      <c r="A2130" s="121" t="s">
        <v>1598</v>
      </c>
    </row>
    <row r="2131" spans="1:1">
      <c r="A2131" s="124" t="s">
        <v>1083</v>
      </c>
    </row>
    <row r="2132" spans="1:1">
      <c r="A2132" s="114" t="s">
        <v>943</v>
      </c>
    </row>
    <row r="2133" spans="1:1">
      <c r="A2133" s="114" t="s">
        <v>944</v>
      </c>
    </row>
    <row r="2134" spans="1:1">
      <c r="A2134" s="133" t="s">
        <v>922</v>
      </c>
    </row>
    <row r="2135" spans="1:1">
      <c r="A2135" s="133" t="s">
        <v>379</v>
      </c>
    </row>
    <row r="2136" spans="1:1">
      <c r="A2136" s="133" t="s">
        <v>380</v>
      </c>
    </row>
    <row r="2137" spans="1:1">
      <c r="A2137" s="133" t="s">
        <v>381</v>
      </c>
    </row>
    <row r="2138" spans="1:1">
      <c r="A2138" s="129" t="s">
        <v>1169</v>
      </c>
    </row>
    <row r="2139" spans="1:1">
      <c r="A2139" s="129" t="s">
        <v>635</v>
      </c>
    </row>
    <row r="2140" spans="1:1">
      <c r="A2140" s="129" t="s">
        <v>1473</v>
      </c>
    </row>
    <row r="2141" spans="1:1">
      <c r="A2141" s="129" t="s">
        <v>637</v>
      </c>
    </row>
    <row r="2142" spans="1:1">
      <c r="A2142" s="120" t="s">
        <v>388</v>
      </c>
    </row>
    <row r="2143" spans="1:1">
      <c r="A2143" s="122" t="s">
        <v>1599</v>
      </c>
    </row>
    <row r="2144" spans="1:1">
      <c r="A2144" s="121" t="s">
        <v>1599</v>
      </c>
    </row>
    <row r="2145" spans="1:1">
      <c r="A2145" s="122" t="s">
        <v>1600</v>
      </c>
    </row>
    <row r="2146" spans="1:1">
      <c r="A2146" s="122" t="s">
        <v>1601</v>
      </c>
    </row>
    <row r="2147" spans="1:1">
      <c r="A2147" s="121" t="s">
        <v>1601</v>
      </c>
    </row>
    <row r="2148" spans="1:1">
      <c r="A2148" s="121" t="s">
        <v>1602</v>
      </c>
    </row>
    <row r="2149" spans="1:1">
      <c r="A2149" s="121" t="s">
        <v>1488</v>
      </c>
    </row>
    <row r="2150" spans="1:1">
      <c r="A2150" s="121" t="s">
        <v>1489</v>
      </c>
    </row>
    <row r="2151" spans="1:1">
      <c r="A2151" s="121" t="s">
        <v>1488</v>
      </c>
    </row>
    <row r="2152" spans="1:1">
      <c r="A2152" s="121" t="s">
        <v>1603</v>
      </c>
    </row>
    <row r="2153" spans="1:1">
      <c r="A2153" s="122" t="s">
        <v>1604</v>
      </c>
    </row>
    <row r="2154" spans="1:1">
      <c r="A2154" s="121" t="s">
        <v>1605</v>
      </c>
    </row>
    <row r="2155" spans="1:1">
      <c r="A2155" s="121" t="s">
        <v>885</v>
      </c>
    </row>
    <row r="2156" spans="1:1">
      <c r="A2156" s="136" t="s">
        <v>465</v>
      </c>
    </row>
    <row r="2157" spans="1:1">
      <c r="A2157" s="136" t="s">
        <v>1606</v>
      </c>
    </row>
    <row r="2158" spans="1:1">
      <c r="A2158" s="115" t="s">
        <v>436</v>
      </c>
    </row>
    <row r="2159" spans="1:1">
      <c r="A2159" s="115" t="s">
        <v>1331</v>
      </c>
    </row>
    <row r="2160" spans="1:1">
      <c r="A2160" s="115" t="s">
        <v>1332</v>
      </c>
    </row>
    <row r="2161" spans="1:1">
      <c r="A2161" s="115" t="s">
        <v>1483</v>
      </c>
    </row>
    <row r="2162" spans="1:1">
      <c r="A2162" s="115" t="s">
        <v>1333</v>
      </c>
    </row>
    <row r="2163" spans="1:1">
      <c r="A2163" s="120" t="s">
        <v>388</v>
      </c>
    </row>
    <row r="2164" spans="1:1">
      <c r="A2164" s="121" t="s">
        <v>1607</v>
      </c>
    </row>
    <row r="2165" spans="1:1">
      <c r="A2165" s="122" t="s">
        <v>1608</v>
      </c>
    </row>
    <row r="2166" spans="1:1">
      <c r="A2166" s="121" t="s">
        <v>1608</v>
      </c>
    </row>
    <row r="2167" spans="1:1">
      <c r="A2167" s="121" t="s">
        <v>1609</v>
      </c>
    </row>
    <row r="2168" spans="1:1">
      <c r="A2168" s="121" t="s">
        <v>1488</v>
      </c>
    </row>
    <row r="2169" spans="1:1">
      <c r="A2169" s="121" t="s">
        <v>1493</v>
      </c>
    </row>
    <row r="2170" spans="1:1">
      <c r="A2170" s="121" t="s">
        <v>1488</v>
      </c>
    </row>
    <row r="2171" spans="1:1">
      <c r="A2171" s="121" t="s">
        <v>1610</v>
      </c>
    </row>
    <row r="2172" spans="1:1">
      <c r="A2172" s="122" t="s">
        <v>1611</v>
      </c>
    </row>
    <row r="2173" spans="1:1">
      <c r="A2173" s="121" t="s">
        <v>1611</v>
      </c>
    </row>
    <row r="2174" spans="1:1">
      <c r="A2174" s="121" t="s">
        <v>1612</v>
      </c>
    </row>
    <row r="2175" spans="1:1">
      <c r="A2175" s="121" t="s">
        <v>1488</v>
      </c>
    </row>
    <row r="2176" spans="1:1">
      <c r="A2176" s="121" t="s">
        <v>1493</v>
      </c>
    </row>
    <row r="2177" spans="1:1">
      <c r="A2177" s="121" t="s">
        <v>1488</v>
      </c>
    </row>
    <row r="2178" spans="1:1">
      <c r="A2178" s="121" t="s">
        <v>1613</v>
      </c>
    </row>
    <row r="2179" spans="1:1">
      <c r="A2179" s="122" t="s">
        <v>1614</v>
      </c>
    </row>
    <row r="2180" spans="1:1">
      <c r="A2180" s="121" t="s">
        <v>1614</v>
      </c>
    </row>
    <row r="2181" spans="1:1">
      <c r="A2181" s="121" t="s">
        <v>1615</v>
      </c>
    </row>
    <row r="2182" spans="1:1">
      <c r="A2182" s="122" t="s">
        <v>1616</v>
      </c>
    </row>
    <row r="2183" spans="1:1">
      <c r="A2183" s="121" t="s">
        <v>1616</v>
      </c>
    </row>
    <row r="2184" spans="1:1">
      <c r="A2184" s="121" t="s">
        <v>1617</v>
      </c>
    </row>
    <row r="2185" spans="1:1">
      <c r="A2185" s="121" t="s">
        <v>1488</v>
      </c>
    </row>
    <row r="2186" spans="1:1">
      <c r="A2186" s="121" t="s">
        <v>1493</v>
      </c>
    </row>
    <row r="2187" spans="1:1">
      <c r="A2187" s="121" t="s">
        <v>1488</v>
      </c>
    </row>
    <row r="2188" spans="1:1">
      <c r="A2188" s="121" t="s">
        <v>1618</v>
      </c>
    </row>
    <row r="2189" spans="1:1">
      <c r="A2189" s="122" t="s">
        <v>1619</v>
      </c>
    </row>
    <row r="2190" spans="1:1">
      <c r="A2190" s="121" t="s">
        <v>1619</v>
      </c>
    </row>
    <row r="2191" spans="1:1">
      <c r="A2191" s="121" t="s">
        <v>1620</v>
      </c>
    </row>
    <row r="2192" spans="1:1">
      <c r="A2192" s="121" t="s">
        <v>1488</v>
      </c>
    </row>
    <row r="2193" spans="1:1">
      <c r="A2193" s="121" t="s">
        <v>1493</v>
      </c>
    </row>
    <row r="2194" spans="1:1">
      <c r="A2194" s="121" t="s">
        <v>1488</v>
      </c>
    </row>
    <row r="2195" spans="1:1">
      <c r="A2195" s="121" t="s">
        <v>1621</v>
      </c>
    </row>
    <row r="2196" spans="1:1">
      <c r="A2196" s="122" t="s">
        <v>1622</v>
      </c>
    </row>
    <row r="2197" spans="1:1">
      <c r="A2197" s="121" t="s">
        <v>1622</v>
      </c>
    </row>
    <row r="2198" spans="1:1">
      <c r="A2198" s="121" t="s">
        <v>1623</v>
      </c>
    </row>
    <row r="2199" spans="1:1">
      <c r="A2199" s="121" t="s">
        <v>1488</v>
      </c>
    </row>
    <row r="2200" spans="1:1">
      <c r="A2200" s="121" t="s">
        <v>1493</v>
      </c>
    </row>
    <row r="2201" spans="1:1">
      <c r="A2201" s="121" t="s">
        <v>1488</v>
      </c>
    </row>
    <row r="2202" spans="1:1">
      <c r="A2202" s="121" t="s">
        <v>1624</v>
      </c>
    </row>
    <row r="2203" spans="1:1">
      <c r="A2203" s="122" t="s">
        <v>1625</v>
      </c>
    </row>
    <row r="2204" spans="1:1">
      <c r="A2204" s="121" t="s">
        <v>1625</v>
      </c>
    </row>
    <row r="2205" spans="1:1">
      <c r="A2205" s="121" t="s">
        <v>1626</v>
      </c>
    </row>
    <row r="2206" spans="1:1">
      <c r="A2206" s="121" t="s">
        <v>1488</v>
      </c>
    </row>
    <row r="2207" spans="1:1">
      <c r="A2207" s="121" t="s">
        <v>1493</v>
      </c>
    </row>
    <row r="2208" spans="1:1">
      <c r="A2208" s="121" t="s">
        <v>1488</v>
      </c>
    </row>
    <row r="2209" spans="1:1">
      <c r="A2209" s="121" t="s">
        <v>1627</v>
      </c>
    </row>
    <row r="2210" spans="1:1">
      <c r="A2210" s="122" t="s">
        <v>1628</v>
      </c>
    </row>
    <row r="2211" spans="1:1">
      <c r="A2211" s="121" t="s">
        <v>1628</v>
      </c>
    </row>
    <row r="2212" spans="1:1">
      <c r="A2212" s="136" t="s">
        <v>465</v>
      </c>
    </row>
    <row r="2213" spans="1:1">
      <c r="A2213" s="136" t="s">
        <v>1629</v>
      </c>
    </row>
    <row r="2214" spans="1:1">
      <c r="A2214" s="114" t="s">
        <v>1630</v>
      </c>
    </row>
    <row r="2215" spans="1:1">
      <c r="A2215" s="124" t="s">
        <v>920</v>
      </c>
    </row>
    <row r="2216" spans="1:1">
      <c r="A2216" s="114" t="s">
        <v>943</v>
      </c>
    </row>
    <row r="2217" spans="1:1">
      <c r="A2217" s="114" t="s">
        <v>468</v>
      </c>
    </row>
    <row r="2220" spans="1:1">
      <c r="A2220" s="132" t="s">
        <v>402</v>
      </c>
    </row>
    <row r="2221" spans="1:1">
      <c r="A2221" s="133" t="s">
        <v>921</v>
      </c>
    </row>
    <row r="2222" spans="1:1">
      <c r="A2222" s="133" t="s">
        <v>922</v>
      </c>
    </row>
    <row r="2223" spans="1:1">
      <c r="A2223" s="133" t="s">
        <v>379</v>
      </c>
    </row>
    <row r="2224" spans="1:1">
      <c r="A2224" s="133" t="s">
        <v>380</v>
      </c>
    </row>
    <row r="2225" spans="1:6">
      <c r="A2225" s="133" t="s">
        <v>381</v>
      </c>
    </row>
    <row r="2226" spans="1:6">
      <c r="A2226" s="134" t="s">
        <v>403</v>
      </c>
    </row>
    <row r="2227" spans="1:6">
      <c r="A2227" s="114">
        <v>47</v>
      </c>
    </row>
    <row r="2228" spans="1:6">
      <c r="A2228" s="134" t="s">
        <v>923</v>
      </c>
    </row>
    <row r="2229" spans="1:6">
      <c r="A2229" s="132" t="s">
        <v>382</v>
      </c>
    </row>
    <row r="2230" spans="1:6">
      <c r="A2230" s="129" t="s">
        <v>1169</v>
      </c>
    </row>
    <row r="2231" spans="1:6">
      <c r="A2231" s="129" t="s">
        <v>635</v>
      </c>
    </row>
    <row r="2232" spans="1:6">
      <c r="A2232" s="129" t="s">
        <v>1631</v>
      </c>
    </row>
    <row r="2233" spans="1:6">
      <c r="A2233" s="129" t="s">
        <v>637</v>
      </c>
    </row>
    <row r="2234" spans="1:6">
      <c r="A2234" s="114">
        <v>1843</v>
      </c>
    </row>
    <row r="2235" spans="1:6">
      <c r="A2235" s="116" t="s">
        <v>409</v>
      </c>
    </row>
    <row r="2236" spans="1:6">
      <c r="A2236" s="116" t="s">
        <v>638</v>
      </c>
    </row>
    <row r="2237" spans="1:6">
      <c r="A2237" s="116" t="s">
        <v>639</v>
      </c>
    </row>
    <row r="2238" spans="1:6" ht="37">
      <c r="A2238" s="135" t="s">
        <v>640</v>
      </c>
    </row>
    <row r="2239" spans="1:6" ht="16">
      <c r="A2239" s="117"/>
      <c r="B2239" s="117"/>
      <c r="C2239" s="117"/>
      <c r="D2239" s="117"/>
      <c r="E2239" s="117"/>
      <c r="F2239" s="117"/>
    </row>
    <row r="2240" spans="1:6" ht="16">
      <c r="A2240" s="117" t="s">
        <v>412</v>
      </c>
      <c r="B2240" s="117" t="s">
        <v>472</v>
      </c>
      <c r="C2240" s="117" t="s">
        <v>1632</v>
      </c>
      <c r="D2240" s="117" t="s">
        <v>1633</v>
      </c>
      <c r="E2240" s="117" t="s">
        <v>1634</v>
      </c>
      <c r="F2240" s="118">
        <v>6722.95</v>
      </c>
    </row>
    <row r="2241" spans="1:6" ht="16">
      <c r="A2241" s="117" t="s">
        <v>416</v>
      </c>
      <c r="B2241" s="117" t="s">
        <v>475</v>
      </c>
      <c r="C2241" s="117" t="s">
        <v>1635</v>
      </c>
      <c r="D2241" s="117" t="s">
        <v>1636</v>
      </c>
      <c r="E2241" s="117" t="s">
        <v>1637</v>
      </c>
      <c r="F2241" s="118">
        <v>8843.26</v>
      </c>
    </row>
    <row r="2242" spans="1:6" ht="16">
      <c r="A2242" s="117" t="s">
        <v>477</v>
      </c>
      <c r="B2242" s="117" t="s">
        <v>1382</v>
      </c>
      <c r="C2242" s="117" t="s">
        <v>791</v>
      </c>
      <c r="D2242" s="117" t="s">
        <v>1638</v>
      </c>
      <c r="E2242" s="117" t="s">
        <v>1638</v>
      </c>
      <c r="F2242" s="118">
        <v>-471555.78</v>
      </c>
    </row>
    <row r="2243" spans="1:6" ht="16">
      <c r="A2243" s="117"/>
      <c r="B2243" s="117"/>
      <c r="C2243" s="117" t="s">
        <v>1639</v>
      </c>
      <c r="D2243" s="117"/>
      <c r="E2243" s="117"/>
      <c r="F2243" s="117"/>
    </row>
    <row r="2245" spans="1:6" ht="16">
      <c r="A2245" s="137" t="s">
        <v>352</v>
      </c>
    </row>
    <row r="2246" spans="1:6">
      <c r="A2246" s="115" t="s">
        <v>482</v>
      </c>
    </row>
    <row r="2247" spans="1:6">
      <c r="A2247" s="115" t="s">
        <v>483</v>
      </c>
    </row>
    <row r="2248" spans="1:6">
      <c r="A2248" s="115" t="s">
        <v>1640</v>
      </c>
    </row>
    <row r="2249" spans="1:6">
      <c r="A2249" s="115" t="s">
        <v>421</v>
      </c>
    </row>
    <row r="2250" spans="1:6">
      <c r="A2250" s="114" t="s">
        <v>1641</v>
      </c>
    </row>
    <row r="2251" spans="1:6">
      <c r="A2251" s="120" t="s">
        <v>388</v>
      </c>
    </row>
    <row r="2252" spans="1:6">
      <c r="A2252" s="121" t="s">
        <v>1642</v>
      </c>
    </row>
    <row r="2253" spans="1:6">
      <c r="A2253" s="122" t="s">
        <v>1390</v>
      </c>
    </row>
    <row r="2254" spans="1:6">
      <c r="A2254" s="121" t="s">
        <v>973</v>
      </c>
    </row>
    <row r="2255" spans="1:6">
      <c r="A2255" s="121" t="s">
        <v>1643</v>
      </c>
    </row>
    <row r="2256" spans="1:6">
      <c r="A2256" s="122" t="s">
        <v>1643</v>
      </c>
    </row>
    <row r="2257" spans="1:1">
      <c r="A2257" s="121" t="s">
        <v>367</v>
      </c>
    </row>
    <row r="2258" spans="1:1">
      <c r="A2258" s="122" t="s">
        <v>1644</v>
      </c>
    </row>
    <row r="2259" spans="1:1">
      <c r="A2259" s="123">
        <v>5266.82</v>
      </c>
    </row>
    <row r="2260" spans="1:1">
      <c r="A2260" s="121" t="s">
        <v>1645</v>
      </c>
    </row>
    <row r="2261" spans="1:1">
      <c r="A2261" s="121" t="s">
        <v>1646</v>
      </c>
    </row>
    <row r="2262" spans="1:1">
      <c r="A2262" s="122" t="s">
        <v>1647</v>
      </c>
    </row>
    <row r="2263" spans="1:1">
      <c r="A2263" s="121" t="s">
        <v>1647</v>
      </c>
    </row>
    <row r="2264" spans="1:1">
      <c r="A2264" s="121" t="s">
        <v>1648</v>
      </c>
    </row>
    <row r="2265" spans="1:1">
      <c r="A2265" s="122" t="s">
        <v>1649</v>
      </c>
    </row>
    <row r="2266" spans="1:1">
      <c r="A2266" s="121" t="s">
        <v>1650</v>
      </c>
    </row>
    <row r="2267" spans="1:1">
      <c r="A2267" s="121" t="s">
        <v>1651</v>
      </c>
    </row>
    <row r="2268" spans="1:1">
      <c r="A2268" s="122" t="s">
        <v>1395</v>
      </c>
    </row>
    <row r="2269" spans="1:1">
      <c r="A2269" s="122" t="s">
        <v>973</v>
      </c>
    </row>
    <row r="2270" spans="1:1">
      <c r="A2270" s="121" t="s">
        <v>1652</v>
      </c>
    </row>
    <row r="2271" spans="1:1">
      <c r="A2271" s="122" t="s">
        <v>1652</v>
      </c>
    </row>
    <row r="2272" spans="1:1">
      <c r="A2272" s="124" t="s">
        <v>803</v>
      </c>
    </row>
    <row r="2273" spans="1:1">
      <c r="A2273" s="114" t="s">
        <v>943</v>
      </c>
    </row>
    <row r="2274" spans="1:1">
      <c r="A2274" s="114" t="s">
        <v>944</v>
      </c>
    </row>
    <row r="2275" spans="1:1">
      <c r="A2275" s="133" t="s">
        <v>922</v>
      </c>
    </row>
    <row r="2276" spans="1:1">
      <c r="A2276" s="133" t="s">
        <v>379</v>
      </c>
    </row>
    <row r="2277" spans="1:1">
      <c r="A2277" s="133" t="s">
        <v>380</v>
      </c>
    </row>
    <row r="2278" spans="1:1">
      <c r="A2278" s="133" t="s">
        <v>381</v>
      </c>
    </row>
    <row r="2279" spans="1:1">
      <c r="A2279" s="129" t="s">
        <v>1169</v>
      </c>
    </row>
    <row r="2280" spans="1:1">
      <c r="A2280" s="129" t="s">
        <v>635</v>
      </c>
    </row>
    <row r="2281" spans="1:1">
      <c r="A2281" s="129" t="s">
        <v>1631</v>
      </c>
    </row>
    <row r="2282" spans="1:1">
      <c r="A2282" s="129" t="s">
        <v>637</v>
      </c>
    </row>
    <row r="2283" spans="1:1">
      <c r="A2283" s="120" t="s">
        <v>388</v>
      </c>
    </row>
    <row r="2284" spans="1:1">
      <c r="A2284" s="121" t="s">
        <v>369</v>
      </c>
    </row>
    <row r="2285" spans="1:1">
      <c r="A2285" s="122" t="s">
        <v>1653</v>
      </c>
    </row>
    <row r="2286" spans="1:1">
      <c r="A2286" s="122" t="s">
        <v>1269</v>
      </c>
    </row>
    <row r="2287" spans="1:1">
      <c r="A2287" s="121" t="s">
        <v>1654</v>
      </c>
    </row>
    <row r="2288" spans="1:1">
      <c r="A2288" s="122" t="s">
        <v>1655</v>
      </c>
    </row>
    <row r="2289" spans="1:1">
      <c r="A2289" s="121" t="s">
        <v>991</v>
      </c>
    </row>
    <row r="2290" spans="1:1">
      <c r="A2290" s="121" t="s">
        <v>1656</v>
      </c>
    </row>
    <row r="2291" spans="1:1">
      <c r="A2291" s="121" t="s">
        <v>1657</v>
      </c>
    </row>
    <row r="2292" spans="1:1">
      <c r="A2292" s="122" t="s">
        <v>1657</v>
      </c>
    </row>
    <row r="2293" spans="1:1">
      <c r="A2293" s="121" t="s">
        <v>1658</v>
      </c>
    </row>
    <row r="2294" spans="1:1">
      <c r="A2294" s="121" t="s">
        <v>1659</v>
      </c>
    </row>
    <row r="2295" spans="1:1">
      <c r="A2295" s="121" t="s">
        <v>389</v>
      </c>
    </row>
    <row r="2296" spans="1:1">
      <c r="A2296" s="122" t="s">
        <v>389</v>
      </c>
    </row>
    <row r="2297" spans="1:1">
      <c r="A2297" s="121" t="s">
        <v>1660</v>
      </c>
    </row>
    <row r="2298" spans="1:1">
      <c r="A2298" s="122" t="s">
        <v>991</v>
      </c>
    </row>
    <row r="2299" spans="1:1">
      <c r="A2299" s="123">
        <v>3397.5</v>
      </c>
    </row>
    <row r="2300" spans="1:1">
      <c r="A2300" s="121" t="s">
        <v>1661</v>
      </c>
    </row>
    <row r="2301" spans="1:1">
      <c r="A2301" s="122" t="s">
        <v>1661</v>
      </c>
    </row>
    <row r="2302" spans="1:1">
      <c r="A2302" s="121" t="s">
        <v>1662</v>
      </c>
    </row>
    <row r="2303" spans="1:1">
      <c r="A2303" s="121" t="s">
        <v>1663</v>
      </c>
    </row>
    <row r="2304" spans="1:1">
      <c r="A2304" s="122" t="s">
        <v>1664</v>
      </c>
    </row>
    <row r="2305" spans="1:1">
      <c r="A2305" s="121" t="s">
        <v>1665</v>
      </c>
    </row>
    <row r="2306" spans="1:1">
      <c r="A2306" s="121" t="s">
        <v>1666</v>
      </c>
    </row>
    <row r="2307" spans="1:1">
      <c r="A2307" s="122" t="s">
        <v>1667</v>
      </c>
    </row>
    <row r="2308" spans="1:1">
      <c r="A2308" s="121" t="s">
        <v>1667</v>
      </c>
    </row>
    <row r="2309" spans="1:1">
      <c r="A2309" s="121" t="s">
        <v>1668</v>
      </c>
    </row>
    <row r="2310" spans="1:1">
      <c r="A2310" s="121" t="s">
        <v>1669</v>
      </c>
    </row>
    <row r="2311" spans="1:1">
      <c r="A2311" s="121" t="s">
        <v>391</v>
      </c>
    </row>
    <row r="2312" spans="1:1">
      <c r="A2312" s="122" t="s">
        <v>391</v>
      </c>
    </row>
    <row r="2313" spans="1:1">
      <c r="A2313" s="121" t="s">
        <v>1670</v>
      </c>
    </row>
    <row r="2314" spans="1:1">
      <c r="A2314" s="121" t="s">
        <v>1671</v>
      </c>
    </row>
    <row r="2315" spans="1:1">
      <c r="A2315" s="122" t="s">
        <v>1407</v>
      </c>
    </row>
    <row r="2316" spans="1:1">
      <c r="A2316" s="122" t="s">
        <v>991</v>
      </c>
    </row>
    <row r="2317" spans="1:1">
      <c r="A2317" s="122" t="s">
        <v>1672</v>
      </c>
    </row>
    <row r="2318" spans="1:1">
      <c r="A2318" s="121" t="s">
        <v>1672</v>
      </c>
    </row>
    <row r="2319" spans="1:1">
      <c r="A2319" s="121" t="s">
        <v>1673</v>
      </c>
    </row>
    <row r="2320" spans="1:1">
      <c r="A2320" s="122" t="s">
        <v>1674</v>
      </c>
    </row>
    <row r="2321" spans="1:1">
      <c r="A2321" s="121" t="s">
        <v>1675</v>
      </c>
    </row>
    <row r="2322" spans="1:1">
      <c r="A2322" s="121" t="s">
        <v>1676</v>
      </c>
    </row>
    <row r="2323" spans="1:1">
      <c r="A2323" s="122" t="s">
        <v>1677</v>
      </c>
    </row>
    <row r="2324" spans="1:1">
      <c r="A2324" s="121" t="s">
        <v>1678</v>
      </c>
    </row>
    <row r="2325" spans="1:1">
      <c r="A2325" s="121" t="s">
        <v>1679</v>
      </c>
    </row>
    <row r="2326" spans="1:1">
      <c r="A2326" s="122" t="s">
        <v>1680</v>
      </c>
    </row>
    <row r="2327" spans="1:1">
      <c r="A2327" s="121" t="s">
        <v>973</v>
      </c>
    </row>
    <row r="2328" spans="1:1">
      <c r="A2328" s="122" t="s">
        <v>1681</v>
      </c>
    </row>
    <row r="2329" spans="1:1">
      <c r="A2329" s="121" t="s">
        <v>1681</v>
      </c>
    </row>
    <row r="2330" spans="1:1">
      <c r="A2330" s="121" t="s">
        <v>393</v>
      </c>
    </row>
    <row r="2331" spans="1:1">
      <c r="A2331" s="122" t="s">
        <v>1682</v>
      </c>
    </row>
    <row r="2332" spans="1:1">
      <c r="A2332" s="121" t="s">
        <v>1269</v>
      </c>
    </row>
    <row r="2333" spans="1:1">
      <c r="A2333" s="121" t="s">
        <v>1683</v>
      </c>
    </row>
    <row r="2334" spans="1:1">
      <c r="A2334" s="122" t="s">
        <v>1683</v>
      </c>
    </row>
    <row r="2335" spans="1:1">
      <c r="A2335" s="121" t="s">
        <v>1413</v>
      </c>
    </row>
    <row r="2336" spans="1:1">
      <c r="A2336" s="121" t="s">
        <v>1684</v>
      </c>
    </row>
    <row r="2337" spans="1:1">
      <c r="A2337" s="121" t="s">
        <v>1685</v>
      </c>
    </row>
    <row r="2338" spans="1:1">
      <c r="A2338" s="122" t="s">
        <v>1686</v>
      </c>
    </row>
    <row r="2339" spans="1:1">
      <c r="A2339" s="121" t="s">
        <v>1687</v>
      </c>
    </row>
    <row r="2340" spans="1:1">
      <c r="A2340" s="121" t="s">
        <v>1688</v>
      </c>
    </row>
    <row r="2341" spans="1:1">
      <c r="A2341" s="122" t="s">
        <v>973</v>
      </c>
    </row>
    <row r="2342" spans="1:1">
      <c r="A2342" s="122" t="s">
        <v>1689</v>
      </c>
    </row>
    <row r="2343" spans="1:1">
      <c r="A2343" s="121" t="s">
        <v>1689</v>
      </c>
    </row>
    <row r="2344" spans="1:1">
      <c r="A2344" s="121" t="s">
        <v>1073</v>
      </c>
    </row>
    <row r="2345" spans="1:1">
      <c r="A2345" s="121" t="s">
        <v>1690</v>
      </c>
    </row>
    <row r="2346" spans="1:1">
      <c r="A2346" s="123">
        <v>6694.99</v>
      </c>
    </row>
    <row r="2347" spans="1:1">
      <c r="A2347" s="121" t="s">
        <v>991</v>
      </c>
    </row>
    <row r="2348" spans="1:1">
      <c r="A2348" s="121" t="s">
        <v>1691</v>
      </c>
    </row>
    <row r="2349" spans="1:1">
      <c r="A2349" s="121" t="s">
        <v>1692</v>
      </c>
    </row>
    <row r="2350" spans="1:1">
      <c r="A2350" s="122" t="s">
        <v>1692</v>
      </c>
    </row>
    <row r="2351" spans="1:1">
      <c r="A2351" s="121" t="s">
        <v>1693</v>
      </c>
    </row>
    <row r="2352" spans="1:1">
      <c r="A2352" s="121" t="s">
        <v>1694</v>
      </c>
    </row>
    <row r="2353" spans="1:1">
      <c r="A2353" s="115" t="s">
        <v>570</v>
      </c>
    </row>
    <row r="2354" spans="1:1">
      <c r="A2354" s="115" t="s">
        <v>1640</v>
      </c>
    </row>
    <row r="2355" spans="1:1">
      <c r="A2355" s="115" t="s">
        <v>433</v>
      </c>
    </row>
    <row r="2356" spans="1:1">
      <c r="A2356" s="114" t="s">
        <v>1695</v>
      </c>
    </row>
    <row r="2357" spans="1:1">
      <c r="A2357" s="120" t="s">
        <v>388</v>
      </c>
    </row>
    <row r="2358" spans="1:1">
      <c r="A2358" s="121" t="s">
        <v>1696</v>
      </c>
    </row>
    <row r="2359" spans="1:1">
      <c r="A2359" s="121" t="s">
        <v>1697</v>
      </c>
    </row>
    <row r="2360" spans="1:1">
      <c r="A2360" s="122" t="s">
        <v>1698</v>
      </c>
    </row>
    <row r="2361" spans="1:1">
      <c r="A2361" s="121" t="s">
        <v>1699</v>
      </c>
    </row>
    <row r="2362" spans="1:1">
      <c r="A2362" s="121" t="s">
        <v>1700</v>
      </c>
    </row>
    <row r="2363" spans="1:1">
      <c r="A2363" s="121" t="s">
        <v>1701</v>
      </c>
    </row>
    <row r="2364" spans="1:1">
      <c r="A2364" s="121" t="s">
        <v>1702</v>
      </c>
    </row>
    <row r="2365" spans="1:1">
      <c r="A2365" s="122" t="s">
        <v>1703</v>
      </c>
    </row>
    <row r="2366" spans="1:1">
      <c r="A2366" s="121" t="s">
        <v>1703</v>
      </c>
    </row>
    <row r="2367" spans="1:1">
      <c r="A2367" s="124" t="s">
        <v>862</v>
      </c>
    </row>
    <row r="2368" spans="1:1">
      <c r="A2368" s="114" t="s">
        <v>943</v>
      </c>
    </row>
    <row r="2369" spans="1:1">
      <c r="A2369" s="114" t="s">
        <v>944</v>
      </c>
    </row>
    <row r="2370" spans="1:1">
      <c r="A2370" s="133" t="s">
        <v>922</v>
      </c>
    </row>
    <row r="2371" spans="1:1">
      <c r="A2371" s="133" t="s">
        <v>379</v>
      </c>
    </row>
    <row r="2372" spans="1:1">
      <c r="A2372" s="133" t="s">
        <v>380</v>
      </c>
    </row>
    <row r="2373" spans="1:1">
      <c r="A2373" s="133" t="s">
        <v>381</v>
      </c>
    </row>
    <row r="2374" spans="1:1">
      <c r="A2374" s="129" t="s">
        <v>1169</v>
      </c>
    </row>
    <row r="2375" spans="1:1">
      <c r="A2375" s="129" t="s">
        <v>635</v>
      </c>
    </row>
    <row r="2376" spans="1:1">
      <c r="A2376" s="129" t="s">
        <v>1631</v>
      </c>
    </row>
    <row r="2377" spans="1:1">
      <c r="A2377" s="129" t="s">
        <v>637</v>
      </c>
    </row>
    <row r="2378" spans="1:1">
      <c r="A2378" s="120" t="s">
        <v>388</v>
      </c>
    </row>
    <row r="2379" spans="1:1">
      <c r="A2379" s="121" t="s">
        <v>1704</v>
      </c>
    </row>
    <row r="2380" spans="1:1">
      <c r="A2380" s="121" t="s">
        <v>1705</v>
      </c>
    </row>
    <row r="2381" spans="1:1">
      <c r="A2381" s="121" t="s">
        <v>1706</v>
      </c>
    </row>
    <row r="2382" spans="1:1">
      <c r="A2382" s="122" t="s">
        <v>1707</v>
      </c>
    </row>
    <row r="2383" spans="1:1">
      <c r="A2383" s="121" t="s">
        <v>1708</v>
      </c>
    </row>
    <row r="2384" spans="1:1">
      <c r="A2384" s="122" t="s">
        <v>1709</v>
      </c>
    </row>
    <row r="2385" spans="1:1">
      <c r="A2385" s="121" t="s">
        <v>1709</v>
      </c>
    </row>
    <row r="2386" spans="1:1">
      <c r="A2386" s="136" t="s">
        <v>465</v>
      </c>
    </row>
    <row r="2387" spans="1:1">
      <c r="A2387" s="136" t="s">
        <v>1710</v>
      </c>
    </row>
    <row r="2388" spans="1:1">
      <c r="A2388" s="115" t="s">
        <v>436</v>
      </c>
    </row>
    <row r="2389" spans="1:1">
      <c r="A2389" s="115" t="s">
        <v>1289</v>
      </c>
    </row>
    <row r="2390" spans="1:1">
      <c r="A2390" s="115" t="s">
        <v>1290</v>
      </c>
    </row>
    <row r="2391" spans="1:1">
      <c r="A2391" s="115" t="s">
        <v>1640</v>
      </c>
    </row>
    <row r="2392" spans="1:1">
      <c r="A2392" s="115" t="s">
        <v>1711</v>
      </c>
    </row>
    <row r="2393" spans="1:1">
      <c r="A2393" s="120" t="s">
        <v>388</v>
      </c>
    </row>
    <row r="2394" spans="1:1">
      <c r="A2394" s="121" t="s">
        <v>1092</v>
      </c>
    </row>
    <row r="2395" spans="1:1">
      <c r="A2395" s="122" t="s">
        <v>1712</v>
      </c>
    </row>
    <row r="2396" spans="1:1">
      <c r="A2396" s="121" t="s">
        <v>1712</v>
      </c>
    </row>
    <row r="2397" spans="1:1">
      <c r="A2397" s="121" t="s">
        <v>1713</v>
      </c>
    </row>
    <row r="2398" spans="1:1">
      <c r="A2398" s="122" t="s">
        <v>1714</v>
      </c>
    </row>
    <row r="2399" spans="1:1">
      <c r="A2399" s="121" t="s">
        <v>1715</v>
      </c>
    </row>
    <row r="2400" spans="1:1">
      <c r="A2400" s="121" t="s">
        <v>1716</v>
      </c>
    </row>
    <row r="2401" spans="1:1">
      <c r="A2401" s="122" t="s">
        <v>1717</v>
      </c>
    </row>
    <row r="2402" spans="1:1">
      <c r="A2402" s="121" t="s">
        <v>1717</v>
      </c>
    </row>
    <row r="2403" spans="1:1">
      <c r="A2403" s="121" t="s">
        <v>1718</v>
      </c>
    </row>
    <row r="2404" spans="1:1">
      <c r="A2404" s="122" t="s">
        <v>1719</v>
      </c>
    </row>
    <row r="2405" spans="1:1">
      <c r="A2405" s="121" t="s">
        <v>1719</v>
      </c>
    </row>
    <row r="2406" spans="1:1">
      <c r="A2406" s="121" t="s">
        <v>1720</v>
      </c>
    </row>
    <row r="2407" spans="1:1">
      <c r="A2407" s="122" t="s">
        <v>1721</v>
      </c>
    </row>
    <row r="2408" spans="1:1">
      <c r="A2408" s="121" t="s">
        <v>1721</v>
      </c>
    </row>
    <row r="2409" spans="1:1">
      <c r="A2409" s="121" t="s">
        <v>1722</v>
      </c>
    </row>
    <row r="2410" spans="1:1">
      <c r="A2410" s="122" t="s">
        <v>1723</v>
      </c>
    </row>
    <row r="2411" spans="1:1">
      <c r="A2411" s="121" t="s">
        <v>1724</v>
      </c>
    </row>
    <row r="2412" spans="1:1">
      <c r="A2412" s="121" t="s">
        <v>1725</v>
      </c>
    </row>
    <row r="2413" spans="1:1">
      <c r="A2413" s="122" t="s">
        <v>1726</v>
      </c>
    </row>
    <row r="2414" spans="1:1">
      <c r="A2414" s="121" t="s">
        <v>1726</v>
      </c>
    </row>
    <row r="2415" spans="1:1">
      <c r="A2415" s="121" t="s">
        <v>1727</v>
      </c>
    </row>
    <row r="2416" spans="1:1">
      <c r="A2416" s="122" t="s">
        <v>1728</v>
      </c>
    </row>
    <row r="2417" spans="1:1">
      <c r="A2417" s="121" t="s">
        <v>1728</v>
      </c>
    </row>
    <row r="2418" spans="1:1">
      <c r="A2418" s="121" t="s">
        <v>1729</v>
      </c>
    </row>
    <row r="2419" spans="1:1">
      <c r="A2419" s="122" t="s">
        <v>1730</v>
      </c>
    </row>
    <row r="2420" spans="1:1">
      <c r="A2420" s="121" t="s">
        <v>1730</v>
      </c>
    </row>
    <row r="2421" spans="1:1">
      <c r="A2421" s="121" t="s">
        <v>1731</v>
      </c>
    </row>
    <row r="2422" spans="1:1">
      <c r="A2422" s="122" t="s">
        <v>1732</v>
      </c>
    </row>
    <row r="2423" spans="1:1">
      <c r="A2423" s="121" t="s">
        <v>1733</v>
      </c>
    </row>
    <row r="2424" spans="1:1">
      <c r="A2424" s="121" t="s">
        <v>1734</v>
      </c>
    </row>
    <row r="2425" spans="1:1">
      <c r="A2425" s="122" t="s">
        <v>1735</v>
      </c>
    </row>
    <row r="2426" spans="1:1">
      <c r="A2426" s="121" t="s">
        <v>1735</v>
      </c>
    </row>
    <row r="2427" spans="1:1">
      <c r="A2427" s="121" t="s">
        <v>1736</v>
      </c>
    </row>
    <row r="2428" spans="1:1">
      <c r="A2428" s="122" t="s">
        <v>753</v>
      </c>
    </row>
    <row r="2429" spans="1:1">
      <c r="A2429" s="121" t="s">
        <v>753</v>
      </c>
    </row>
    <row r="2430" spans="1:1">
      <c r="A2430" s="136" t="s">
        <v>465</v>
      </c>
    </row>
    <row r="2431" spans="1:1">
      <c r="A2431" s="136" t="s">
        <v>1737</v>
      </c>
    </row>
    <row r="2432" spans="1:1">
      <c r="A2432" s="114" t="s">
        <v>1738</v>
      </c>
    </row>
    <row r="2433" spans="1:1">
      <c r="A2433" s="124" t="s">
        <v>1083</v>
      </c>
    </row>
    <row r="2434" spans="1:1">
      <c r="A2434" s="114" t="s">
        <v>943</v>
      </c>
    </row>
    <row r="2435" spans="1:1">
      <c r="A2435" s="114" t="s">
        <v>944</v>
      </c>
    </row>
    <row r="2436" spans="1:1">
      <c r="A2436" s="133" t="s">
        <v>922</v>
      </c>
    </row>
    <row r="2437" spans="1:1">
      <c r="A2437" s="133" t="s">
        <v>379</v>
      </c>
    </row>
    <row r="2438" spans="1:1">
      <c r="A2438" s="133" t="s">
        <v>380</v>
      </c>
    </row>
    <row r="2439" spans="1:1">
      <c r="A2439" s="133" t="s">
        <v>381</v>
      </c>
    </row>
    <row r="2440" spans="1:1">
      <c r="A2440" s="129" t="s">
        <v>1169</v>
      </c>
    </row>
    <row r="2441" spans="1:1">
      <c r="A2441" s="129" t="s">
        <v>635</v>
      </c>
    </row>
    <row r="2442" spans="1:1">
      <c r="A2442" s="129" t="s">
        <v>1631</v>
      </c>
    </row>
    <row r="2443" spans="1:1">
      <c r="A2443" s="129" t="s">
        <v>637</v>
      </c>
    </row>
    <row r="2444" spans="1:1">
      <c r="A2444" s="115" t="s">
        <v>436</v>
      </c>
    </row>
    <row r="2445" spans="1:1">
      <c r="A2445" s="115" t="s">
        <v>1331</v>
      </c>
    </row>
    <row r="2446" spans="1:1">
      <c r="A2446" s="115" t="s">
        <v>1332</v>
      </c>
    </row>
    <row r="2447" spans="1:1">
      <c r="A2447" s="115" t="s">
        <v>1640</v>
      </c>
    </row>
    <row r="2448" spans="1:1">
      <c r="A2448" s="115" t="s">
        <v>1333</v>
      </c>
    </row>
    <row r="2449" spans="1:1">
      <c r="A2449" s="120" t="s">
        <v>388</v>
      </c>
    </row>
    <row r="2450" spans="1:1">
      <c r="A2450" s="121" t="s">
        <v>1739</v>
      </c>
    </row>
    <row r="2451" spans="1:1">
      <c r="A2451" s="122" t="s">
        <v>1740</v>
      </c>
    </row>
    <row r="2452" spans="1:1">
      <c r="A2452" s="121" t="s">
        <v>1740</v>
      </c>
    </row>
    <row r="2453" spans="1:1">
      <c r="A2453" s="121" t="s">
        <v>1741</v>
      </c>
    </row>
    <row r="2454" spans="1:1">
      <c r="A2454" s="122" t="s">
        <v>1742</v>
      </c>
    </row>
    <row r="2455" spans="1:1">
      <c r="A2455" s="121" t="s">
        <v>1742</v>
      </c>
    </row>
    <row r="2456" spans="1:1">
      <c r="A2456" s="121" t="s">
        <v>1743</v>
      </c>
    </row>
    <row r="2457" spans="1:1">
      <c r="A2457" s="122" t="s">
        <v>1744</v>
      </c>
    </row>
    <row r="2458" spans="1:1">
      <c r="A2458" s="121" t="s">
        <v>1744</v>
      </c>
    </row>
    <row r="2459" spans="1:1">
      <c r="A2459" s="121" t="s">
        <v>1745</v>
      </c>
    </row>
    <row r="2460" spans="1:1">
      <c r="A2460" s="122" t="s">
        <v>1746</v>
      </c>
    </row>
    <row r="2461" spans="1:1">
      <c r="A2461" s="121" t="s">
        <v>1747</v>
      </c>
    </row>
    <row r="2462" spans="1:1">
      <c r="A2462" s="121" t="s">
        <v>1748</v>
      </c>
    </row>
    <row r="2463" spans="1:1">
      <c r="A2463" s="122" t="s">
        <v>1749</v>
      </c>
    </row>
    <row r="2464" spans="1:1">
      <c r="A2464" s="121" t="s">
        <v>1749</v>
      </c>
    </row>
    <row r="2465" spans="1:1">
      <c r="A2465" s="121" t="s">
        <v>1750</v>
      </c>
    </row>
    <row r="2466" spans="1:1">
      <c r="A2466" s="122" t="s">
        <v>1751</v>
      </c>
    </row>
    <row r="2467" spans="1:1">
      <c r="A2467" s="121" t="s">
        <v>1751</v>
      </c>
    </row>
    <row r="2468" spans="1:1">
      <c r="A2468" s="121" t="s">
        <v>1752</v>
      </c>
    </row>
    <row r="2469" spans="1:1">
      <c r="A2469" s="122" t="s">
        <v>1753</v>
      </c>
    </row>
    <row r="2470" spans="1:1">
      <c r="A2470" s="121" t="s">
        <v>1753</v>
      </c>
    </row>
    <row r="2471" spans="1:1">
      <c r="A2471" s="121" t="s">
        <v>1754</v>
      </c>
    </row>
    <row r="2472" spans="1:1">
      <c r="A2472" s="136" t="s">
        <v>465</v>
      </c>
    </row>
    <row r="2473" spans="1:1">
      <c r="A2473" s="136" t="s">
        <v>1755</v>
      </c>
    </row>
    <row r="2474" spans="1:1">
      <c r="A2474" s="114" t="s">
        <v>1756</v>
      </c>
    </row>
    <row r="2475" spans="1:1">
      <c r="A2475" s="124" t="s">
        <v>920</v>
      </c>
    </row>
    <row r="2476" spans="1:1">
      <c r="A2476" s="114" t="s">
        <v>943</v>
      </c>
    </row>
    <row r="2477" spans="1:1">
      <c r="A2477" s="114" t="s">
        <v>468</v>
      </c>
    </row>
    <row r="2480" spans="1:1">
      <c r="A2480" s="132" t="s">
        <v>402</v>
      </c>
    </row>
    <row r="2481" spans="1:1">
      <c r="A2481" s="133" t="s">
        <v>921</v>
      </c>
    </row>
    <row r="2482" spans="1:1">
      <c r="A2482" s="133" t="s">
        <v>922</v>
      </c>
    </row>
    <row r="2483" spans="1:1">
      <c r="A2483" s="133" t="s">
        <v>379</v>
      </c>
    </row>
    <row r="2484" spans="1:1">
      <c r="A2484" s="133" t="s">
        <v>380</v>
      </c>
    </row>
    <row r="2485" spans="1:1">
      <c r="A2485" s="133" t="s">
        <v>381</v>
      </c>
    </row>
    <row r="2486" spans="1:1">
      <c r="A2486" s="134" t="s">
        <v>403</v>
      </c>
    </row>
    <row r="2487" spans="1:1">
      <c r="A2487" s="114">
        <v>47</v>
      </c>
    </row>
    <row r="2488" spans="1:1">
      <c r="A2488" s="134" t="s">
        <v>923</v>
      </c>
    </row>
    <row r="2489" spans="1:1">
      <c r="A2489" s="132" t="s">
        <v>382</v>
      </c>
    </row>
    <row r="2490" spans="1:1">
      <c r="A2490" s="129" t="s">
        <v>1169</v>
      </c>
    </row>
    <row r="2491" spans="1:1">
      <c r="A2491" s="129" t="s">
        <v>635</v>
      </c>
    </row>
    <row r="2492" spans="1:1">
      <c r="A2492" s="129" t="s">
        <v>1757</v>
      </c>
    </row>
    <row r="2493" spans="1:1">
      <c r="A2493" s="129" t="s">
        <v>637</v>
      </c>
    </row>
    <row r="2494" spans="1:1">
      <c r="A2494" s="114">
        <v>3298</v>
      </c>
    </row>
    <row r="2495" spans="1:1">
      <c r="A2495" s="116" t="s">
        <v>409</v>
      </c>
    </row>
    <row r="2496" spans="1:1">
      <c r="A2496" s="116" t="s">
        <v>638</v>
      </c>
    </row>
    <row r="2497" spans="1:6">
      <c r="A2497" s="116" t="s">
        <v>639</v>
      </c>
    </row>
    <row r="2498" spans="1:6" ht="37">
      <c r="A2498" s="135" t="s">
        <v>640</v>
      </c>
    </row>
    <row r="2499" spans="1:6" ht="16">
      <c r="A2499" s="117"/>
      <c r="B2499" s="117"/>
      <c r="C2499" s="117"/>
      <c r="D2499" s="117"/>
      <c r="E2499" s="117"/>
      <c r="F2499" s="117"/>
    </row>
    <row r="2500" spans="1:6" ht="16">
      <c r="A2500" s="117" t="s">
        <v>412</v>
      </c>
      <c r="B2500" s="117" t="s">
        <v>472</v>
      </c>
      <c r="C2500" s="117" t="s">
        <v>1758</v>
      </c>
      <c r="D2500" s="117" t="s">
        <v>1759</v>
      </c>
      <c r="E2500" s="117" t="s">
        <v>1760</v>
      </c>
      <c r="F2500" s="118">
        <v>6301.59</v>
      </c>
    </row>
    <row r="2501" spans="1:6" ht="16">
      <c r="A2501" s="117" t="s">
        <v>416</v>
      </c>
      <c r="B2501" s="117" t="s">
        <v>475</v>
      </c>
      <c r="C2501" s="117" t="s">
        <v>1761</v>
      </c>
      <c r="D2501" s="117" t="s">
        <v>1762</v>
      </c>
      <c r="E2501" s="117" t="s">
        <v>1763</v>
      </c>
      <c r="F2501" s="118">
        <v>8875.77</v>
      </c>
    </row>
    <row r="2502" spans="1:6" ht="16">
      <c r="A2502" s="117" t="s">
        <v>477</v>
      </c>
      <c r="B2502" s="117" t="s">
        <v>1382</v>
      </c>
      <c r="C2502" s="117" t="s">
        <v>791</v>
      </c>
      <c r="D2502" s="117" t="s">
        <v>1764</v>
      </c>
      <c r="E2502" s="117" t="s">
        <v>1764</v>
      </c>
      <c r="F2502" s="118">
        <v>-471555.78</v>
      </c>
    </row>
    <row r="2503" spans="1:6" ht="16">
      <c r="A2503" s="117"/>
      <c r="B2503" s="117"/>
      <c r="C2503" s="117" t="s">
        <v>1765</v>
      </c>
      <c r="D2503" s="117"/>
      <c r="E2503" s="117"/>
      <c r="F2503" s="117"/>
    </row>
    <row r="2505" spans="1:6" ht="16">
      <c r="A2505" s="137" t="s">
        <v>352</v>
      </c>
    </row>
    <row r="2506" spans="1:6">
      <c r="A2506" s="115" t="s">
        <v>482</v>
      </c>
    </row>
    <row r="2507" spans="1:6">
      <c r="A2507" s="115" t="s">
        <v>483</v>
      </c>
    </row>
    <row r="2508" spans="1:6">
      <c r="A2508" s="115" t="s">
        <v>1766</v>
      </c>
    </row>
    <row r="2509" spans="1:6">
      <c r="A2509" s="115" t="s">
        <v>421</v>
      </c>
    </row>
    <row r="2510" spans="1:6">
      <c r="A2510" s="114" t="s">
        <v>1767</v>
      </c>
    </row>
    <row r="2511" spans="1:6">
      <c r="A2511" s="120" t="s">
        <v>388</v>
      </c>
    </row>
    <row r="2512" spans="1:6">
      <c r="A2512" s="121" t="s">
        <v>1768</v>
      </c>
    </row>
    <row r="2513" spans="1:1">
      <c r="A2513" s="122" t="s">
        <v>1486</v>
      </c>
    </row>
    <row r="2514" spans="1:1">
      <c r="A2514" s="121" t="s">
        <v>973</v>
      </c>
    </row>
    <row r="2515" spans="1:1">
      <c r="A2515" s="121" t="s">
        <v>1769</v>
      </c>
    </row>
    <row r="2516" spans="1:1">
      <c r="A2516" s="122" t="s">
        <v>1769</v>
      </c>
    </row>
    <row r="2517" spans="1:1">
      <c r="A2517" s="121" t="s">
        <v>488</v>
      </c>
    </row>
    <row r="2518" spans="1:1">
      <c r="A2518" s="121" t="s">
        <v>1770</v>
      </c>
    </row>
    <row r="2519" spans="1:1">
      <c r="A2519" s="122" t="s">
        <v>1269</v>
      </c>
    </row>
    <row r="2520" spans="1:1">
      <c r="A2520" s="121" t="s">
        <v>1771</v>
      </c>
    </row>
    <row r="2521" spans="1:1">
      <c r="A2521" s="122" t="s">
        <v>1771</v>
      </c>
    </row>
    <row r="2522" spans="1:1">
      <c r="A2522" s="121" t="s">
        <v>1772</v>
      </c>
    </row>
    <row r="2523" spans="1:1">
      <c r="A2523" s="122" t="s">
        <v>1773</v>
      </c>
    </row>
    <row r="2524" spans="1:1">
      <c r="A2524" s="122" t="s">
        <v>991</v>
      </c>
    </row>
    <row r="2525" spans="1:1">
      <c r="A2525" s="121" t="s">
        <v>1774</v>
      </c>
    </row>
    <row r="2526" spans="1:1">
      <c r="A2526" s="122" t="s">
        <v>1774</v>
      </c>
    </row>
    <row r="2527" spans="1:1">
      <c r="A2527" s="121" t="s">
        <v>1775</v>
      </c>
    </row>
    <row r="2528" spans="1:1">
      <c r="A2528" s="121" t="s">
        <v>1776</v>
      </c>
    </row>
    <row r="2529" spans="1:1">
      <c r="A2529" s="122" t="s">
        <v>1777</v>
      </c>
    </row>
    <row r="2530" spans="1:1">
      <c r="A2530" s="121" t="s">
        <v>1778</v>
      </c>
    </row>
    <row r="2531" spans="1:1">
      <c r="A2531" s="121" t="s">
        <v>1779</v>
      </c>
    </row>
    <row r="2532" spans="1:1">
      <c r="A2532" s="124" t="s">
        <v>803</v>
      </c>
    </row>
    <row r="2533" spans="1:1">
      <c r="A2533" s="114" t="s">
        <v>943</v>
      </c>
    </row>
    <row r="2534" spans="1:1">
      <c r="A2534" s="114" t="s">
        <v>944</v>
      </c>
    </row>
    <row r="2535" spans="1:1">
      <c r="A2535" s="133" t="s">
        <v>922</v>
      </c>
    </row>
    <row r="2536" spans="1:1">
      <c r="A2536" s="133" t="s">
        <v>379</v>
      </c>
    </row>
    <row r="2537" spans="1:1">
      <c r="A2537" s="133" t="s">
        <v>380</v>
      </c>
    </row>
    <row r="2538" spans="1:1">
      <c r="A2538" s="133" t="s">
        <v>381</v>
      </c>
    </row>
    <row r="2539" spans="1:1">
      <c r="A2539" s="129" t="s">
        <v>1169</v>
      </c>
    </row>
    <row r="2540" spans="1:1">
      <c r="A2540" s="129" t="s">
        <v>635</v>
      </c>
    </row>
    <row r="2541" spans="1:1">
      <c r="A2541" s="129" t="s">
        <v>1757</v>
      </c>
    </row>
    <row r="2542" spans="1:1">
      <c r="A2542" s="129" t="s">
        <v>637</v>
      </c>
    </row>
    <row r="2543" spans="1:1">
      <c r="A2543" s="120" t="s">
        <v>388</v>
      </c>
    </row>
    <row r="2544" spans="1:1">
      <c r="A2544" s="122" t="s">
        <v>1780</v>
      </c>
    </row>
    <row r="2545" spans="1:1">
      <c r="A2545" s="121" t="s">
        <v>973</v>
      </c>
    </row>
    <row r="2546" spans="1:1">
      <c r="A2546" s="122" t="s">
        <v>1781</v>
      </c>
    </row>
    <row r="2547" spans="1:1">
      <c r="A2547" s="121" t="s">
        <v>1781</v>
      </c>
    </row>
    <row r="2548" spans="1:1">
      <c r="A2548" s="121" t="s">
        <v>807</v>
      </c>
    </row>
    <row r="2549" spans="1:1">
      <c r="A2549" s="122" t="s">
        <v>1782</v>
      </c>
    </row>
    <row r="2550" spans="1:1">
      <c r="A2550" s="121" t="s">
        <v>1269</v>
      </c>
    </row>
    <row r="2551" spans="1:1">
      <c r="A2551" s="121" t="s">
        <v>1783</v>
      </c>
    </row>
    <row r="2552" spans="1:1">
      <c r="A2552" s="121" t="s">
        <v>1784</v>
      </c>
    </row>
    <row r="2553" spans="1:1">
      <c r="A2553" s="121" t="s">
        <v>1785</v>
      </c>
    </row>
    <row r="2554" spans="1:1">
      <c r="A2554" s="121" t="s">
        <v>1786</v>
      </c>
    </row>
    <row r="2555" spans="1:1">
      <c r="A2555" s="122" t="s">
        <v>991</v>
      </c>
    </row>
    <row r="2556" spans="1:1">
      <c r="A2556" s="121" t="s">
        <v>991</v>
      </c>
    </row>
    <row r="2557" spans="1:1">
      <c r="A2557" s="122" t="s">
        <v>1787</v>
      </c>
    </row>
    <row r="2558" spans="1:1">
      <c r="A2558" s="121" t="s">
        <v>1787</v>
      </c>
    </row>
    <row r="2559" spans="1:1">
      <c r="A2559" s="121" t="s">
        <v>1788</v>
      </c>
    </row>
    <row r="2560" spans="1:1">
      <c r="A2560" s="122" t="s">
        <v>1789</v>
      </c>
    </row>
    <row r="2561" spans="1:1">
      <c r="A2561" s="121" t="s">
        <v>1789</v>
      </c>
    </row>
    <row r="2562" spans="1:1">
      <c r="A2562" s="121" t="s">
        <v>1790</v>
      </c>
    </row>
    <row r="2563" spans="1:1">
      <c r="A2563" s="121" t="s">
        <v>1791</v>
      </c>
    </row>
    <row r="2564" spans="1:1">
      <c r="A2564" s="121" t="s">
        <v>973</v>
      </c>
    </row>
    <row r="2565" spans="1:1">
      <c r="A2565" s="121" t="s">
        <v>1792</v>
      </c>
    </row>
    <row r="2566" spans="1:1">
      <c r="A2566" s="121" t="s">
        <v>1793</v>
      </c>
    </row>
    <row r="2567" spans="1:1">
      <c r="A2567" s="121" t="s">
        <v>821</v>
      </c>
    </row>
    <row r="2568" spans="1:1">
      <c r="A2568" s="121" t="s">
        <v>1794</v>
      </c>
    </row>
    <row r="2569" spans="1:1">
      <c r="A2569" s="123">
        <v>3663.24</v>
      </c>
    </row>
    <row r="2570" spans="1:1">
      <c r="A2570" s="121" t="s">
        <v>991</v>
      </c>
    </row>
    <row r="2571" spans="1:1">
      <c r="A2571" s="121" t="s">
        <v>1795</v>
      </c>
    </row>
    <row r="2572" spans="1:1">
      <c r="A2572" s="121" t="s">
        <v>1796</v>
      </c>
    </row>
    <row r="2573" spans="1:1">
      <c r="A2573" s="122" t="s">
        <v>1796</v>
      </c>
    </row>
    <row r="2574" spans="1:1">
      <c r="A2574" s="121" t="s">
        <v>1520</v>
      </c>
    </row>
    <row r="2575" spans="1:1">
      <c r="A2575" s="121" t="s">
        <v>1797</v>
      </c>
    </row>
    <row r="2576" spans="1:1">
      <c r="A2576" s="121" t="s">
        <v>825</v>
      </c>
    </row>
    <row r="2577" spans="1:1">
      <c r="A2577" s="122" t="s">
        <v>825</v>
      </c>
    </row>
    <row r="2578" spans="1:1">
      <c r="A2578" s="121" t="s">
        <v>1524</v>
      </c>
    </row>
    <row r="2579" spans="1:1">
      <c r="A2579" s="121" t="s">
        <v>1798</v>
      </c>
    </row>
    <row r="2580" spans="1:1">
      <c r="A2580" s="121" t="s">
        <v>1799</v>
      </c>
    </row>
    <row r="2581" spans="1:1">
      <c r="A2581" s="122" t="s">
        <v>1800</v>
      </c>
    </row>
    <row r="2582" spans="1:1">
      <c r="A2582" s="121" t="s">
        <v>1526</v>
      </c>
    </row>
    <row r="2583" spans="1:1">
      <c r="A2583" s="121" t="s">
        <v>1801</v>
      </c>
    </row>
    <row r="2584" spans="1:1">
      <c r="A2584" s="121" t="s">
        <v>1802</v>
      </c>
    </row>
    <row r="2585" spans="1:1">
      <c r="A2585" s="122" t="s">
        <v>1803</v>
      </c>
    </row>
    <row r="2586" spans="1:1">
      <c r="A2586" s="121" t="s">
        <v>1804</v>
      </c>
    </row>
    <row r="2587" spans="1:1">
      <c r="A2587" s="121" t="s">
        <v>1805</v>
      </c>
    </row>
    <row r="2588" spans="1:1">
      <c r="A2588" s="122" t="s">
        <v>1806</v>
      </c>
    </row>
    <row r="2589" spans="1:1">
      <c r="A2589" s="121" t="s">
        <v>1807</v>
      </c>
    </row>
    <row r="2590" spans="1:1">
      <c r="A2590" s="121" t="s">
        <v>1808</v>
      </c>
    </row>
    <row r="2591" spans="1:1">
      <c r="A2591" s="121" t="s">
        <v>833</v>
      </c>
    </row>
    <row r="2592" spans="1:1">
      <c r="A2592" s="122" t="s">
        <v>833</v>
      </c>
    </row>
    <row r="2593" spans="1:1">
      <c r="A2593" s="121" t="s">
        <v>1809</v>
      </c>
    </row>
    <row r="2594" spans="1:1">
      <c r="A2594" s="121" t="s">
        <v>1810</v>
      </c>
    </row>
    <row r="2595" spans="1:1">
      <c r="A2595" s="121" t="s">
        <v>1811</v>
      </c>
    </row>
    <row r="2596" spans="1:1">
      <c r="A2596" s="122" t="s">
        <v>1812</v>
      </c>
    </row>
    <row r="2597" spans="1:1">
      <c r="A2597" s="121" t="s">
        <v>1813</v>
      </c>
    </row>
    <row r="2598" spans="1:1">
      <c r="A2598" s="121" t="s">
        <v>1814</v>
      </c>
    </row>
    <row r="2599" spans="1:1">
      <c r="A2599" s="122" t="s">
        <v>1815</v>
      </c>
    </row>
    <row r="2600" spans="1:1">
      <c r="A2600" s="122" t="s">
        <v>1816</v>
      </c>
    </row>
    <row r="2601" spans="1:1">
      <c r="A2601" s="122" t="s">
        <v>1817</v>
      </c>
    </row>
    <row r="2602" spans="1:1">
      <c r="A2602" s="121" t="s">
        <v>1817</v>
      </c>
    </row>
    <row r="2603" spans="1:1">
      <c r="A2603" s="121" t="s">
        <v>1818</v>
      </c>
    </row>
    <row r="2604" spans="1:1">
      <c r="A2604" s="121" t="s">
        <v>1819</v>
      </c>
    </row>
    <row r="2605" spans="1:1">
      <c r="A2605" s="121" t="s">
        <v>1816</v>
      </c>
    </row>
    <row r="2606" spans="1:1">
      <c r="A2606" s="122" t="s">
        <v>1817</v>
      </c>
    </row>
    <row r="2607" spans="1:1">
      <c r="A2607" s="121" t="s">
        <v>1817</v>
      </c>
    </row>
    <row r="2608" spans="1:1">
      <c r="A2608" s="121" t="s">
        <v>1820</v>
      </c>
    </row>
    <row r="2609" spans="1:1">
      <c r="A2609" s="122" t="s">
        <v>1539</v>
      </c>
    </row>
    <row r="2610" spans="1:1">
      <c r="A2610" s="121" t="s">
        <v>973</v>
      </c>
    </row>
    <row r="2611" spans="1:1">
      <c r="A2611" s="122" t="s">
        <v>1821</v>
      </c>
    </row>
    <row r="2612" spans="1:1">
      <c r="A2612" s="121" t="s">
        <v>1821</v>
      </c>
    </row>
    <row r="2613" spans="1:1">
      <c r="A2613" s="121" t="s">
        <v>847</v>
      </c>
    </row>
    <row r="2614" spans="1:1">
      <c r="A2614" s="121" t="s">
        <v>1822</v>
      </c>
    </row>
    <row r="2615" spans="1:1">
      <c r="A2615" s="121" t="s">
        <v>1823</v>
      </c>
    </row>
    <row r="2616" spans="1:1">
      <c r="A2616" s="121" t="s">
        <v>1824</v>
      </c>
    </row>
    <row r="2617" spans="1:1">
      <c r="A2617" s="121" t="s">
        <v>1825</v>
      </c>
    </row>
    <row r="2618" spans="1:1">
      <c r="A2618" s="122" t="s">
        <v>1282</v>
      </c>
    </row>
    <row r="2619" spans="1:1">
      <c r="A2619" s="122" t="s">
        <v>991</v>
      </c>
    </row>
    <row r="2620" spans="1:1">
      <c r="A2620" s="122" t="s">
        <v>1826</v>
      </c>
    </row>
    <row r="2621" spans="1:1">
      <c r="A2621" s="121" t="s">
        <v>1826</v>
      </c>
    </row>
    <row r="2622" spans="1:1">
      <c r="A2622" s="121" t="s">
        <v>1827</v>
      </c>
    </row>
    <row r="2623" spans="1:1">
      <c r="A2623" s="122" t="s">
        <v>1828</v>
      </c>
    </row>
    <row r="2624" spans="1:1">
      <c r="A2624" s="121" t="s">
        <v>1828</v>
      </c>
    </row>
    <row r="2625" spans="1:1">
      <c r="A2625" s="114" t="s">
        <v>1829</v>
      </c>
    </row>
    <row r="2626" spans="1:1">
      <c r="A2626" s="124" t="s">
        <v>862</v>
      </c>
    </row>
    <row r="2627" spans="1:1">
      <c r="A2627" s="114" t="s">
        <v>943</v>
      </c>
    </row>
    <row r="2628" spans="1:1">
      <c r="A2628" s="114" t="s">
        <v>944</v>
      </c>
    </row>
    <row r="2629" spans="1:1">
      <c r="A2629" s="133" t="s">
        <v>922</v>
      </c>
    </row>
    <row r="2630" spans="1:1">
      <c r="A2630" s="133" t="s">
        <v>379</v>
      </c>
    </row>
    <row r="2631" spans="1:1">
      <c r="A2631" s="133" t="s">
        <v>380</v>
      </c>
    </row>
    <row r="2632" spans="1:1">
      <c r="A2632" s="133" t="s">
        <v>381</v>
      </c>
    </row>
    <row r="2633" spans="1:1">
      <c r="A2633" s="129" t="s">
        <v>1169</v>
      </c>
    </row>
    <row r="2634" spans="1:1">
      <c r="A2634" s="129" t="s">
        <v>635</v>
      </c>
    </row>
    <row r="2635" spans="1:1">
      <c r="A2635" s="129" t="s">
        <v>1757</v>
      </c>
    </row>
    <row r="2636" spans="1:1">
      <c r="A2636" s="129" t="s">
        <v>637</v>
      </c>
    </row>
    <row r="2637" spans="1:1">
      <c r="A2637" s="115" t="s">
        <v>569</v>
      </c>
    </row>
    <row r="2638" spans="1:1">
      <c r="A2638" s="115" t="s">
        <v>570</v>
      </c>
    </row>
    <row r="2639" spans="1:1">
      <c r="A2639" s="115" t="s">
        <v>1766</v>
      </c>
    </row>
    <row r="2640" spans="1:1">
      <c r="A2640" s="115" t="s">
        <v>433</v>
      </c>
    </row>
    <row r="2641" spans="1:1">
      <c r="A2641" s="120" t="s">
        <v>388</v>
      </c>
    </row>
    <row r="2642" spans="1:1">
      <c r="A2642" s="121" t="s">
        <v>1830</v>
      </c>
    </row>
    <row r="2643" spans="1:1">
      <c r="A2643" s="121" t="s">
        <v>1831</v>
      </c>
    </row>
    <row r="2644" spans="1:1">
      <c r="A2644" s="122" t="s">
        <v>1832</v>
      </c>
    </row>
    <row r="2645" spans="1:1">
      <c r="A2645" s="121" t="s">
        <v>1833</v>
      </c>
    </row>
    <row r="2646" spans="1:1">
      <c r="A2646" s="121" t="s">
        <v>1834</v>
      </c>
    </row>
    <row r="2647" spans="1:1">
      <c r="A2647" s="121" t="s">
        <v>1835</v>
      </c>
    </row>
    <row r="2648" spans="1:1">
      <c r="A2648" s="122" t="s">
        <v>1836</v>
      </c>
    </row>
    <row r="2649" spans="1:1">
      <c r="A2649" s="121" t="s">
        <v>1837</v>
      </c>
    </row>
    <row r="2650" spans="1:1">
      <c r="A2650" s="121" t="s">
        <v>1838</v>
      </c>
    </row>
    <row r="2651" spans="1:1">
      <c r="A2651" s="122" t="s">
        <v>1839</v>
      </c>
    </row>
    <row r="2652" spans="1:1">
      <c r="A2652" s="121" t="s">
        <v>1840</v>
      </c>
    </row>
    <row r="2653" spans="1:1">
      <c r="A2653" s="121" t="s">
        <v>1841</v>
      </c>
    </row>
    <row r="2654" spans="1:1">
      <c r="A2654" s="121" t="s">
        <v>1842</v>
      </c>
    </row>
    <row r="2655" spans="1:1">
      <c r="A2655" s="121" t="s">
        <v>1843</v>
      </c>
    </row>
    <row r="2656" spans="1:1">
      <c r="A2656" s="122" t="s">
        <v>1843</v>
      </c>
    </row>
    <row r="2657" spans="1:1">
      <c r="A2657" s="121" t="s">
        <v>1844</v>
      </c>
    </row>
    <row r="2658" spans="1:1">
      <c r="A2658" s="121" t="s">
        <v>1845</v>
      </c>
    </row>
    <row r="2659" spans="1:1">
      <c r="A2659" s="121" t="s">
        <v>1846</v>
      </c>
    </row>
    <row r="2660" spans="1:1">
      <c r="A2660" s="121" t="s">
        <v>1847</v>
      </c>
    </row>
    <row r="2661" spans="1:1">
      <c r="A2661" s="122" t="s">
        <v>1848</v>
      </c>
    </row>
    <row r="2662" spans="1:1">
      <c r="A2662" s="121" t="s">
        <v>1848</v>
      </c>
    </row>
    <row r="2663" spans="1:1">
      <c r="A2663" s="121" t="s">
        <v>1849</v>
      </c>
    </row>
    <row r="2664" spans="1:1">
      <c r="A2664" s="122" t="s">
        <v>1850</v>
      </c>
    </row>
    <row r="2665" spans="1:1">
      <c r="A2665" s="121" t="s">
        <v>1850</v>
      </c>
    </row>
    <row r="2666" spans="1:1">
      <c r="A2666" s="121" t="s">
        <v>1851</v>
      </c>
    </row>
    <row r="2667" spans="1:1">
      <c r="A2667" s="136" t="s">
        <v>465</v>
      </c>
    </row>
    <row r="2668" spans="1:1">
      <c r="A2668" s="136" t="s">
        <v>1852</v>
      </c>
    </row>
    <row r="2669" spans="1:1">
      <c r="A2669" s="115" t="s">
        <v>436</v>
      </c>
    </row>
    <row r="2670" spans="1:1">
      <c r="A2670" s="114" t="s">
        <v>1853</v>
      </c>
    </row>
    <row r="2671" spans="1:1">
      <c r="A2671" s="115" t="s">
        <v>1289</v>
      </c>
    </row>
    <row r="2672" spans="1:1">
      <c r="A2672" s="115" t="s">
        <v>1290</v>
      </c>
    </row>
    <row r="2673" spans="1:1">
      <c r="A2673" s="115" t="s">
        <v>1766</v>
      </c>
    </row>
    <row r="2674" spans="1:1">
      <c r="A2674" s="115" t="s">
        <v>1854</v>
      </c>
    </row>
    <row r="2675" spans="1:1">
      <c r="A2675" s="120" t="s">
        <v>388</v>
      </c>
    </row>
    <row r="2676" spans="1:1">
      <c r="A2676" s="121" t="s">
        <v>866</v>
      </c>
    </row>
    <row r="2677" spans="1:1">
      <c r="A2677" s="122" t="s">
        <v>1855</v>
      </c>
    </row>
    <row r="2678" spans="1:1">
      <c r="A2678" s="121" t="s">
        <v>1855</v>
      </c>
    </row>
    <row r="2679" spans="1:1">
      <c r="A2679" s="121" t="s">
        <v>1856</v>
      </c>
    </row>
    <row r="2680" spans="1:1">
      <c r="A2680" s="122" t="s">
        <v>1857</v>
      </c>
    </row>
    <row r="2681" spans="1:1">
      <c r="A2681" s="121" t="s">
        <v>1857</v>
      </c>
    </row>
    <row r="2682" spans="1:1">
      <c r="A2682" s="121" t="s">
        <v>1858</v>
      </c>
    </row>
    <row r="2683" spans="1:1">
      <c r="A2683" s="122" t="s">
        <v>1859</v>
      </c>
    </row>
    <row r="2684" spans="1:1">
      <c r="A2684" s="121" t="s">
        <v>1859</v>
      </c>
    </row>
    <row r="2685" spans="1:1">
      <c r="A2685" s="121" t="s">
        <v>1860</v>
      </c>
    </row>
    <row r="2686" spans="1:1">
      <c r="A2686" s="122" t="s">
        <v>1861</v>
      </c>
    </row>
    <row r="2687" spans="1:1">
      <c r="A2687" s="121" t="s">
        <v>1861</v>
      </c>
    </row>
    <row r="2688" spans="1:1">
      <c r="A2688" s="121" t="s">
        <v>1862</v>
      </c>
    </row>
    <row r="2689" spans="1:1">
      <c r="A2689" s="122" t="s">
        <v>1863</v>
      </c>
    </row>
    <row r="2690" spans="1:1">
      <c r="A2690" s="121" t="s">
        <v>1864</v>
      </c>
    </row>
    <row r="2691" spans="1:1">
      <c r="A2691" s="121" t="s">
        <v>1865</v>
      </c>
    </row>
    <row r="2692" spans="1:1">
      <c r="A2692" s="122" t="s">
        <v>1866</v>
      </c>
    </row>
    <row r="2693" spans="1:1">
      <c r="A2693" s="121" t="s">
        <v>1866</v>
      </c>
    </row>
    <row r="2694" spans="1:1">
      <c r="A2694" s="121" t="s">
        <v>1867</v>
      </c>
    </row>
    <row r="2695" spans="1:1">
      <c r="A2695" s="122" t="s">
        <v>1868</v>
      </c>
    </row>
    <row r="2696" spans="1:1">
      <c r="A2696" s="121" t="s">
        <v>1869</v>
      </c>
    </row>
    <row r="2697" spans="1:1">
      <c r="A2697" s="121" t="s">
        <v>1870</v>
      </c>
    </row>
    <row r="2698" spans="1:1">
      <c r="A2698" s="122" t="s">
        <v>1871</v>
      </c>
    </row>
    <row r="2699" spans="1:1">
      <c r="A2699" s="121" t="s">
        <v>1871</v>
      </c>
    </row>
    <row r="2700" spans="1:1">
      <c r="A2700" s="124" t="s">
        <v>1083</v>
      </c>
    </row>
    <row r="2701" spans="1:1">
      <c r="A2701" s="114" t="s">
        <v>943</v>
      </c>
    </row>
    <row r="2702" spans="1:1">
      <c r="A2702" s="114" t="s">
        <v>944</v>
      </c>
    </row>
    <row r="2703" spans="1:1">
      <c r="A2703" s="133" t="s">
        <v>922</v>
      </c>
    </row>
    <row r="2704" spans="1:1">
      <c r="A2704" s="133" t="s">
        <v>379</v>
      </c>
    </row>
    <row r="2705" spans="1:1">
      <c r="A2705" s="133" t="s">
        <v>380</v>
      </c>
    </row>
    <row r="2706" spans="1:1">
      <c r="A2706" s="133" t="s">
        <v>381</v>
      </c>
    </row>
    <row r="2707" spans="1:1">
      <c r="A2707" s="129" t="s">
        <v>1169</v>
      </c>
    </row>
    <row r="2708" spans="1:1">
      <c r="A2708" s="129" t="s">
        <v>635</v>
      </c>
    </row>
    <row r="2709" spans="1:1">
      <c r="A2709" s="129" t="s">
        <v>1757</v>
      </c>
    </row>
    <row r="2710" spans="1:1">
      <c r="A2710" s="129" t="s">
        <v>637</v>
      </c>
    </row>
    <row r="2711" spans="1:1">
      <c r="A2711" s="120" t="s">
        <v>388</v>
      </c>
    </row>
    <row r="2712" spans="1:1">
      <c r="A2712" s="121" t="s">
        <v>1872</v>
      </c>
    </row>
    <row r="2713" spans="1:1">
      <c r="A2713" s="122" t="s">
        <v>1873</v>
      </c>
    </row>
    <row r="2714" spans="1:1">
      <c r="A2714" s="121" t="s">
        <v>1873</v>
      </c>
    </row>
    <row r="2715" spans="1:1">
      <c r="A2715" s="121" t="s">
        <v>1874</v>
      </c>
    </row>
    <row r="2716" spans="1:1">
      <c r="A2716" s="122" t="s">
        <v>1875</v>
      </c>
    </row>
    <row r="2717" spans="1:1">
      <c r="A2717" s="121" t="s">
        <v>1875</v>
      </c>
    </row>
    <row r="2718" spans="1:1">
      <c r="A2718" s="121" t="s">
        <v>885</v>
      </c>
    </row>
    <row r="2719" spans="1:1">
      <c r="A2719" s="136" t="s">
        <v>465</v>
      </c>
    </row>
    <row r="2720" spans="1:1">
      <c r="A2720" s="136" t="s">
        <v>1876</v>
      </c>
    </row>
    <row r="2721" spans="1:1">
      <c r="A2721" s="115" t="s">
        <v>436</v>
      </c>
    </row>
    <row r="2722" spans="1:1">
      <c r="A2722" s="115" t="s">
        <v>1331</v>
      </c>
    </row>
    <row r="2723" spans="1:1">
      <c r="A2723" s="115" t="s">
        <v>1332</v>
      </c>
    </row>
    <row r="2724" spans="1:1">
      <c r="A2724" s="115" t="s">
        <v>1766</v>
      </c>
    </row>
    <row r="2725" spans="1:1">
      <c r="A2725" s="115" t="s">
        <v>1333</v>
      </c>
    </row>
    <row r="2726" spans="1:1">
      <c r="A2726" s="120" t="s">
        <v>388</v>
      </c>
    </row>
    <row r="2727" spans="1:1">
      <c r="A2727" s="121" t="s">
        <v>1877</v>
      </c>
    </row>
    <row r="2728" spans="1:1">
      <c r="A2728" s="122" t="s">
        <v>1878</v>
      </c>
    </row>
    <row r="2729" spans="1:1">
      <c r="A2729" s="121" t="s">
        <v>1878</v>
      </c>
    </row>
    <row r="2730" spans="1:1">
      <c r="A2730" s="121" t="s">
        <v>1879</v>
      </c>
    </row>
    <row r="2731" spans="1:1">
      <c r="A2731" s="122" t="s">
        <v>1880</v>
      </c>
    </row>
    <row r="2732" spans="1:1">
      <c r="A2732" s="121" t="s">
        <v>1880</v>
      </c>
    </row>
    <row r="2733" spans="1:1">
      <c r="A2733" s="121" t="s">
        <v>1881</v>
      </c>
    </row>
    <row r="2734" spans="1:1">
      <c r="A2734" s="122" t="s">
        <v>1882</v>
      </c>
    </row>
    <row r="2735" spans="1:1">
      <c r="A2735" s="121" t="s">
        <v>1882</v>
      </c>
    </row>
    <row r="2736" spans="1:1">
      <c r="A2736" s="121" t="s">
        <v>1883</v>
      </c>
    </row>
    <row r="2737" spans="1:1">
      <c r="A2737" s="122" t="s">
        <v>1884</v>
      </c>
    </row>
    <row r="2738" spans="1:1">
      <c r="A2738" s="121" t="s">
        <v>1884</v>
      </c>
    </row>
    <row r="2739" spans="1:1">
      <c r="A2739" s="121" t="s">
        <v>1885</v>
      </c>
    </row>
    <row r="2740" spans="1:1">
      <c r="A2740" s="122" t="s">
        <v>1886</v>
      </c>
    </row>
    <row r="2741" spans="1:1">
      <c r="A2741" s="121" t="s">
        <v>1886</v>
      </c>
    </row>
    <row r="2742" spans="1:1">
      <c r="A2742" s="121" t="s">
        <v>1887</v>
      </c>
    </row>
    <row r="2743" spans="1:1">
      <c r="A2743" s="122" t="s">
        <v>1888</v>
      </c>
    </row>
    <row r="2744" spans="1:1">
      <c r="A2744" s="121" t="s">
        <v>1888</v>
      </c>
    </row>
    <row r="2745" spans="1:1">
      <c r="A2745" s="121" t="s">
        <v>1889</v>
      </c>
    </row>
    <row r="2746" spans="1:1">
      <c r="A2746" s="122" t="s">
        <v>1890</v>
      </c>
    </row>
    <row r="2747" spans="1:1">
      <c r="A2747" s="121" t="s">
        <v>1890</v>
      </c>
    </row>
    <row r="2748" spans="1:1">
      <c r="A2748" s="121" t="s">
        <v>1891</v>
      </c>
    </row>
    <row r="2749" spans="1:1">
      <c r="A2749" s="136" t="s">
        <v>465</v>
      </c>
    </row>
    <row r="2750" spans="1:1">
      <c r="A2750" s="136" t="s">
        <v>1892</v>
      </c>
    </row>
    <row r="2751" spans="1:1">
      <c r="A2751" s="114" t="s">
        <v>1893</v>
      </c>
    </row>
    <row r="2752" spans="1:1">
      <c r="A2752" s="124" t="s">
        <v>920</v>
      </c>
    </row>
    <row r="2753" spans="1:1">
      <c r="A2753" s="114" t="s">
        <v>943</v>
      </c>
    </row>
    <row r="2754" spans="1:1">
      <c r="A2754" s="114" t="s">
        <v>468</v>
      </c>
    </row>
    <row r="2757" spans="1:1">
      <c r="A2757" s="132" t="s">
        <v>402</v>
      </c>
    </row>
    <row r="2758" spans="1:1">
      <c r="A2758" s="133" t="s">
        <v>921</v>
      </c>
    </row>
    <row r="2759" spans="1:1">
      <c r="A2759" s="133" t="s">
        <v>922</v>
      </c>
    </row>
    <row r="2760" spans="1:1">
      <c r="A2760" s="133" t="s">
        <v>379</v>
      </c>
    </row>
    <row r="2761" spans="1:1">
      <c r="A2761" s="133" t="s">
        <v>380</v>
      </c>
    </row>
    <row r="2762" spans="1:1">
      <c r="A2762" s="133" t="s">
        <v>381</v>
      </c>
    </row>
    <row r="2763" spans="1:1">
      <c r="A2763" s="134" t="s">
        <v>403</v>
      </c>
    </row>
    <row r="2764" spans="1:1">
      <c r="A2764" s="114">
        <v>47</v>
      </c>
    </row>
    <row r="2765" spans="1:1">
      <c r="A2765" s="134" t="s">
        <v>923</v>
      </c>
    </row>
    <row r="2766" spans="1:1">
      <c r="A2766" s="132" t="s">
        <v>382</v>
      </c>
    </row>
    <row r="2767" spans="1:1">
      <c r="A2767" s="129" t="s">
        <v>1169</v>
      </c>
    </row>
    <row r="2768" spans="1:1">
      <c r="A2768" s="129" t="s">
        <v>635</v>
      </c>
    </row>
    <row r="2769" spans="1:6">
      <c r="A2769" s="129" t="s">
        <v>1894</v>
      </c>
    </row>
    <row r="2770" spans="1:6">
      <c r="A2770" s="129" t="s">
        <v>637</v>
      </c>
    </row>
    <row r="2771" spans="1:6">
      <c r="A2771" s="114">
        <v>1887</v>
      </c>
    </row>
    <row r="2772" spans="1:6">
      <c r="A2772" s="116" t="s">
        <v>409</v>
      </c>
    </row>
    <row r="2773" spans="1:6">
      <c r="A2773" s="116" t="s">
        <v>638</v>
      </c>
    </row>
    <row r="2774" spans="1:6">
      <c r="A2774" s="116" t="s">
        <v>639</v>
      </c>
    </row>
    <row r="2775" spans="1:6" ht="37">
      <c r="A2775" s="135" t="s">
        <v>640</v>
      </c>
    </row>
    <row r="2776" spans="1:6" ht="16">
      <c r="A2776" s="117"/>
      <c r="B2776" s="117"/>
      <c r="C2776" s="117"/>
      <c r="D2776" s="117"/>
      <c r="E2776" s="117"/>
      <c r="F2776" s="117"/>
    </row>
    <row r="2777" spans="1:6" ht="16">
      <c r="A2777" s="117" t="s">
        <v>412</v>
      </c>
      <c r="B2777" s="117" t="s">
        <v>472</v>
      </c>
      <c r="C2777" s="117" t="s">
        <v>1895</v>
      </c>
      <c r="D2777" s="117" t="s">
        <v>1896</v>
      </c>
      <c r="E2777" s="117" t="s">
        <v>1897</v>
      </c>
      <c r="F2777" s="118">
        <v>6425.86</v>
      </c>
    </row>
    <row r="2778" spans="1:6" ht="16">
      <c r="A2778" s="117" t="s">
        <v>416</v>
      </c>
      <c r="B2778" s="117" t="s">
        <v>475</v>
      </c>
      <c r="C2778" s="117" t="s">
        <v>1898</v>
      </c>
      <c r="D2778" s="117" t="s">
        <v>1899</v>
      </c>
      <c r="E2778" s="117" t="s">
        <v>1900</v>
      </c>
      <c r="F2778" s="118">
        <v>8686.5300000000007</v>
      </c>
    </row>
    <row r="2779" spans="1:6" ht="16">
      <c r="A2779" s="117" t="s">
        <v>477</v>
      </c>
      <c r="B2779" s="117" t="s">
        <v>1382</v>
      </c>
      <c r="C2779" s="117" t="s">
        <v>791</v>
      </c>
      <c r="D2779" s="117" t="s">
        <v>1901</v>
      </c>
      <c r="E2779" s="117" t="s">
        <v>1901</v>
      </c>
      <c r="F2779" s="118">
        <v>-471555.78</v>
      </c>
    </row>
    <row r="2780" spans="1:6" ht="16">
      <c r="A2780" s="117"/>
      <c r="B2780" s="117"/>
      <c r="C2780" s="117" t="s">
        <v>1902</v>
      </c>
      <c r="D2780" s="117"/>
      <c r="E2780" s="117"/>
      <c r="F2780" s="117"/>
    </row>
    <row r="2782" spans="1:6" ht="16">
      <c r="A2782" s="137" t="s">
        <v>352</v>
      </c>
    </row>
    <row r="2783" spans="1:6">
      <c r="A2783" s="115" t="s">
        <v>482</v>
      </c>
    </row>
    <row r="2784" spans="1:6">
      <c r="A2784" s="115" t="s">
        <v>483</v>
      </c>
    </row>
    <row r="2785" spans="1:1">
      <c r="A2785" s="115" t="s">
        <v>1903</v>
      </c>
    </row>
    <row r="2786" spans="1:1">
      <c r="A2786" s="115" t="s">
        <v>421</v>
      </c>
    </row>
    <row r="2787" spans="1:1">
      <c r="A2787" s="114" t="s">
        <v>1904</v>
      </c>
    </row>
    <row r="2788" spans="1:1">
      <c r="A2788" s="120" t="s">
        <v>388</v>
      </c>
    </row>
    <row r="2789" spans="1:1">
      <c r="A2789" s="121" t="s">
        <v>1905</v>
      </c>
    </row>
    <row r="2790" spans="1:1">
      <c r="A2790" s="122" t="s">
        <v>1390</v>
      </c>
    </row>
    <row r="2791" spans="1:1">
      <c r="A2791" s="121" t="s">
        <v>973</v>
      </c>
    </row>
    <row r="2792" spans="1:1">
      <c r="A2792" s="121" t="s">
        <v>1906</v>
      </c>
    </row>
    <row r="2793" spans="1:1">
      <c r="A2793" s="122" t="s">
        <v>1906</v>
      </c>
    </row>
    <row r="2794" spans="1:1">
      <c r="A2794" s="121" t="s">
        <v>367</v>
      </c>
    </row>
    <row r="2795" spans="1:1">
      <c r="A2795" s="122" t="s">
        <v>1907</v>
      </c>
    </row>
    <row r="2796" spans="1:1">
      <c r="A2796" s="123">
        <v>3449.84</v>
      </c>
    </row>
    <row r="2797" spans="1:1">
      <c r="A2797" s="121" t="s">
        <v>1645</v>
      </c>
    </row>
    <row r="2798" spans="1:1">
      <c r="A2798" s="121" t="s">
        <v>1908</v>
      </c>
    </row>
    <row r="2799" spans="1:1">
      <c r="A2799" s="122" t="s">
        <v>1909</v>
      </c>
    </row>
    <row r="2800" spans="1:1">
      <c r="A2800" s="121" t="s">
        <v>1910</v>
      </c>
    </row>
    <row r="2801" spans="1:1">
      <c r="A2801" s="121" t="s">
        <v>1911</v>
      </c>
    </row>
    <row r="2802" spans="1:1">
      <c r="A2802" s="121" t="s">
        <v>1912</v>
      </c>
    </row>
    <row r="2803" spans="1:1">
      <c r="A2803" s="122" t="s">
        <v>369</v>
      </c>
    </row>
    <row r="2804" spans="1:1">
      <c r="A2804" s="121" t="s">
        <v>369</v>
      </c>
    </row>
    <row r="2805" spans="1:1">
      <c r="A2805" s="121" t="s">
        <v>1913</v>
      </c>
    </row>
    <row r="2806" spans="1:1">
      <c r="A2806" s="124" t="s">
        <v>803</v>
      </c>
    </row>
    <row r="2807" spans="1:1">
      <c r="A2807" s="114" t="s">
        <v>943</v>
      </c>
    </row>
    <row r="2808" spans="1:1">
      <c r="A2808" s="114" t="s">
        <v>944</v>
      </c>
    </row>
    <row r="2809" spans="1:1">
      <c r="A2809" s="133" t="s">
        <v>922</v>
      </c>
    </row>
    <row r="2810" spans="1:1">
      <c r="A2810" s="133" t="s">
        <v>379</v>
      </c>
    </row>
    <row r="2811" spans="1:1">
      <c r="A2811" s="133" t="s">
        <v>380</v>
      </c>
    </row>
    <row r="2812" spans="1:1">
      <c r="A2812" s="133" t="s">
        <v>381</v>
      </c>
    </row>
    <row r="2813" spans="1:1">
      <c r="A2813" s="129" t="s">
        <v>1169</v>
      </c>
    </row>
    <row r="2814" spans="1:1">
      <c r="A2814" s="129" t="s">
        <v>635</v>
      </c>
    </row>
    <row r="2815" spans="1:1">
      <c r="A2815" s="129" t="s">
        <v>1894</v>
      </c>
    </row>
    <row r="2816" spans="1:1">
      <c r="A2816" s="129" t="s">
        <v>637</v>
      </c>
    </row>
    <row r="2817" spans="1:1">
      <c r="A2817" s="120" t="s">
        <v>388</v>
      </c>
    </row>
    <row r="2818" spans="1:1">
      <c r="A2818" s="122" t="s">
        <v>1397</v>
      </c>
    </row>
    <row r="2819" spans="1:1">
      <c r="A2819" s="121" t="s">
        <v>991</v>
      </c>
    </row>
    <row r="2820" spans="1:1">
      <c r="A2820" s="122" t="s">
        <v>1914</v>
      </c>
    </row>
    <row r="2821" spans="1:1">
      <c r="A2821" s="121" t="s">
        <v>1914</v>
      </c>
    </row>
    <row r="2822" spans="1:1">
      <c r="A2822" s="121" t="s">
        <v>1915</v>
      </c>
    </row>
    <row r="2823" spans="1:1">
      <c r="A2823" s="122" t="s">
        <v>1916</v>
      </c>
    </row>
    <row r="2824" spans="1:1">
      <c r="A2824" s="121" t="s">
        <v>1917</v>
      </c>
    </row>
    <row r="2825" spans="1:1">
      <c r="A2825" s="121" t="s">
        <v>1658</v>
      </c>
    </row>
    <row r="2826" spans="1:1">
      <c r="A2826" s="121" t="s">
        <v>1918</v>
      </c>
    </row>
    <row r="2827" spans="1:1">
      <c r="A2827" s="122" t="s">
        <v>389</v>
      </c>
    </row>
    <row r="2828" spans="1:1">
      <c r="A2828" s="121" t="s">
        <v>389</v>
      </c>
    </row>
    <row r="2829" spans="1:1">
      <c r="A2829" s="121" t="s">
        <v>1919</v>
      </c>
    </row>
    <row r="2830" spans="1:1">
      <c r="A2830" s="121" t="s">
        <v>991</v>
      </c>
    </row>
    <row r="2831" spans="1:1">
      <c r="A2831" s="123">
        <v>3352.59</v>
      </c>
    </row>
    <row r="2832" spans="1:1">
      <c r="A2832" s="122" t="s">
        <v>1920</v>
      </c>
    </row>
    <row r="2833" spans="1:1">
      <c r="A2833" s="121" t="s">
        <v>1920</v>
      </c>
    </row>
    <row r="2834" spans="1:1">
      <c r="A2834" s="121" t="s">
        <v>1921</v>
      </c>
    </row>
    <row r="2835" spans="1:1">
      <c r="A2835" s="122" t="s">
        <v>1405</v>
      </c>
    </row>
    <row r="2836" spans="1:1">
      <c r="A2836" s="121" t="s">
        <v>973</v>
      </c>
    </row>
    <row r="2837" spans="1:1">
      <c r="A2837" s="122" t="s">
        <v>1922</v>
      </c>
    </row>
    <row r="2838" spans="1:1">
      <c r="A2838" s="121" t="s">
        <v>1922</v>
      </c>
    </row>
    <row r="2839" spans="1:1">
      <c r="A2839" s="121" t="s">
        <v>391</v>
      </c>
    </row>
    <row r="2840" spans="1:1">
      <c r="A2840" s="122" t="s">
        <v>1923</v>
      </c>
    </row>
    <row r="2841" spans="1:1">
      <c r="A2841" s="121" t="s">
        <v>1269</v>
      </c>
    </row>
    <row r="2842" spans="1:1">
      <c r="A2842" s="121" t="s">
        <v>1924</v>
      </c>
    </row>
    <row r="2843" spans="1:1">
      <c r="A2843" s="122" t="s">
        <v>1925</v>
      </c>
    </row>
    <row r="2844" spans="1:1">
      <c r="A2844" s="121" t="s">
        <v>991</v>
      </c>
    </row>
    <row r="2845" spans="1:1">
      <c r="A2845" s="121" t="s">
        <v>1926</v>
      </c>
    </row>
    <row r="2846" spans="1:1">
      <c r="A2846" s="121" t="s">
        <v>1927</v>
      </c>
    </row>
    <row r="2847" spans="1:1">
      <c r="A2847" s="122" t="s">
        <v>1927</v>
      </c>
    </row>
    <row r="2848" spans="1:1">
      <c r="A2848" s="121" t="s">
        <v>1411</v>
      </c>
    </row>
    <row r="2849" spans="1:1">
      <c r="A2849" s="121" t="s">
        <v>1928</v>
      </c>
    </row>
    <row r="2850" spans="1:1">
      <c r="A2850" s="121" t="s">
        <v>393</v>
      </c>
    </row>
    <row r="2851" spans="1:1">
      <c r="A2851" s="122" t="s">
        <v>393</v>
      </c>
    </row>
    <row r="2852" spans="1:1">
      <c r="A2852" s="121" t="s">
        <v>1929</v>
      </c>
    </row>
    <row r="2853" spans="1:1">
      <c r="A2853" s="122" t="s">
        <v>991</v>
      </c>
    </row>
    <row r="2854" spans="1:1">
      <c r="A2854" s="123">
        <v>3463.35</v>
      </c>
    </row>
    <row r="2855" spans="1:1">
      <c r="A2855" s="122" t="s">
        <v>1930</v>
      </c>
    </row>
    <row r="2856" spans="1:1">
      <c r="A2856" s="121" t="s">
        <v>1930</v>
      </c>
    </row>
    <row r="2857" spans="1:1">
      <c r="A2857" s="121" t="s">
        <v>1931</v>
      </c>
    </row>
    <row r="2858" spans="1:1">
      <c r="A2858" s="122" t="s">
        <v>1932</v>
      </c>
    </row>
    <row r="2859" spans="1:1">
      <c r="A2859" s="121" t="s">
        <v>973</v>
      </c>
    </row>
    <row r="2860" spans="1:1">
      <c r="A2860" s="122" t="s">
        <v>1933</v>
      </c>
    </row>
    <row r="2861" spans="1:1">
      <c r="A2861" s="121" t="s">
        <v>1933</v>
      </c>
    </row>
    <row r="2862" spans="1:1">
      <c r="A2862" s="121" t="s">
        <v>1073</v>
      </c>
    </row>
    <row r="2863" spans="1:1">
      <c r="A2863" s="121" t="s">
        <v>1934</v>
      </c>
    </row>
    <row r="2864" spans="1:1">
      <c r="A2864" s="123">
        <v>3564.7</v>
      </c>
    </row>
    <row r="2865" spans="1:1">
      <c r="A2865" s="121" t="s">
        <v>991</v>
      </c>
    </row>
    <row r="2866" spans="1:1">
      <c r="A2866" s="121" t="s">
        <v>1935</v>
      </c>
    </row>
    <row r="2867" spans="1:1">
      <c r="A2867" s="121" t="s">
        <v>1936</v>
      </c>
    </row>
    <row r="2868" spans="1:1">
      <c r="A2868" s="122" t="s">
        <v>1937</v>
      </c>
    </row>
    <row r="2869" spans="1:1">
      <c r="A2869" s="121" t="s">
        <v>1938</v>
      </c>
    </row>
    <row r="2870" spans="1:1">
      <c r="A2870" s="121" t="s">
        <v>1694</v>
      </c>
    </row>
    <row r="2871" spans="1:1">
      <c r="A2871" s="115" t="s">
        <v>570</v>
      </c>
    </row>
    <row r="2872" spans="1:1">
      <c r="A2872" s="115" t="s">
        <v>1903</v>
      </c>
    </row>
    <row r="2873" spans="1:1">
      <c r="A2873" s="115" t="s">
        <v>433</v>
      </c>
    </row>
    <row r="2874" spans="1:1">
      <c r="A2874" s="120" t="s">
        <v>388</v>
      </c>
    </row>
    <row r="2875" spans="1:1">
      <c r="A2875" s="121" t="s">
        <v>1939</v>
      </c>
    </row>
    <row r="2876" spans="1:1">
      <c r="A2876" s="122" t="s">
        <v>1940</v>
      </c>
    </row>
    <row r="2877" spans="1:1">
      <c r="A2877" s="121" t="s">
        <v>1941</v>
      </c>
    </row>
    <row r="2878" spans="1:1">
      <c r="A2878" s="121" t="s">
        <v>1942</v>
      </c>
    </row>
    <row r="2879" spans="1:1">
      <c r="A2879" s="122" t="s">
        <v>1943</v>
      </c>
    </row>
    <row r="2880" spans="1:1">
      <c r="A2880" s="121" t="s">
        <v>1944</v>
      </c>
    </row>
    <row r="2881" spans="1:1">
      <c r="A2881" s="121" t="s">
        <v>1945</v>
      </c>
    </row>
    <row r="2882" spans="1:1">
      <c r="A2882" s="122" t="s">
        <v>1946</v>
      </c>
    </row>
    <row r="2883" spans="1:1">
      <c r="A2883" s="121" t="s">
        <v>1947</v>
      </c>
    </row>
    <row r="2884" spans="1:1">
      <c r="A2884" s="121" t="s">
        <v>1948</v>
      </c>
    </row>
    <row r="2885" spans="1:1">
      <c r="A2885" s="122" t="s">
        <v>1949</v>
      </c>
    </row>
    <row r="2886" spans="1:1">
      <c r="A2886" s="121" t="s">
        <v>1950</v>
      </c>
    </row>
    <row r="2887" spans="1:1">
      <c r="A2887" s="121" t="s">
        <v>1951</v>
      </c>
    </row>
    <row r="2888" spans="1:1">
      <c r="A2888" s="114" t="s">
        <v>1952</v>
      </c>
    </row>
    <row r="2889" spans="1:1">
      <c r="A2889" s="136" t="s">
        <v>465</v>
      </c>
    </row>
    <row r="2890" spans="1:1">
      <c r="A2890" s="136" t="s">
        <v>1953</v>
      </c>
    </row>
    <row r="2891" spans="1:1">
      <c r="A2891" s="124" t="s">
        <v>862</v>
      </c>
    </row>
    <row r="2892" spans="1:1">
      <c r="A2892" s="114" t="s">
        <v>943</v>
      </c>
    </row>
    <row r="2893" spans="1:1">
      <c r="A2893" s="114" t="s">
        <v>944</v>
      </c>
    </row>
    <row r="2894" spans="1:1">
      <c r="A2894" s="133" t="s">
        <v>922</v>
      </c>
    </row>
    <row r="2895" spans="1:1">
      <c r="A2895" s="133" t="s">
        <v>379</v>
      </c>
    </row>
    <row r="2896" spans="1:1">
      <c r="A2896" s="133" t="s">
        <v>380</v>
      </c>
    </row>
    <row r="2897" spans="1:1">
      <c r="A2897" s="133" t="s">
        <v>381</v>
      </c>
    </row>
    <row r="2898" spans="1:1">
      <c r="A2898" s="129" t="s">
        <v>1169</v>
      </c>
    </row>
    <row r="2899" spans="1:1">
      <c r="A2899" s="129" t="s">
        <v>635</v>
      </c>
    </row>
    <row r="2900" spans="1:1">
      <c r="A2900" s="129" t="s">
        <v>1894</v>
      </c>
    </row>
    <row r="2901" spans="1:1">
      <c r="A2901" s="129" t="s">
        <v>637</v>
      </c>
    </row>
    <row r="2902" spans="1:1">
      <c r="A2902" s="115" t="s">
        <v>436</v>
      </c>
    </row>
    <row r="2903" spans="1:1">
      <c r="A2903" s="115" t="s">
        <v>1289</v>
      </c>
    </row>
    <row r="2904" spans="1:1">
      <c r="A2904" s="115" t="s">
        <v>1290</v>
      </c>
    </row>
    <row r="2905" spans="1:1">
      <c r="A2905" s="115" t="s">
        <v>1903</v>
      </c>
    </row>
    <row r="2906" spans="1:1">
      <c r="A2906" s="115" t="s">
        <v>1854</v>
      </c>
    </row>
    <row r="2907" spans="1:1">
      <c r="A2907" s="120" t="s">
        <v>388</v>
      </c>
    </row>
    <row r="2908" spans="1:1">
      <c r="A2908" s="121" t="s">
        <v>1092</v>
      </c>
    </row>
    <row r="2909" spans="1:1">
      <c r="A2909" s="122" t="s">
        <v>1954</v>
      </c>
    </row>
    <row r="2910" spans="1:1">
      <c r="A2910" s="121" t="s">
        <v>1954</v>
      </c>
    </row>
    <row r="2911" spans="1:1">
      <c r="A2911" s="121" t="s">
        <v>1955</v>
      </c>
    </row>
    <row r="2912" spans="1:1">
      <c r="A2912" s="122" t="s">
        <v>1956</v>
      </c>
    </row>
    <row r="2913" spans="1:1">
      <c r="A2913" s="121" t="s">
        <v>1957</v>
      </c>
    </row>
    <row r="2914" spans="1:1">
      <c r="A2914" s="121" t="s">
        <v>1958</v>
      </c>
    </row>
    <row r="2915" spans="1:1">
      <c r="A2915" s="122" t="s">
        <v>1959</v>
      </c>
    </row>
    <row r="2916" spans="1:1">
      <c r="A2916" s="121" t="s">
        <v>1959</v>
      </c>
    </row>
    <row r="2917" spans="1:1">
      <c r="A2917" s="121" t="s">
        <v>1960</v>
      </c>
    </row>
    <row r="2918" spans="1:1">
      <c r="A2918" s="122" t="s">
        <v>1961</v>
      </c>
    </row>
    <row r="2919" spans="1:1">
      <c r="A2919" s="121" t="s">
        <v>1961</v>
      </c>
    </row>
    <row r="2920" spans="1:1">
      <c r="A2920" s="121" t="s">
        <v>1962</v>
      </c>
    </row>
    <row r="2921" spans="1:1">
      <c r="A2921" s="122" t="s">
        <v>1963</v>
      </c>
    </row>
    <row r="2922" spans="1:1">
      <c r="A2922" s="121" t="s">
        <v>1964</v>
      </c>
    </row>
    <row r="2923" spans="1:1">
      <c r="A2923" s="121" t="s">
        <v>1965</v>
      </c>
    </row>
    <row r="2924" spans="1:1">
      <c r="A2924" s="122" t="s">
        <v>1966</v>
      </c>
    </row>
    <row r="2925" spans="1:1">
      <c r="A2925" s="121" t="s">
        <v>1966</v>
      </c>
    </row>
    <row r="2926" spans="1:1">
      <c r="A2926" s="121" t="s">
        <v>1967</v>
      </c>
    </row>
    <row r="2927" spans="1:1">
      <c r="A2927" s="122" t="s">
        <v>1968</v>
      </c>
    </row>
    <row r="2928" spans="1:1">
      <c r="A2928" s="121" t="s">
        <v>1968</v>
      </c>
    </row>
    <row r="2929" spans="1:1">
      <c r="A2929" s="121" t="s">
        <v>1969</v>
      </c>
    </row>
    <row r="2930" spans="1:1">
      <c r="A2930" s="122" t="s">
        <v>1970</v>
      </c>
    </row>
    <row r="2931" spans="1:1">
      <c r="A2931" s="121" t="s">
        <v>1957</v>
      </c>
    </row>
    <row r="2932" spans="1:1">
      <c r="A2932" s="121" t="s">
        <v>1971</v>
      </c>
    </row>
    <row r="2933" spans="1:1">
      <c r="A2933" s="122" t="s">
        <v>1972</v>
      </c>
    </row>
    <row r="2934" spans="1:1">
      <c r="A2934" s="121" t="s">
        <v>1972</v>
      </c>
    </row>
    <row r="2935" spans="1:1">
      <c r="A2935" s="121" t="s">
        <v>1973</v>
      </c>
    </row>
    <row r="2936" spans="1:1">
      <c r="A2936" s="122" t="s">
        <v>753</v>
      </c>
    </row>
    <row r="2937" spans="1:1">
      <c r="A2937" s="121" t="s">
        <v>753</v>
      </c>
    </row>
    <row r="2938" spans="1:1">
      <c r="A2938" s="136" t="s">
        <v>465</v>
      </c>
    </row>
    <row r="2939" spans="1:1">
      <c r="A2939" s="136" t="s">
        <v>1974</v>
      </c>
    </row>
    <row r="2940" spans="1:1">
      <c r="A2940" s="115" t="s">
        <v>436</v>
      </c>
    </row>
    <row r="2941" spans="1:1">
      <c r="A2941" s="114" t="s">
        <v>1975</v>
      </c>
    </row>
    <row r="2942" spans="1:1">
      <c r="A2942" s="115" t="s">
        <v>1331</v>
      </c>
    </row>
    <row r="2943" spans="1:1">
      <c r="A2943" s="115" t="s">
        <v>1332</v>
      </c>
    </row>
    <row r="2944" spans="1:1">
      <c r="A2944" s="115" t="s">
        <v>1903</v>
      </c>
    </row>
    <row r="2945" spans="1:1">
      <c r="A2945" s="115" t="s">
        <v>1333</v>
      </c>
    </row>
    <row r="2946" spans="1:1">
      <c r="A2946" s="120" t="s">
        <v>388</v>
      </c>
    </row>
    <row r="2947" spans="1:1">
      <c r="A2947" s="121" t="s">
        <v>1976</v>
      </c>
    </row>
    <row r="2948" spans="1:1">
      <c r="A2948" s="122" t="s">
        <v>1977</v>
      </c>
    </row>
    <row r="2949" spans="1:1">
      <c r="A2949" s="121" t="s">
        <v>1977</v>
      </c>
    </row>
    <row r="2950" spans="1:1">
      <c r="A2950" s="121" t="s">
        <v>1978</v>
      </c>
    </row>
    <row r="2951" spans="1:1">
      <c r="A2951" s="122" t="s">
        <v>1979</v>
      </c>
    </row>
    <row r="2952" spans="1:1">
      <c r="A2952" s="121" t="s">
        <v>1979</v>
      </c>
    </row>
    <row r="2953" spans="1:1">
      <c r="A2953" s="121" t="s">
        <v>1980</v>
      </c>
    </row>
    <row r="2954" spans="1:1">
      <c r="A2954" s="122" t="s">
        <v>1981</v>
      </c>
    </row>
    <row r="2955" spans="1:1">
      <c r="A2955" s="121" t="s">
        <v>1981</v>
      </c>
    </row>
    <row r="2956" spans="1:1">
      <c r="A2956" s="121" t="s">
        <v>1982</v>
      </c>
    </row>
    <row r="2957" spans="1:1">
      <c r="A2957" s="122" t="s">
        <v>1983</v>
      </c>
    </row>
    <row r="2958" spans="1:1">
      <c r="A2958" s="121" t="s">
        <v>1983</v>
      </c>
    </row>
    <row r="2959" spans="1:1">
      <c r="A2959" s="121" t="s">
        <v>1984</v>
      </c>
    </row>
    <row r="2960" spans="1:1">
      <c r="A2960" s="122" t="s">
        <v>1985</v>
      </c>
    </row>
    <row r="2961" spans="1:1">
      <c r="A2961" s="121" t="s">
        <v>1985</v>
      </c>
    </row>
    <row r="2962" spans="1:1">
      <c r="A2962" s="121" t="s">
        <v>1986</v>
      </c>
    </row>
    <row r="2963" spans="1:1">
      <c r="A2963" s="122" t="s">
        <v>1987</v>
      </c>
    </row>
    <row r="2964" spans="1:1">
      <c r="A2964" s="121" t="s">
        <v>1987</v>
      </c>
    </row>
    <row r="2965" spans="1:1">
      <c r="A2965" s="124" t="s">
        <v>1083</v>
      </c>
    </row>
    <row r="2966" spans="1:1">
      <c r="A2966" s="114" t="s">
        <v>943</v>
      </c>
    </row>
    <row r="2967" spans="1:1">
      <c r="A2967" s="114" t="s">
        <v>944</v>
      </c>
    </row>
    <row r="2968" spans="1:1">
      <c r="A2968" s="133" t="s">
        <v>922</v>
      </c>
    </row>
    <row r="2969" spans="1:1">
      <c r="A2969" s="133" t="s">
        <v>379</v>
      </c>
    </row>
    <row r="2970" spans="1:1">
      <c r="A2970" s="133" t="s">
        <v>380</v>
      </c>
    </row>
    <row r="2971" spans="1:1">
      <c r="A2971" s="133" t="s">
        <v>381</v>
      </c>
    </row>
    <row r="2972" spans="1:1">
      <c r="A2972" s="129" t="s">
        <v>1169</v>
      </c>
    </row>
    <row r="2973" spans="1:1">
      <c r="A2973" s="129" t="s">
        <v>635</v>
      </c>
    </row>
    <row r="2974" spans="1:1">
      <c r="A2974" s="129" t="s">
        <v>1894</v>
      </c>
    </row>
    <row r="2975" spans="1:1">
      <c r="A2975" s="129" t="s">
        <v>637</v>
      </c>
    </row>
    <row r="2976" spans="1:1">
      <c r="A2976" s="120" t="s">
        <v>388</v>
      </c>
    </row>
    <row r="2977" spans="1:1">
      <c r="A2977" s="121" t="s">
        <v>1988</v>
      </c>
    </row>
    <row r="2978" spans="1:1">
      <c r="A2978" s="122" t="s">
        <v>1989</v>
      </c>
    </row>
    <row r="2979" spans="1:1">
      <c r="A2979" s="121" t="s">
        <v>1989</v>
      </c>
    </row>
    <row r="2980" spans="1:1">
      <c r="A2980" s="136" t="s">
        <v>465</v>
      </c>
    </row>
    <row r="2981" spans="1:1">
      <c r="A2981" s="136" t="s">
        <v>1990</v>
      </c>
    </row>
    <row r="2982" spans="1:1">
      <c r="A2982" s="114" t="s">
        <v>1991</v>
      </c>
    </row>
    <row r="2983" spans="1:1">
      <c r="A2983" s="124" t="s">
        <v>920</v>
      </c>
    </row>
    <row r="2984" spans="1:1">
      <c r="A2984" s="114" t="s">
        <v>943</v>
      </c>
    </row>
    <row r="2985" spans="1:1">
      <c r="A2985" s="114" t="s">
        <v>468</v>
      </c>
    </row>
    <row r="2988" spans="1:1">
      <c r="A2988" s="132" t="s">
        <v>402</v>
      </c>
    </row>
    <row r="2989" spans="1:1">
      <c r="A2989" s="133" t="s">
        <v>921</v>
      </c>
    </row>
    <row r="2990" spans="1:1">
      <c r="A2990" s="133" t="s">
        <v>922</v>
      </c>
    </row>
    <row r="2991" spans="1:1">
      <c r="A2991" s="133" t="s">
        <v>379</v>
      </c>
    </row>
    <row r="2992" spans="1:1">
      <c r="A2992" s="133" t="s">
        <v>380</v>
      </c>
    </row>
    <row r="2993" spans="1:6">
      <c r="A2993" s="133" t="s">
        <v>381</v>
      </c>
    </row>
    <row r="2994" spans="1:6">
      <c r="A2994" s="134" t="s">
        <v>403</v>
      </c>
    </row>
    <row r="2995" spans="1:6">
      <c r="A2995" s="114">
        <v>47</v>
      </c>
    </row>
    <row r="2996" spans="1:6">
      <c r="A2996" s="134" t="s">
        <v>923</v>
      </c>
    </row>
    <row r="2997" spans="1:6">
      <c r="A2997" s="132" t="s">
        <v>382</v>
      </c>
    </row>
    <row r="2998" spans="1:6">
      <c r="A2998" s="129" t="s">
        <v>1169</v>
      </c>
    </row>
    <row r="2999" spans="1:6">
      <c r="A2999" s="129" t="s">
        <v>635</v>
      </c>
    </row>
    <row r="3000" spans="1:6">
      <c r="A3000" s="129" t="s">
        <v>1992</v>
      </c>
    </row>
    <row r="3001" spans="1:6">
      <c r="A3001" s="129" t="s">
        <v>637</v>
      </c>
    </row>
    <row r="3002" spans="1:6">
      <c r="A3002" s="114">
        <v>1761</v>
      </c>
    </row>
    <row r="3003" spans="1:6">
      <c r="A3003" s="116" t="s">
        <v>409</v>
      </c>
    </row>
    <row r="3004" spans="1:6">
      <c r="A3004" s="116" t="s">
        <v>638</v>
      </c>
    </row>
    <row r="3005" spans="1:6">
      <c r="A3005" s="116" t="s">
        <v>639</v>
      </c>
    </row>
    <row r="3006" spans="1:6" ht="37">
      <c r="A3006" s="135" t="s">
        <v>640</v>
      </c>
    </row>
    <row r="3007" spans="1:6" ht="16">
      <c r="A3007" s="117"/>
      <c r="B3007" s="117"/>
      <c r="C3007" s="117"/>
      <c r="D3007" s="117"/>
      <c r="E3007" s="117"/>
      <c r="F3007" s="117"/>
    </row>
    <row r="3008" spans="1:6" ht="16">
      <c r="A3008" s="117" t="s">
        <v>412</v>
      </c>
      <c r="B3008" s="117" t="s">
        <v>472</v>
      </c>
      <c r="C3008" s="117" t="s">
        <v>1993</v>
      </c>
      <c r="D3008" s="117" t="s">
        <v>1994</v>
      </c>
      <c r="E3008" s="117" t="s">
        <v>1995</v>
      </c>
      <c r="F3008" s="118">
        <v>7990.37</v>
      </c>
    </row>
    <row r="3009" spans="1:6" ht="16">
      <c r="A3009" s="117" t="s">
        <v>416</v>
      </c>
      <c r="B3009" s="117" t="s">
        <v>475</v>
      </c>
      <c r="C3009" s="117" t="s">
        <v>1996</v>
      </c>
      <c r="D3009" s="117" t="s">
        <v>1997</v>
      </c>
      <c r="E3009" s="117" t="s">
        <v>1998</v>
      </c>
      <c r="F3009" s="118">
        <v>8690.8799999999992</v>
      </c>
    </row>
    <row r="3010" spans="1:6" ht="16">
      <c r="A3010" s="117" t="s">
        <v>477</v>
      </c>
      <c r="B3010" s="117" t="s">
        <v>1382</v>
      </c>
      <c r="C3010" s="117" t="s">
        <v>791</v>
      </c>
      <c r="D3010" s="117" t="s">
        <v>1999</v>
      </c>
      <c r="E3010" s="117" t="s">
        <v>2000</v>
      </c>
      <c r="F3010" s="118">
        <v>-471447.67</v>
      </c>
    </row>
    <row r="3011" spans="1:6" ht="16">
      <c r="A3011" s="117"/>
      <c r="B3011" s="117"/>
      <c r="C3011" s="117" t="s">
        <v>2001</v>
      </c>
      <c r="D3011" s="117"/>
      <c r="E3011" s="117"/>
      <c r="F3011" s="117"/>
    </row>
    <row r="3013" spans="1:6" ht="16">
      <c r="A3013" s="137" t="s">
        <v>352</v>
      </c>
    </row>
    <row r="3014" spans="1:6">
      <c r="A3014" s="115" t="s">
        <v>482</v>
      </c>
    </row>
    <row r="3015" spans="1:6">
      <c r="A3015" s="115" t="s">
        <v>483</v>
      </c>
    </row>
    <row r="3016" spans="1:6">
      <c r="A3016" s="115" t="s">
        <v>2002</v>
      </c>
    </row>
    <row r="3017" spans="1:6">
      <c r="A3017" s="115" t="s">
        <v>2003</v>
      </c>
    </row>
    <row r="3018" spans="1:6">
      <c r="A3018" s="120" t="s">
        <v>2004</v>
      </c>
    </row>
    <row r="3019" spans="1:6">
      <c r="A3019" s="122" t="s">
        <v>2005</v>
      </c>
    </row>
    <row r="3020" spans="1:6">
      <c r="A3020" s="122" t="s">
        <v>807</v>
      </c>
    </row>
    <row r="3021" spans="1:6" ht="16">
      <c r="A3021" s="117" t="s">
        <v>2006</v>
      </c>
      <c r="B3021" s="117"/>
      <c r="C3021" s="117" t="s">
        <v>798</v>
      </c>
    </row>
    <row r="3022" spans="1:6" ht="16">
      <c r="A3022" s="206"/>
      <c r="B3022" s="206" t="s">
        <v>498</v>
      </c>
      <c r="C3022" s="117" t="s">
        <v>654</v>
      </c>
    </row>
    <row r="3023" spans="1:6" ht="16">
      <c r="A3023" s="206"/>
      <c r="B3023" s="206"/>
      <c r="C3023" s="125">
        <v>6425.86</v>
      </c>
    </row>
    <row r="3024" spans="1:6" ht="16">
      <c r="A3024" s="117" t="s">
        <v>973</v>
      </c>
      <c r="B3024" s="206" t="s">
        <v>2007</v>
      </c>
      <c r="C3024" s="125">
        <v>3802.07</v>
      </c>
    </row>
    <row r="3025" spans="1:3" ht="16">
      <c r="A3025" s="117" t="s">
        <v>973</v>
      </c>
      <c r="B3025" s="206"/>
      <c r="C3025" s="125">
        <v>3802.07</v>
      </c>
    </row>
    <row r="3026" spans="1:3" ht="16">
      <c r="A3026" s="117" t="s">
        <v>1269</v>
      </c>
      <c r="B3026" s="206" t="s">
        <v>2008</v>
      </c>
      <c r="C3026" s="125">
        <v>3574.08</v>
      </c>
    </row>
    <row r="3027" spans="1:3" ht="16">
      <c r="A3027" s="117" t="s">
        <v>1269</v>
      </c>
      <c r="B3027" s="206"/>
      <c r="C3027" s="125">
        <v>3574.08</v>
      </c>
    </row>
    <row r="3028" spans="1:3" ht="16">
      <c r="A3028" s="117" t="s">
        <v>991</v>
      </c>
      <c r="B3028" s="117" t="s">
        <v>2009</v>
      </c>
      <c r="C3028" s="117">
        <v>235.24</v>
      </c>
    </row>
    <row r="3029" spans="1:3" ht="16">
      <c r="A3029" s="206" t="s">
        <v>2010</v>
      </c>
      <c r="B3029" s="206" t="s">
        <v>2011</v>
      </c>
      <c r="C3029" s="117" t="s">
        <v>2012</v>
      </c>
    </row>
    <row r="3030" spans="1:3" ht="16">
      <c r="A3030" s="206"/>
      <c r="B3030" s="206"/>
      <c r="C3030" s="117" t="s">
        <v>2012</v>
      </c>
    </row>
    <row r="3031" spans="1:3" ht="16">
      <c r="A3031" s="206"/>
      <c r="B3031" s="206"/>
      <c r="C3031" s="125">
        <v>3811.45</v>
      </c>
    </row>
    <row r="3032" spans="1:3" ht="16">
      <c r="A3032" s="117" t="s">
        <v>2013</v>
      </c>
      <c r="B3032" s="117"/>
      <c r="C3032" s="125">
        <v>3583.49</v>
      </c>
    </row>
    <row r="3034" spans="1:3">
      <c r="A3034" s="124" t="s">
        <v>803</v>
      </c>
    </row>
    <row r="3035" spans="1:3">
      <c r="A3035" s="114" t="s">
        <v>943</v>
      </c>
    </row>
    <row r="3036" spans="1:3">
      <c r="A3036" s="114" t="s">
        <v>944</v>
      </c>
    </row>
    <row r="3037" spans="1:3">
      <c r="A3037" s="133" t="s">
        <v>922</v>
      </c>
    </row>
    <row r="3038" spans="1:3">
      <c r="A3038" s="133" t="s">
        <v>379</v>
      </c>
    </row>
    <row r="3039" spans="1:3">
      <c r="A3039" s="133" t="s">
        <v>380</v>
      </c>
    </row>
    <row r="3040" spans="1:3">
      <c r="A3040" s="133" t="s">
        <v>381</v>
      </c>
    </row>
    <row r="3041" spans="1:1">
      <c r="A3041" s="129" t="s">
        <v>1169</v>
      </c>
    </row>
    <row r="3042" spans="1:1">
      <c r="A3042" s="129" t="s">
        <v>635</v>
      </c>
    </row>
    <row r="3043" spans="1:1">
      <c r="A3043" s="129" t="s">
        <v>1992</v>
      </c>
    </row>
    <row r="3044" spans="1:1">
      <c r="A3044" s="129" t="s">
        <v>637</v>
      </c>
    </row>
    <row r="3045" spans="1:1">
      <c r="A3045" s="120" t="s">
        <v>388</v>
      </c>
    </row>
    <row r="3046" spans="1:1">
      <c r="A3046" s="122" t="s">
        <v>2014</v>
      </c>
    </row>
    <row r="3047" spans="1:1">
      <c r="A3047" s="121" t="s">
        <v>991</v>
      </c>
    </row>
    <row r="3048" spans="1:1">
      <c r="A3048" s="122" t="s">
        <v>2015</v>
      </c>
    </row>
    <row r="3049" spans="1:1">
      <c r="A3049" s="121" t="s">
        <v>2015</v>
      </c>
    </row>
    <row r="3050" spans="1:1">
      <c r="A3050" s="121" t="s">
        <v>2016</v>
      </c>
    </row>
    <row r="3051" spans="1:1">
      <c r="A3051" s="122" t="s">
        <v>2017</v>
      </c>
    </row>
    <row r="3052" spans="1:1">
      <c r="A3052" s="121" t="s">
        <v>973</v>
      </c>
    </row>
    <row r="3053" spans="1:1">
      <c r="A3053" s="121" t="s">
        <v>2018</v>
      </c>
    </row>
    <row r="3054" spans="1:1">
      <c r="A3054" s="121" t="s">
        <v>2019</v>
      </c>
    </row>
    <row r="3055" spans="1:1">
      <c r="A3055" s="121" t="s">
        <v>821</v>
      </c>
    </row>
    <row r="3056" spans="1:1">
      <c r="A3056" s="121" t="s">
        <v>2020</v>
      </c>
    </row>
    <row r="3057" spans="1:1">
      <c r="A3057" s="123">
        <v>3584.84</v>
      </c>
    </row>
    <row r="3058" spans="1:1">
      <c r="A3058" s="121" t="s">
        <v>991</v>
      </c>
    </row>
    <row r="3059" spans="1:1">
      <c r="A3059" s="121" t="s">
        <v>2021</v>
      </c>
    </row>
    <row r="3060" spans="1:1">
      <c r="A3060" s="121" t="s">
        <v>2022</v>
      </c>
    </row>
    <row r="3061" spans="1:1">
      <c r="A3061" s="122" t="s">
        <v>2023</v>
      </c>
    </row>
    <row r="3062" spans="1:1">
      <c r="A3062" s="121" t="s">
        <v>2024</v>
      </c>
    </row>
    <row r="3063" spans="1:1">
      <c r="A3063" s="121" t="s">
        <v>2025</v>
      </c>
    </row>
    <row r="3064" spans="1:1">
      <c r="A3064" s="122" t="s">
        <v>973</v>
      </c>
    </row>
    <row r="3065" spans="1:1">
      <c r="A3065" s="122" t="s">
        <v>2026</v>
      </c>
    </row>
    <row r="3066" spans="1:1">
      <c r="A3066" s="121" t="s">
        <v>2026</v>
      </c>
    </row>
    <row r="3067" spans="1:1">
      <c r="A3067" s="121" t="s">
        <v>825</v>
      </c>
    </row>
    <row r="3068" spans="1:1">
      <c r="A3068" s="121" t="s">
        <v>2027</v>
      </c>
    </row>
    <row r="3069" spans="1:1">
      <c r="A3069" s="123">
        <v>3610.03</v>
      </c>
    </row>
    <row r="3070" spans="1:1">
      <c r="A3070" s="121" t="s">
        <v>1526</v>
      </c>
    </row>
    <row r="3071" spans="1:1">
      <c r="A3071" s="121" t="s">
        <v>2028</v>
      </c>
    </row>
    <row r="3072" spans="1:1">
      <c r="A3072" s="121" t="s">
        <v>2029</v>
      </c>
    </row>
    <row r="3073" spans="1:1">
      <c r="A3073" s="122" t="s">
        <v>2030</v>
      </c>
    </row>
    <row r="3074" spans="1:1">
      <c r="A3074" s="121" t="s">
        <v>2031</v>
      </c>
    </row>
    <row r="3075" spans="1:1">
      <c r="A3075" s="121" t="s">
        <v>2032</v>
      </c>
    </row>
    <row r="3076" spans="1:1">
      <c r="A3076" s="122" t="s">
        <v>2033</v>
      </c>
    </row>
    <row r="3077" spans="1:1">
      <c r="A3077" s="121" t="s">
        <v>1807</v>
      </c>
    </row>
    <row r="3078" spans="1:1">
      <c r="A3078" s="121" t="s">
        <v>2034</v>
      </c>
    </row>
    <row r="3079" spans="1:1">
      <c r="A3079" s="121" t="s">
        <v>833</v>
      </c>
    </row>
    <row r="3080" spans="1:1">
      <c r="A3080" s="122" t="s">
        <v>833</v>
      </c>
    </row>
    <row r="3081" spans="1:1">
      <c r="A3081" s="121" t="s">
        <v>1813</v>
      </c>
    </row>
    <row r="3082" spans="1:1">
      <c r="A3082" s="121" t="s">
        <v>2035</v>
      </c>
    </row>
    <row r="3083" spans="1:1">
      <c r="A3083" s="122" t="s">
        <v>2036</v>
      </c>
    </row>
    <row r="3084" spans="1:1">
      <c r="A3084" s="122" t="s">
        <v>1262</v>
      </c>
    </row>
    <row r="3085" spans="1:1">
      <c r="A3085" s="122" t="s">
        <v>2037</v>
      </c>
    </row>
    <row r="3086" spans="1:1">
      <c r="A3086" s="121" t="s">
        <v>2038</v>
      </c>
    </row>
    <row r="3087" spans="1:1">
      <c r="A3087" s="121" t="s">
        <v>2039</v>
      </c>
    </row>
    <row r="3088" spans="1:1">
      <c r="A3088" s="121" t="s">
        <v>2040</v>
      </c>
    </row>
    <row r="3089" spans="1:1">
      <c r="A3089" s="121">
        <v>90.37</v>
      </c>
    </row>
    <row r="3090" spans="1:1">
      <c r="A3090" s="121" t="s">
        <v>2041</v>
      </c>
    </row>
    <row r="3091" spans="1:1">
      <c r="A3091" s="121" t="s">
        <v>2042</v>
      </c>
    </row>
    <row r="3092" spans="1:1">
      <c r="A3092" s="122" t="s">
        <v>2042</v>
      </c>
    </row>
    <row r="3093" spans="1:1">
      <c r="A3093" s="121" t="s">
        <v>2043</v>
      </c>
    </row>
    <row r="3094" spans="1:1">
      <c r="A3094" s="121" t="s">
        <v>2044</v>
      </c>
    </row>
    <row r="3095" spans="1:1">
      <c r="A3095" s="121" t="s">
        <v>2045</v>
      </c>
    </row>
    <row r="3096" spans="1:1">
      <c r="A3096" s="122" t="s">
        <v>2046</v>
      </c>
    </row>
    <row r="3097" spans="1:1">
      <c r="A3097" s="121" t="s">
        <v>2047</v>
      </c>
    </row>
    <row r="3098" spans="1:1">
      <c r="A3098" s="121" t="s">
        <v>2048</v>
      </c>
    </row>
    <row r="3099" spans="1:1">
      <c r="A3099" s="121" t="s">
        <v>847</v>
      </c>
    </row>
    <row r="3100" spans="1:1">
      <c r="A3100" s="122" t="s">
        <v>847</v>
      </c>
    </row>
    <row r="3101" spans="1:1">
      <c r="A3101" s="121" t="s">
        <v>2049</v>
      </c>
    </row>
    <row r="3102" spans="1:1">
      <c r="A3102" s="121" t="s">
        <v>2050</v>
      </c>
    </row>
    <row r="3103" spans="1:1">
      <c r="A3103" s="121" t="s">
        <v>2051</v>
      </c>
    </row>
    <row r="3104" spans="1:1">
      <c r="A3104" s="122" t="s">
        <v>2052</v>
      </c>
    </row>
    <row r="3105" spans="1:1">
      <c r="A3105" s="121" t="s">
        <v>2053</v>
      </c>
    </row>
    <row r="3106" spans="1:1">
      <c r="A3106" s="115" t="s">
        <v>569</v>
      </c>
    </row>
    <row r="3107" spans="1:1">
      <c r="A3107" s="115" t="s">
        <v>570</v>
      </c>
    </row>
    <row r="3108" spans="1:1">
      <c r="A3108" s="115" t="s">
        <v>2002</v>
      </c>
    </row>
    <row r="3109" spans="1:1">
      <c r="A3109" s="115" t="s">
        <v>433</v>
      </c>
    </row>
    <row r="3110" spans="1:1">
      <c r="A3110" s="114" t="s">
        <v>2054</v>
      </c>
    </row>
    <row r="3111" spans="1:1">
      <c r="A3111" s="120" t="s">
        <v>388</v>
      </c>
    </row>
    <row r="3112" spans="1:1">
      <c r="A3112" s="121" t="s">
        <v>2055</v>
      </c>
    </row>
    <row r="3113" spans="1:1">
      <c r="A3113" s="122" t="s">
        <v>2056</v>
      </c>
    </row>
    <row r="3114" spans="1:1">
      <c r="A3114" s="121" t="s">
        <v>2057</v>
      </c>
    </row>
    <row r="3115" spans="1:1">
      <c r="A3115" s="121" t="s">
        <v>2058</v>
      </c>
    </row>
    <row r="3116" spans="1:1">
      <c r="A3116" s="122" t="s">
        <v>2059</v>
      </c>
    </row>
    <row r="3117" spans="1:1">
      <c r="A3117" s="121" t="s">
        <v>2060</v>
      </c>
    </row>
    <row r="3118" spans="1:1">
      <c r="A3118" s="121" t="s">
        <v>2061</v>
      </c>
    </row>
    <row r="3119" spans="1:1">
      <c r="A3119" s="122" t="s">
        <v>2062</v>
      </c>
    </row>
    <row r="3120" spans="1:1">
      <c r="A3120" s="121" t="s">
        <v>2063</v>
      </c>
    </row>
    <row r="3121" spans="1:1">
      <c r="A3121" s="121" t="s">
        <v>2064</v>
      </c>
    </row>
    <row r="3122" spans="1:1">
      <c r="A3122" s="121" t="s">
        <v>2065</v>
      </c>
    </row>
    <row r="3123" spans="1:1">
      <c r="A3123" s="122" t="s">
        <v>2066</v>
      </c>
    </row>
    <row r="3124" spans="1:1">
      <c r="A3124" s="121" t="s">
        <v>2067</v>
      </c>
    </row>
    <row r="3125" spans="1:1">
      <c r="A3125" s="121" t="s">
        <v>2068</v>
      </c>
    </row>
    <row r="3126" spans="1:1">
      <c r="A3126" s="124" t="s">
        <v>862</v>
      </c>
    </row>
    <row r="3127" spans="1:1">
      <c r="A3127" s="114" t="s">
        <v>943</v>
      </c>
    </row>
    <row r="3128" spans="1:1">
      <c r="A3128" s="114" t="s">
        <v>944</v>
      </c>
    </row>
    <row r="3129" spans="1:1">
      <c r="A3129" s="133" t="s">
        <v>922</v>
      </c>
    </row>
    <row r="3130" spans="1:1">
      <c r="A3130" s="133" t="s">
        <v>379</v>
      </c>
    </row>
    <row r="3131" spans="1:1">
      <c r="A3131" s="133" t="s">
        <v>380</v>
      </c>
    </row>
    <row r="3132" spans="1:1">
      <c r="A3132" s="133" t="s">
        <v>381</v>
      </c>
    </row>
    <row r="3133" spans="1:1">
      <c r="A3133" s="129" t="s">
        <v>1169</v>
      </c>
    </row>
    <row r="3134" spans="1:1">
      <c r="A3134" s="129" t="s">
        <v>635</v>
      </c>
    </row>
    <row r="3135" spans="1:1">
      <c r="A3135" s="129" t="s">
        <v>1992</v>
      </c>
    </row>
    <row r="3136" spans="1:1">
      <c r="A3136" s="129" t="s">
        <v>637</v>
      </c>
    </row>
    <row r="3137" spans="1:1">
      <c r="A3137" s="120" t="s">
        <v>388</v>
      </c>
    </row>
    <row r="3138" spans="1:1">
      <c r="A3138" s="122" t="s">
        <v>2069</v>
      </c>
    </row>
    <row r="3139" spans="1:1">
      <c r="A3139" s="121" t="s">
        <v>2069</v>
      </c>
    </row>
    <row r="3140" spans="1:1">
      <c r="A3140" s="136" t="s">
        <v>465</v>
      </c>
    </row>
    <row r="3141" spans="1:1">
      <c r="A3141" s="136" t="s">
        <v>2070</v>
      </c>
    </row>
    <row r="3142" spans="1:1">
      <c r="A3142" s="115" t="s">
        <v>436</v>
      </c>
    </row>
    <row r="3143" spans="1:1">
      <c r="A3143" s="115" t="s">
        <v>1289</v>
      </c>
    </row>
    <row r="3144" spans="1:1">
      <c r="A3144" s="115" t="s">
        <v>1290</v>
      </c>
    </row>
    <row r="3145" spans="1:1">
      <c r="A3145" s="115" t="s">
        <v>2002</v>
      </c>
    </row>
    <row r="3146" spans="1:1">
      <c r="A3146" s="115" t="s">
        <v>2071</v>
      </c>
    </row>
    <row r="3147" spans="1:1">
      <c r="A3147" s="120" t="s">
        <v>388</v>
      </c>
    </row>
    <row r="3148" spans="1:1">
      <c r="A3148" s="121" t="s">
        <v>866</v>
      </c>
    </row>
    <row r="3149" spans="1:1">
      <c r="A3149" s="122" t="s">
        <v>2072</v>
      </c>
    </row>
    <row r="3150" spans="1:1">
      <c r="A3150" s="121" t="s">
        <v>2072</v>
      </c>
    </row>
    <row r="3151" spans="1:1">
      <c r="A3151" s="121" t="s">
        <v>2073</v>
      </c>
    </row>
    <row r="3152" spans="1:1">
      <c r="A3152" s="122" t="s">
        <v>2074</v>
      </c>
    </row>
    <row r="3153" spans="1:1">
      <c r="A3153" s="121" t="s">
        <v>2075</v>
      </c>
    </row>
    <row r="3154" spans="1:1">
      <c r="A3154" s="121" t="s">
        <v>2076</v>
      </c>
    </row>
    <row r="3155" spans="1:1">
      <c r="A3155" s="122" t="s">
        <v>2077</v>
      </c>
    </row>
    <row r="3156" spans="1:1">
      <c r="A3156" s="121" t="s">
        <v>2077</v>
      </c>
    </row>
    <row r="3157" spans="1:1">
      <c r="A3157" s="121" t="s">
        <v>2078</v>
      </c>
    </row>
    <row r="3158" spans="1:1">
      <c r="A3158" s="122" t="s">
        <v>2079</v>
      </c>
    </row>
    <row r="3159" spans="1:1">
      <c r="A3159" s="121" t="s">
        <v>2079</v>
      </c>
    </row>
    <row r="3160" spans="1:1">
      <c r="A3160" s="121" t="s">
        <v>2080</v>
      </c>
    </row>
    <row r="3161" spans="1:1">
      <c r="A3161" s="122" t="s">
        <v>2081</v>
      </c>
    </row>
    <row r="3162" spans="1:1">
      <c r="A3162" s="121" t="s">
        <v>2082</v>
      </c>
    </row>
    <row r="3163" spans="1:1">
      <c r="A3163" s="121" t="s">
        <v>2083</v>
      </c>
    </row>
    <row r="3164" spans="1:1">
      <c r="A3164" s="122" t="s">
        <v>2084</v>
      </c>
    </row>
    <row r="3165" spans="1:1">
      <c r="A3165" s="121" t="s">
        <v>2085</v>
      </c>
    </row>
    <row r="3166" spans="1:1">
      <c r="A3166" s="121" t="s">
        <v>2086</v>
      </c>
    </row>
    <row r="3167" spans="1:1">
      <c r="A3167" s="122" t="s">
        <v>2087</v>
      </c>
    </row>
    <row r="3168" spans="1:1">
      <c r="A3168" s="121" t="s">
        <v>2088</v>
      </c>
    </row>
    <row r="3169" spans="1:1">
      <c r="A3169" s="121" t="s">
        <v>2089</v>
      </c>
    </row>
    <row r="3170" spans="1:1">
      <c r="A3170" s="122" t="s">
        <v>2090</v>
      </c>
    </row>
    <row r="3171" spans="1:1">
      <c r="A3171" s="121" t="s">
        <v>2090</v>
      </c>
    </row>
    <row r="3172" spans="1:1">
      <c r="A3172" s="121" t="s">
        <v>2091</v>
      </c>
    </row>
    <row r="3173" spans="1:1">
      <c r="A3173" s="122" t="s">
        <v>2092</v>
      </c>
    </row>
    <row r="3174" spans="1:1">
      <c r="A3174" s="121" t="s">
        <v>2092</v>
      </c>
    </row>
    <row r="3175" spans="1:1">
      <c r="A3175" s="121" t="s">
        <v>2093</v>
      </c>
    </row>
    <row r="3176" spans="1:1">
      <c r="A3176" s="122" t="s">
        <v>2094</v>
      </c>
    </row>
    <row r="3177" spans="1:1">
      <c r="A3177" s="121" t="s">
        <v>2094</v>
      </c>
    </row>
    <row r="3178" spans="1:1">
      <c r="A3178" s="121" t="s">
        <v>2095</v>
      </c>
    </row>
    <row r="3179" spans="1:1">
      <c r="A3179" s="122" t="s">
        <v>2096</v>
      </c>
    </row>
    <row r="3180" spans="1:1">
      <c r="A3180" s="121" t="s">
        <v>2096</v>
      </c>
    </row>
    <row r="3181" spans="1:1">
      <c r="A3181" s="136" t="s">
        <v>465</v>
      </c>
    </row>
    <row r="3182" spans="1:1">
      <c r="A3182" s="136" t="s">
        <v>2097</v>
      </c>
    </row>
    <row r="3183" spans="1:1">
      <c r="A3183" s="114" t="s">
        <v>2098</v>
      </c>
    </row>
    <row r="3184" spans="1:1">
      <c r="A3184" s="124" t="s">
        <v>1083</v>
      </c>
    </row>
    <row r="3185" spans="1:1">
      <c r="A3185" s="114" t="s">
        <v>943</v>
      </c>
    </row>
    <row r="3186" spans="1:1">
      <c r="A3186" s="114" t="s">
        <v>944</v>
      </c>
    </row>
    <row r="3187" spans="1:1">
      <c r="A3187" s="133" t="s">
        <v>922</v>
      </c>
    </row>
    <row r="3188" spans="1:1">
      <c r="A3188" s="133" t="s">
        <v>379</v>
      </c>
    </row>
    <row r="3189" spans="1:1">
      <c r="A3189" s="133" t="s">
        <v>380</v>
      </c>
    </row>
    <row r="3190" spans="1:1">
      <c r="A3190" s="133" t="s">
        <v>381</v>
      </c>
    </row>
    <row r="3191" spans="1:1">
      <c r="A3191" s="129" t="s">
        <v>1169</v>
      </c>
    </row>
    <row r="3192" spans="1:1">
      <c r="A3192" s="129" t="s">
        <v>635</v>
      </c>
    </row>
    <row r="3193" spans="1:1">
      <c r="A3193" s="129" t="s">
        <v>1992</v>
      </c>
    </row>
    <row r="3194" spans="1:1">
      <c r="A3194" s="129" t="s">
        <v>637</v>
      </c>
    </row>
    <row r="3195" spans="1:1">
      <c r="A3195" s="115" t="s">
        <v>436</v>
      </c>
    </row>
    <row r="3196" spans="1:1">
      <c r="A3196" s="115" t="s">
        <v>2099</v>
      </c>
    </row>
    <row r="3197" spans="1:1">
      <c r="A3197" s="115" t="s">
        <v>2100</v>
      </c>
    </row>
    <row r="3198" spans="1:1">
      <c r="A3198" s="115" t="s">
        <v>2002</v>
      </c>
    </row>
    <row r="3199" spans="1:1">
      <c r="A3199" s="115" t="s">
        <v>2101</v>
      </c>
    </row>
    <row r="3200" spans="1:1">
      <c r="A3200" s="120" t="s">
        <v>388</v>
      </c>
    </row>
    <row r="3201" spans="1:1">
      <c r="A3201" s="121" t="s">
        <v>2102</v>
      </c>
    </row>
    <row r="3202" spans="1:1">
      <c r="A3202" s="122" t="s">
        <v>2103</v>
      </c>
    </row>
    <row r="3203" spans="1:1">
      <c r="A3203" s="121" t="s">
        <v>2103</v>
      </c>
    </row>
    <row r="3204" spans="1:1">
      <c r="A3204" s="121" t="s">
        <v>2104</v>
      </c>
    </row>
    <row r="3205" spans="1:1">
      <c r="A3205" s="122" t="s">
        <v>2105</v>
      </c>
    </row>
    <row r="3206" spans="1:1">
      <c r="A3206" s="121" t="s">
        <v>2105</v>
      </c>
    </row>
    <row r="3207" spans="1:1">
      <c r="A3207" s="121" t="s">
        <v>2106</v>
      </c>
    </row>
    <row r="3208" spans="1:1">
      <c r="A3208" s="122" t="s">
        <v>2107</v>
      </c>
    </row>
    <row r="3209" spans="1:1">
      <c r="A3209" s="121" t="s">
        <v>2107</v>
      </c>
    </row>
    <row r="3210" spans="1:1">
      <c r="A3210" s="121" t="s">
        <v>2108</v>
      </c>
    </row>
    <row r="3211" spans="1:1">
      <c r="A3211" s="122" t="s">
        <v>2109</v>
      </c>
    </row>
    <row r="3212" spans="1:1">
      <c r="A3212" s="121" t="s">
        <v>2109</v>
      </c>
    </row>
    <row r="3213" spans="1:1">
      <c r="A3213" s="121" t="s">
        <v>2110</v>
      </c>
    </row>
    <row r="3214" spans="1:1">
      <c r="A3214" s="122" t="s">
        <v>2111</v>
      </c>
    </row>
    <row r="3215" spans="1:1">
      <c r="A3215" s="121" t="s">
        <v>2112</v>
      </c>
    </row>
    <row r="3216" spans="1:1">
      <c r="A3216" s="121" t="s">
        <v>2113</v>
      </c>
    </row>
    <row r="3217" spans="1:1">
      <c r="A3217" s="122" t="s">
        <v>2114</v>
      </c>
    </row>
    <row r="3218" spans="1:1">
      <c r="A3218" s="121" t="s">
        <v>2114</v>
      </c>
    </row>
    <row r="3219" spans="1:1">
      <c r="A3219" s="121" t="s">
        <v>2115</v>
      </c>
    </row>
    <row r="3220" spans="1:1">
      <c r="A3220" s="122" t="s">
        <v>2116</v>
      </c>
    </row>
    <row r="3221" spans="1:1">
      <c r="A3221" s="121" t="s">
        <v>2116</v>
      </c>
    </row>
    <row r="3222" spans="1:1">
      <c r="A3222" s="121" t="s">
        <v>2117</v>
      </c>
    </row>
    <row r="3223" spans="1:1">
      <c r="A3223" s="122" t="s">
        <v>2118</v>
      </c>
    </row>
    <row r="3224" spans="1:1">
      <c r="A3224" s="121" t="s">
        <v>2118</v>
      </c>
    </row>
    <row r="3225" spans="1:1">
      <c r="A3225" s="121" t="s">
        <v>2119</v>
      </c>
    </row>
    <row r="3226" spans="1:1">
      <c r="A3226" s="122" t="s">
        <v>2120</v>
      </c>
    </row>
    <row r="3227" spans="1:1">
      <c r="A3227" s="121" t="s">
        <v>2120</v>
      </c>
    </row>
    <row r="3228" spans="1:1">
      <c r="A3228" s="121" t="s">
        <v>2121</v>
      </c>
    </row>
    <row r="3229" spans="1:1">
      <c r="A3229" s="122" t="s">
        <v>2122</v>
      </c>
    </row>
    <row r="3230" spans="1:1">
      <c r="A3230" s="121" t="s">
        <v>2122</v>
      </c>
    </row>
    <row r="3231" spans="1:1">
      <c r="A3231" s="121" t="s">
        <v>2123</v>
      </c>
    </row>
    <row r="3232" spans="1:1">
      <c r="A3232" s="136" t="s">
        <v>465</v>
      </c>
    </row>
    <row r="3233" spans="1:1">
      <c r="A3233" s="136" t="s">
        <v>2124</v>
      </c>
    </row>
    <row r="3234" spans="1:1">
      <c r="A3234" s="114" t="s">
        <v>2125</v>
      </c>
    </row>
    <row r="3235" spans="1:1">
      <c r="A3235" s="124" t="s">
        <v>920</v>
      </c>
    </row>
    <row r="3236" spans="1:1">
      <c r="A3236" s="114" t="s">
        <v>943</v>
      </c>
    </row>
    <row r="3237" spans="1:1">
      <c r="A3237" s="114" t="s">
        <v>468</v>
      </c>
    </row>
    <row r="3240" spans="1:1">
      <c r="A3240" s="132" t="s">
        <v>402</v>
      </c>
    </row>
    <row r="3241" spans="1:1">
      <c r="A3241" s="133" t="s">
        <v>921</v>
      </c>
    </row>
    <row r="3242" spans="1:1">
      <c r="A3242" s="133" t="s">
        <v>922</v>
      </c>
    </row>
    <row r="3243" spans="1:1">
      <c r="A3243" s="133" t="s">
        <v>379</v>
      </c>
    </row>
    <row r="3244" spans="1:1">
      <c r="A3244" s="133" t="s">
        <v>380</v>
      </c>
    </row>
    <row r="3245" spans="1:1">
      <c r="A3245" s="133" t="s">
        <v>381</v>
      </c>
    </row>
    <row r="3246" spans="1:1">
      <c r="A3246" s="134" t="s">
        <v>403</v>
      </c>
    </row>
    <row r="3247" spans="1:1">
      <c r="A3247" s="114">
        <v>47</v>
      </c>
    </row>
    <row r="3248" spans="1:1">
      <c r="A3248" s="134" t="s">
        <v>923</v>
      </c>
    </row>
    <row r="3249" spans="1:6">
      <c r="A3249" s="132" t="s">
        <v>382</v>
      </c>
    </row>
    <row r="3250" spans="1:6">
      <c r="A3250" s="129" t="s">
        <v>1169</v>
      </c>
    </row>
    <row r="3251" spans="1:6">
      <c r="A3251" s="129" t="s">
        <v>635</v>
      </c>
    </row>
    <row r="3252" spans="1:6">
      <c r="A3252" s="129" t="s">
        <v>2126</v>
      </c>
    </row>
    <row r="3253" spans="1:6">
      <c r="A3253" s="129" t="s">
        <v>637</v>
      </c>
    </row>
    <row r="3254" spans="1:6">
      <c r="A3254" s="114">
        <v>3228</v>
      </c>
    </row>
    <row r="3255" spans="1:6">
      <c r="A3255" s="116" t="s">
        <v>409</v>
      </c>
    </row>
    <row r="3256" spans="1:6">
      <c r="A3256" s="116" t="s">
        <v>638</v>
      </c>
    </row>
    <row r="3257" spans="1:6">
      <c r="A3257" s="116" t="s">
        <v>639</v>
      </c>
    </row>
    <row r="3258" spans="1:6" ht="37">
      <c r="A3258" s="135" t="s">
        <v>640</v>
      </c>
    </row>
    <row r="3259" spans="1:6" ht="16">
      <c r="A3259" s="117"/>
      <c r="B3259" s="117"/>
      <c r="C3259" s="117"/>
      <c r="D3259" s="117"/>
      <c r="E3259" s="117"/>
      <c r="F3259" s="117"/>
    </row>
    <row r="3260" spans="1:6" ht="16">
      <c r="A3260" s="117" t="s">
        <v>412</v>
      </c>
      <c r="B3260" s="117" t="s">
        <v>472</v>
      </c>
      <c r="C3260" s="117" t="s">
        <v>2127</v>
      </c>
      <c r="D3260" s="117" t="s">
        <v>2128</v>
      </c>
      <c r="E3260" s="117"/>
      <c r="F3260" s="118">
        <v>305668.12</v>
      </c>
    </row>
    <row r="3261" spans="1:6" ht="16">
      <c r="A3261" s="117" t="s">
        <v>416</v>
      </c>
      <c r="B3261" s="117" t="s">
        <v>475</v>
      </c>
      <c r="C3261" s="117" t="s">
        <v>2129</v>
      </c>
      <c r="D3261" s="117" t="s">
        <v>2130</v>
      </c>
      <c r="E3261" s="117"/>
      <c r="F3261" s="118">
        <v>6615.36</v>
      </c>
    </row>
    <row r="3262" spans="1:6" ht="16">
      <c r="A3262" s="117" t="s">
        <v>477</v>
      </c>
      <c r="B3262" s="117" t="s">
        <v>1382</v>
      </c>
      <c r="C3262" s="117" t="s">
        <v>2131</v>
      </c>
      <c r="D3262" s="117" t="s">
        <v>2132</v>
      </c>
      <c r="E3262" s="117"/>
      <c r="F3262" s="118">
        <v>-474169.28</v>
      </c>
    </row>
    <row r="3263" spans="1:6" ht="16">
      <c r="A3263" s="117"/>
      <c r="B3263" s="117"/>
      <c r="C3263" s="117" t="s">
        <v>2133</v>
      </c>
      <c r="D3263" s="117"/>
      <c r="E3263" s="117"/>
      <c r="F3263" s="117"/>
    </row>
    <row r="3265" spans="1:2" ht="16">
      <c r="A3265" s="137" t="s">
        <v>352</v>
      </c>
    </row>
    <row r="3266" spans="1:2">
      <c r="A3266" s="114" t="s">
        <v>2134</v>
      </c>
    </row>
    <row r="3267" spans="1:2">
      <c r="A3267" s="115" t="s">
        <v>482</v>
      </c>
    </row>
    <row r="3268" spans="1:2">
      <c r="A3268" s="115" t="s">
        <v>483</v>
      </c>
    </row>
    <row r="3269" spans="1:2">
      <c r="A3269" s="115" t="s">
        <v>2135</v>
      </c>
    </row>
    <row r="3270" spans="1:2">
      <c r="A3270" s="115" t="s">
        <v>2136</v>
      </c>
    </row>
    <row r="3271" spans="1:2">
      <c r="A3271" s="121" t="s">
        <v>2137</v>
      </c>
    </row>
    <row r="3272" spans="1:2">
      <c r="A3272" s="121" t="s">
        <v>367</v>
      </c>
    </row>
    <row r="3273" spans="1:2">
      <c r="A3273" s="121" t="s">
        <v>1645</v>
      </c>
    </row>
    <row r="3274" spans="1:2">
      <c r="A3274" s="121" t="s">
        <v>2138</v>
      </c>
    </row>
    <row r="3275" spans="1:2">
      <c r="A3275" s="121" t="s">
        <v>2139</v>
      </c>
    </row>
    <row r="3276" spans="1:2">
      <c r="A3276" s="121" t="s">
        <v>369</v>
      </c>
    </row>
    <row r="3277" spans="1:2">
      <c r="A3277" s="121" t="s">
        <v>2140</v>
      </c>
    </row>
    <row r="3278" spans="1:2" ht="16">
      <c r="A3278" s="117"/>
      <c r="B3278" s="117" t="s">
        <v>798</v>
      </c>
    </row>
    <row r="3279" spans="1:2" ht="16">
      <c r="A3279" s="117" t="s">
        <v>498</v>
      </c>
      <c r="B3279" s="117" t="s">
        <v>654</v>
      </c>
    </row>
    <row r="3280" spans="1:2" ht="16">
      <c r="A3280" s="125">
        <v>7990.37</v>
      </c>
    </row>
    <row r="3281" spans="1:3" ht="16">
      <c r="A3281" s="206"/>
      <c r="B3281" s="206"/>
      <c r="C3281" s="117" t="s">
        <v>2141</v>
      </c>
    </row>
    <row r="3282" spans="1:3" ht="16">
      <c r="A3282" s="206"/>
      <c r="B3282" s="206"/>
      <c r="C3282" s="117" t="s">
        <v>2141</v>
      </c>
    </row>
    <row r="3283" spans="1:3" ht="16">
      <c r="A3283" s="117"/>
    </row>
    <row r="3284" spans="1:3" ht="16">
      <c r="A3284" s="117"/>
      <c r="B3284" s="117"/>
      <c r="C3284" s="117" t="s">
        <v>2142</v>
      </c>
    </row>
    <row r="3285" spans="1:3" ht="16">
      <c r="A3285" s="117"/>
    </row>
    <row r="3286" spans="1:3" ht="16">
      <c r="A3286" s="117" t="s">
        <v>2143</v>
      </c>
    </row>
    <row r="3287" spans="1:3" ht="16">
      <c r="A3287" s="206"/>
      <c r="B3287" s="206"/>
      <c r="C3287" s="117" t="s">
        <v>2144</v>
      </c>
    </row>
    <row r="3288" spans="1:3" ht="16">
      <c r="A3288" s="206"/>
      <c r="B3288" s="206"/>
      <c r="C3288" s="117" t="s">
        <v>2144</v>
      </c>
    </row>
    <row r="3289" spans="1:3" ht="16">
      <c r="A3289" s="117"/>
    </row>
    <row r="3290" spans="1:3" ht="16">
      <c r="A3290" s="117" t="s">
        <v>2145</v>
      </c>
    </row>
    <row r="3291" spans="1:3" ht="16">
      <c r="A3291" s="117"/>
      <c r="B3291" s="117"/>
      <c r="C3291" s="117"/>
    </row>
    <row r="3292" spans="1:3" ht="16">
      <c r="A3292" s="117" t="s">
        <v>2146</v>
      </c>
      <c r="B3292" s="117"/>
      <c r="C3292" s="117"/>
    </row>
    <row r="3294" spans="1:3">
      <c r="A3294" s="124" t="s">
        <v>803</v>
      </c>
    </row>
    <row r="3295" spans="1:3">
      <c r="A3295" s="114" t="s">
        <v>943</v>
      </c>
    </row>
    <row r="3296" spans="1:3">
      <c r="A3296" s="114" t="s">
        <v>944</v>
      </c>
    </row>
    <row r="3297" spans="1:1">
      <c r="A3297" s="133" t="s">
        <v>922</v>
      </c>
    </row>
    <row r="3298" spans="1:1">
      <c r="A3298" s="133" t="s">
        <v>379</v>
      </c>
    </row>
    <row r="3299" spans="1:1">
      <c r="A3299" s="133" t="s">
        <v>380</v>
      </c>
    </row>
    <row r="3300" spans="1:1">
      <c r="A3300" s="133" t="s">
        <v>381</v>
      </c>
    </row>
    <row r="3301" spans="1:1">
      <c r="A3301" s="129" t="s">
        <v>1169</v>
      </c>
    </row>
    <row r="3302" spans="1:1">
      <c r="A3302" s="129" t="s">
        <v>635</v>
      </c>
    </row>
    <row r="3303" spans="1:1">
      <c r="A3303" s="129" t="s">
        <v>2126</v>
      </c>
    </row>
    <row r="3304" spans="1:1">
      <c r="A3304" s="129" t="s">
        <v>637</v>
      </c>
    </row>
    <row r="3305" spans="1:1">
      <c r="A3305" s="120" t="s">
        <v>388</v>
      </c>
    </row>
    <row r="3306" spans="1:1">
      <c r="A3306" s="122" t="s">
        <v>2147</v>
      </c>
    </row>
    <row r="3307" spans="1:1">
      <c r="A3307" s="121" t="s">
        <v>2148</v>
      </c>
    </row>
    <row r="3308" spans="1:1">
      <c r="A3308" s="121" t="s">
        <v>2149</v>
      </c>
    </row>
    <row r="3309" spans="1:1">
      <c r="A3309" s="122" t="s">
        <v>1400</v>
      </c>
    </row>
    <row r="3310" spans="1:1">
      <c r="A3310" s="121" t="s">
        <v>973</v>
      </c>
    </row>
    <row r="3311" spans="1:1">
      <c r="A3311" s="122" t="s">
        <v>2150</v>
      </c>
    </row>
    <row r="3312" spans="1:1">
      <c r="A3312" s="121" t="s">
        <v>2150</v>
      </c>
    </row>
    <row r="3313" spans="1:1">
      <c r="A3313" s="121" t="s">
        <v>389</v>
      </c>
    </row>
    <row r="3314" spans="1:1">
      <c r="A3314" s="122" t="s">
        <v>1402</v>
      </c>
    </row>
    <row r="3315" spans="1:1">
      <c r="A3315" s="122" t="s">
        <v>991</v>
      </c>
    </row>
    <row r="3316" spans="1:1">
      <c r="A3316" s="122" t="s">
        <v>2151</v>
      </c>
    </row>
    <row r="3317" spans="1:1">
      <c r="A3317" s="121" t="s">
        <v>2151</v>
      </c>
    </row>
    <row r="3318" spans="1:1">
      <c r="A3318" s="121" t="s">
        <v>2152</v>
      </c>
    </row>
    <row r="3319" spans="1:1">
      <c r="A3319" s="122" t="s">
        <v>2153</v>
      </c>
    </row>
    <row r="3320" spans="1:1">
      <c r="A3320" s="121" t="s">
        <v>2154</v>
      </c>
    </row>
    <row r="3321" spans="1:1">
      <c r="A3321" s="121" t="s">
        <v>2155</v>
      </c>
    </row>
    <row r="3322" spans="1:1">
      <c r="A3322" s="122" t="s">
        <v>1405</v>
      </c>
    </row>
    <row r="3323" spans="1:1">
      <c r="A3323" s="121" t="s">
        <v>973</v>
      </c>
    </row>
    <row r="3324" spans="1:1">
      <c r="A3324" s="122" t="s">
        <v>2156</v>
      </c>
    </row>
    <row r="3325" spans="1:1">
      <c r="A3325" s="121" t="s">
        <v>2156</v>
      </c>
    </row>
    <row r="3326" spans="1:1">
      <c r="A3326" s="121" t="s">
        <v>391</v>
      </c>
    </row>
    <row r="3327" spans="1:1">
      <c r="A3327" s="122" t="s">
        <v>1407</v>
      </c>
    </row>
    <row r="3328" spans="1:1">
      <c r="A3328" s="122" t="s">
        <v>991</v>
      </c>
    </row>
    <row r="3329" spans="1:1">
      <c r="A3329" s="122" t="s">
        <v>2157</v>
      </c>
    </row>
    <row r="3330" spans="1:1">
      <c r="A3330" s="121" t="s">
        <v>2158</v>
      </c>
    </row>
    <row r="3331" spans="1:1">
      <c r="A3331" s="121" t="s">
        <v>2159</v>
      </c>
    </row>
    <row r="3332" spans="1:1">
      <c r="A3332" s="122" t="s">
        <v>2160</v>
      </c>
    </row>
    <row r="3333" spans="1:1">
      <c r="A3333" s="123">
        <v>48999.26</v>
      </c>
    </row>
    <row r="3334" spans="1:1">
      <c r="A3334" s="121" t="s">
        <v>2161</v>
      </c>
    </row>
    <row r="3335" spans="1:1">
      <c r="A3335" s="122" t="s">
        <v>2162</v>
      </c>
    </row>
    <row r="3336" spans="1:1">
      <c r="A3336" s="121" t="s">
        <v>2163</v>
      </c>
    </row>
    <row r="3337" spans="1:1">
      <c r="A3337" s="121" t="s">
        <v>2164</v>
      </c>
    </row>
    <row r="3338" spans="1:1">
      <c r="A3338" s="122" t="s">
        <v>393</v>
      </c>
    </row>
    <row r="3339" spans="1:1">
      <c r="A3339" s="121" t="s">
        <v>393</v>
      </c>
    </row>
    <row r="3340" spans="1:1">
      <c r="A3340" s="121" t="s">
        <v>1413</v>
      </c>
    </row>
    <row r="3341" spans="1:1">
      <c r="A3341" s="121" t="s">
        <v>2165</v>
      </c>
    </row>
    <row r="3342" spans="1:1">
      <c r="A3342" s="122" t="s">
        <v>2166</v>
      </c>
    </row>
    <row r="3343" spans="1:1">
      <c r="A3343" s="121" t="s">
        <v>2167</v>
      </c>
    </row>
    <row r="3344" spans="1:1">
      <c r="A3344" s="121" t="s">
        <v>2168</v>
      </c>
    </row>
    <row r="3345" spans="1:1">
      <c r="A3345" s="122" t="s">
        <v>2169</v>
      </c>
    </row>
    <row r="3346" spans="1:1">
      <c r="A3346" s="121" t="s">
        <v>2170</v>
      </c>
    </row>
    <row r="3347" spans="1:1">
      <c r="A3347" s="121" t="s">
        <v>2171</v>
      </c>
    </row>
    <row r="3348" spans="1:1">
      <c r="A3348" s="122" t="s">
        <v>2172</v>
      </c>
    </row>
    <row r="3349" spans="1:1">
      <c r="A3349" s="121" t="s">
        <v>2173</v>
      </c>
    </row>
    <row r="3350" spans="1:1">
      <c r="A3350" s="121" t="s">
        <v>2174</v>
      </c>
    </row>
    <row r="3351" spans="1:1">
      <c r="A3351" s="122" t="s">
        <v>2175</v>
      </c>
    </row>
    <row r="3352" spans="1:1">
      <c r="A3352" s="121" t="s">
        <v>2176</v>
      </c>
    </row>
    <row r="3353" spans="1:1">
      <c r="A3353" s="121" t="s">
        <v>2177</v>
      </c>
    </row>
    <row r="3354" spans="1:1">
      <c r="A3354" s="122" t="s">
        <v>1073</v>
      </c>
    </row>
    <row r="3355" spans="1:1">
      <c r="A3355" s="121" t="s">
        <v>1073</v>
      </c>
    </row>
    <row r="3356" spans="1:1">
      <c r="A3356" s="121" t="s">
        <v>2178</v>
      </c>
    </row>
    <row r="3357" spans="1:1">
      <c r="A3357" s="121" t="s">
        <v>2179</v>
      </c>
    </row>
    <row r="3358" spans="1:1">
      <c r="A3358" s="122" t="s">
        <v>2180</v>
      </c>
    </row>
    <row r="3359" spans="1:1">
      <c r="A3359" s="121" t="s">
        <v>2181</v>
      </c>
    </row>
    <row r="3360" spans="1:1">
      <c r="A3360" s="121" t="s">
        <v>1418</v>
      </c>
    </row>
    <row r="3361" spans="1:1">
      <c r="A3361" s="121" t="s">
        <v>2182</v>
      </c>
    </row>
    <row r="3362" spans="1:1">
      <c r="A3362" s="122" t="s">
        <v>2183</v>
      </c>
    </row>
    <row r="3363" spans="1:1">
      <c r="A3363" s="121" t="s">
        <v>2184</v>
      </c>
    </row>
    <row r="3364" spans="1:1">
      <c r="A3364" s="121" t="s">
        <v>2185</v>
      </c>
    </row>
    <row r="3365" spans="1:1">
      <c r="A3365" s="115" t="s">
        <v>569</v>
      </c>
    </row>
    <row r="3366" spans="1:1">
      <c r="A3366" s="115" t="s">
        <v>570</v>
      </c>
    </row>
    <row r="3367" spans="1:1">
      <c r="A3367" s="115" t="s">
        <v>2135</v>
      </c>
    </row>
    <row r="3368" spans="1:1">
      <c r="A3368" s="115" t="s">
        <v>433</v>
      </c>
    </row>
    <row r="3369" spans="1:1">
      <c r="A3369" s="114" t="s">
        <v>2186</v>
      </c>
    </row>
    <row r="3370" spans="1:1">
      <c r="A3370" s="120" t="s">
        <v>388</v>
      </c>
    </row>
    <row r="3371" spans="1:1">
      <c r="A3371" s="121" t="s">
        <v>2187</v>
      </c>
    </row>
    <row r="3372" spans="1:1">
      <c r="A3372" s="122" t="s">
        <v>2188</v>
      </c>
    </row>
    <row r="3373" spans="1:1">
      <c r="A3373" s="121" t="s">
        <v>2189</v>
      </c>
    </row>
    <row r="3374" spans="1:1">
      <c r="A3374" s="121" t="s">
        <v>2190</v>
      </c>
    </row>
    <row r="3375" spans="1:1">
      <c r="A3375" s="122" t="s">
        <v>2191</v>
      </c>
    </row>
    <row r="3376" spans="1:1">
      <c r="A3376" s="121" t="s">
        <v>2192</v>
      </c>
    </row>
    <row r="3377" spans="1:1">
      <c r="A3377" s="121" t="s">
        <v>2193</v>
      </c>
    </row>
    <row r="3378" spans="1:1">
      <c r="A3378" s="122" t="s">
        <v>2194</v>
      </c>
    </row>
    <row r="3379" spans="1:1">
      <c r="A3379" s="121" t="s">
        <v>2195</v>
      </c>
    </row>
    <row r="3380" spans="1:1">
      <c r="A3380" s="121" t="s">
        <v>2196</v>
      </c>
    </row>
    <row r="3381" spans="1:1">
      <c r="A3381" s="121" t="s">
        <v>2197</v>
      </c>
    </row>
    <row r="3382" spans="1:1">
      <c r="A3382" s="122" t="s">
        <v>2198</v>
      </c>
    </row>
    <row r="3383" spans="1:1">
      <c r="A3383" s="121" t="s">
        <v>2199</v>
      </c>
    </row>
    <row r="3384" spans="1:1">
      <c r="A3384" s="121" t="s">
        <v>2200</v>
      </c>
    </row>
    <row r="3385" spans="1:1">
      <c r="A3385" s="122" t="s">
        <v>2201</v>
      </c>
    </row>
    <row r="3386" spans="1:1">
      <c r="A3386" s="121" t="s">
        <v>2202</v>
      </c>
    </row>
    <row r="3387" spans="1:1">
      <c r="A3387" s="124" t="s">
        <v>862</v>
      </c>
    </row>
    <row r="3388" spans="1:1">
      <c r="A3388" s="114" t="s">
        <v>943</v>
      </c>
    </row>
    <row r="3389" spans="1:1">
      <c r="A3389" s="114" t="s">
        <v>944</v>
      </c>
    </row>
    <row r="3390" spans="1:1">
      <c r="A3390" s="133" t="s">
        <v>922</v>
      </c>
    </row>
    <row r="3391" spans="1:1">
      <c r="A3391" s="133" t="s">
        <v>379</v>
      </c>
    </row>
    <row r="3392" spans="1:1">
      <c r="A3392" s="133" t="s">
        <v>380</v>
      </c>
    </row>
    <row r="3393" spans="1:1">
      <c r="A3393" s="133" t="s">
        <v>381</v>
      </c>
    </row>
    <row r="3394" spans="1:1">
      <c r="A3394" s="129" t="s">
        <v>1169</v>
      </c>
    </row>
    <row r="3395" spans="1:1">
      <c r="A3395" s="129" t="s">
        <v>635</v>
      </c>
    </row>
    <row r="3396" spans="1:1">
      <c r="A3396" s="129" t="s">
        <v>2126</v>
      </c>
    </row>
    <row r="3397" spans="1:1">
      <c r="A3397" s="129" t="s">
        <v>637</v>
      </c>
    </row>
    <row r="3398" spans="1:1">
      <c r="A3398" s="120" t="s">
        <v>388</v>
      </c>
    </row>
    <row r="3399" spans="1:1">
      <c r="A3399" s="121" t="s">
        <v>2203</v>
      </c>
    </row>
    <row r="3400" spans="1:1">
      <c r="A3400" s="136" t="s">
        <v>465</v>
      </c>
    </row>
    <row r="3401" spans="1:1">
      <c r="A3401" s="136" t="s">
        <v>2204</v>
      </c>
    </row>
    <row r="3402" spans="1:1">
      <c r="A3402" s="115" t="s">
        <v>436</v>
      </c>
    </row>
    <row r="3403" spans="1:1">
      <c r="A3403" s="115" t="s">
        <v>1289</v>
      </c>
    </row>
    <row r="3404" spans="1:1">
      <c r="A3404" s="115" t="s">
        <v>1290</v>
      </c>
    </row>
    <row r="3405" spans="1:1">
      <c r="A3405" s="115" t="s">
        <v>2135</v>
      </c>
    </row>
    <row r="3406" spans="1:1">
      <c r="A3406" s="115" t="s">
        <v>2205</v>
      </c>
    </row>
    <row r="3407" spans="1:1">
      <c r="A3407" s="120" t="s">
        <v>388</v>
      </c>
    </row>
    <row r="3408" spans="1:1">
      <c r="A3408" s="121" t="s">
        <v>2206</v>
      </c>
    </row>
    <row r="3409" spans="1:1">
      <c r="A3409" s="122" t="s">
        <v>2207</v>
      </c>
    </row>
    <row r="3410" spans="1:1">
      <c r="A3410" s="121" t="s">
        <v>2207</v>
      </c>
    </row>
    <row r="3411" spans="1:1">
      <c r="A3411" s="121" t="s">
        <v>2208</v>
      </c>
    </row>
    <row r="3412" spans="1:1">
      <c r="A3412" s="122" t="s">
        <v>2209</v>
      </c>
    </row>
    <row r="3413" spans="1:1">
      <c r="A3413" s="121" t="s">
        <v>2209</v>
      </c>
    </row>
    <row r="3414" spans="1:1">
      <c r="A3414" s="121" t="s">
        <v>2210</v>
      </c>
    </row>
    <row r="3415" spans="1:1">
      <c r="A3415" s="122" t="s">
        <v>2211</v>
      </c>
    </row>
    <row r="3416" spans="1:1">
      <c r="A3416" s="121" t="s">
        <v>2211</v>
      </c>
    </row>
    <row r="3417" spans="1:1">
      <c r="A3417" s="121" t="s">
        <v>2212</v>
      </c>
    </row>
    <row r="3418" spans="1:1">
      <c r="A3418" s="122" t="s">
        <v>2213</v>
      </c>
    </row>
    <row r="3419" spans="1:1">
      <c r="A3419" s="121" t="s">
        <v>2213</v>
      </c>
    </row>
    <row r="3420" spans="1:1">
      <c r="A3420" s="121" t="s">
        <v>2214</v>
      </c>
    </row>
    <row r="3421" spans="1:1">
      <c r="A3421" s="122" t="s">
        <v>2215</v>
      </c>
    </row>
    <row r="3422" spans="1:1">
      <c r="A3422" s="121" t="s">
        <v>2216</v>
      </c>
    </row>
    <row r="3423" spans="1:1">
      <c r="A3423" s="121" t="s">
        <v>2217</v>
      </c>
    </row>
    <row r="3424" spans="1:1">
      <c r="A3424" s="122" t="s">
        <v>2218</v>
      </c>
    </row>
    <row r="3425" spans="1:1">
      <c r="A3425" s="121" t="s">
        <v>2218</v>
      </c>
    </row>
    <row r="3426" spans="1:1">
      <c r="A3426" s="121" t="s">
        <v>2219</v>
      </c>
    </row>
    <row r="3427" spans="1:1">
      <c r="A3427" s="122" t="s">
        <v>2220</v>
      </c>
    </row>
    <row r="3428" spans="1:1">
      <c r="A3428" s="121" t="s">
        <v>2220</v>
      </c>
    </row>
    <row r="3429" spans="1:1">
      <c r="A3429" s="121" t="s">
        <v>2221</v>
      </c>
    </row>
    <row r="3430" spans="1:1">
      <c r="A3430" s="122" t="s">
        <v>2222</v>
      </c>
    </row>
    <row r="3431" spans="1:1">
      <c r="A3431" s="121" t="s">
        <v>2223</v>
      </c>
    </row>
    <row r="3432" spans="1:1">
      <c r="A3432" s="121" t="s">
        <v>2224</v>
      </c>
    </row>
    <row r="3433" spans="1:1">
      <c r="A3433" s="122" t="s">
        <v>2225</v>
      </c>
    </row>
    <row r="3434" spans="1:1">
      <c r="A3434" s="121" t="s">
        <v>2226</v>
      </c>
    </row>
    <row r="3435" spans="1:1">
      <c r="A3435" s="121" t="s">
        <v>2227</v>
      </c>
    </row>
    <row r="3436" spans="1:1">
      <c r="A3436" s="136" t="s">
        <v>465</v>
      </c>
    </row>
    <row r="3437" spans="1:1">
      <c r="A3437" s="136" t="s">
        <v>2228</v>
      </c>
    </row>
    <row r="3438" spans="1:1">
      <c r="A3438" s="115" t="s">
        <v>436</v>
      </c>
    </row>
    <row r="3439" spans="1:1">
      <c r="A3439" s="114" t="s">
        <v>2229</v>
      </c>
    </row>
    <row r="3440" spans="1:1">
      <c r="A3440" s="115" t="s">
        <v>2099</v>
      </c>
    </row>
    <row r="3441" spans="1:1">
      <c r="A3441" s="115" t="s">
        <v>2100</v>
      </c>
    </row>
    <row r="3442" spans="1:1">
      <c r="A3442" s="115" t="s">
        <v>2135</v>
      </c>
    </row>
    <row r="3443" spans="1:1">
      <c r="A3443" s="115" t="s">
        <v>2230</v>
      </c>
    </row>
    <row r="3444" spans="1:1">
      <c r="A3444" s="120" t="s">
        <v>388</v>
      </c>
    </row>
    <row r="3445" spans="1:1">
      <c r="A3445" s="121" t="s">
        <v>2231</v>
      </c>
    </row>
    <row r="3446" spans="1:1">
      <c r="A3446" s="122" t="s">
        <v>2232</v>
      </c>
    </row>
    <row r="3447" spans="1:1">
      <c r="A3447" s="121" t="s">
        <v>2232</v>
      </c>
    </row>
    <row r="3448" spans="1:1">
      <c r="A3448" s="121" t="s">
        <v>2233</v>
      </c>
    </row>
    <row r="3449" spans="1:1">
      <c r="A3449" s="124" t="s">
        <v>1083</v>
      </c>
    </row>
    <row r="3450" spans="1:1">
      <c r="A3450" s="114" t="s">
        <v>943</v>
      </c>
    </row>
    <row r="3451" spans="1:1">
      <c r="A3451" s="114" t="s">
        <v>944</v>
      </c>
    </row>
    <row r="3452" spans="1:1">
      <c r="A3452" s="133" t="s">
        <v>922</v>
      </c>
    </row>
    <row r="3453" spans="1:1">
      <c r="A3453" s="133" t="s">
        <v>379</v>
      </c>
    </row>
    <row r="3454" spans="1:1">
      <c r="A3454" s="133" t="s">
        <v>380</v>
      </c>
    </row>
    <row r="3455" spans="1:1">
      <c r="A3455" s="133" t="s">
        <v>381</v>
      </c>
    </row>
    <row r="3456" spans="1:1">
      <c r="A3456" s="129" t="s">
        <v>1169</v>
      </c>
    </row>
    <row r="3457" spans="1:1">
      <c r="A3457" s="129" t="s">
        <v>635</v>
      </c>
    </row>
    <row r="3458" spans="1:1">
      <c r="A3458" s="129" t="s">
        <v>2126</v>
      </c>
    </row>
    <row r="3459" spans="1:1">
      <c r="A3459" s="129" t="s">
        <v>637</v>
      </c>
    </row>
    <row r="3460" spans="1:1">
      <c r="A3460" s="120" t="s">
        <v>388</v>
      </c>
    </row>
    <row r="3461" spans="1:1">
      <c r="A3461" s="122" t="s">
        <v>2234</v>
      </c>
    </row>
    <row r="3462" spans="1:1">
      <c r="A3462" s="121" t="s">
        <v>2234</v>
      </c>
    </row>
    <row r="3463" spans="1:1">
      <c r="A3463" s="121" t="s">
        <v>2235</v>
      </c>
    </row>
    <row r="3464" spans="1:1">
      <c r="A3464" s="122" t="s">
        <v>2236</v>
      </c>
    </row>
    <row r="3465" spans="1:1">
      <c r="A3465" s="121" t="s">
        <v>2236</v>
      </c>
    </row>
    <row r="3466" spans="1:1">
      <c r="A3466" s="121" t="s">
        <v>2237</v>
      </c>
    </row>
    <row r="3467" spans="1:1">
      <c r="A3467" s="122" t="s">
        <v>2238</v>
      </c>
    </row>
    <row r="3468" spans="1:1">
      <c r="A3468" s="121" t="s">
        <v>2239</v>
      </c>
    </row>
    <row r="3469" spans="1:1">
      <c r="A3469" s="121" t="s">
        <v>2240</v>
      </c>
    </row>
    <row r="3470" spans="1:1">
      <c r="A3470" s="122" t="s">
        <v>2241</v>
      </c>
    </row>
    <row r="3471" spans="1:1">
      <c r="A3471" s="121" t="s">
        <v>2241</v>
      </c>
    </row>
    <row r="3472" spans="1:1">
      <c r="A3472" s="121" t="s">
        <v>2242</v>
      </c>
    </row>
    <row r="3473" spans="1:1">
      <c r="A3473" s="122" t="s">
        <v>2243</v>
      </c>
    </row>
    <row r="3474" spans="1:1">
      <c r="A3474" s="121" t="s">
        <v>2243</v>
      </c>
    </row>
    <row r="3475" spans="1:1">
      <c r="A3475" s="121" t="s">
        <v>2244</v>
      </c>
    </row>
    <row r="3476" spans="1:1">
      <c r="A3476" s="122" t="s">
        <v>2245</v>
      </c>
    </row>
    <row r="3477" spans="1:1">
      <c r="A3477" s="121" t="s">
        <v>2245</v>
      </c>
    </row>
    <row r="3478" spans="1:1">
      <c r="A3478" s="121" t="s">
        <v>2246</v>
      </c>
    </row>
    <row r="3479" spans="1:1">
      <c r="A3479" s="122" t="s">
        <v>2247</v>
      </c>
    </row>
    <row r="3480" spans="1:1">
      <c r="A3480" s="121" t="s">
        <v>2247</v>
      </c>
    </row>
    <row r="3481" spans="1:1">
      <c r="A3481" s="121" t="s">
        <v>2248</v>
      </c>
    </row>
    <row r="3482" spans="1:1">
      <c r="A3482" s="122" t="s">
        <v>2249</v>
      </c>
    </row>
    <row r="3483" spans="1:1">
      <c r="A3483" s="121" t="s">
        <v>2250</v>
      </c>
    </row>
    <row r="3484" spans="1:1">
      <c r="A3484" s="121" t="s">
        <v>2251</v>
      </c>
    </row>
    <row r="3485" spans="1:1">
      <c r="A3485" s="122" t="s">
        <v>2252</v>
      </c>
    </row>
    <row r="3486" spans="1:1">
      <c r="A3486" s="121" t="s">
        <v>2252</v>
      </c>
    </row>
    <row r="3487" spans="1:1">
      <c r="A3487" s="121" t="s">
        <v>2253</v>
      </c>
    </row>
    <row r="3488" spans="1:1">
      <c r="A3488" s="122" t="s">
        <v>2254</v>
      </c>
    </row>
    <row r="3489" spans="1:1">
      <c r="A3489" s="121" t="s">
        <v>2254</v>
      </c>
    </row>
    <row r="3490" spans="1:1">
      <c r="A3490" s="121" t="s">
        <v>2255</v>
      </c>
    </row>
    <row r="3491" spans="1:1">
      <c r="A3491" s="122" t="s">
        <v>2256</v>
      </c>
    </row>
    <row r="3492" spans="1:1">
      <c r="A3492" s="121" t="s">
        <v>2256</v>
      </c>
    </row>
    <row r="3493" spans="1:1">
      <c r="A3493" s="136" t="s">
        <v>465</v>
      </c>
    </row>
    <row r="3494" spans="1:1">
      <c r="A3494" s="136" t="s">
        <v>2257</v>
      </c>
    </row>
    <row r="3495" spans="1:1">
      <c r="A3495" s="114" t="s">
        <v>2258</v>
      </c>
    </row>
    <row r="3496" spans="1:1">
      <c r="A3496" s="124" t="s">
        <v>920</v>
      </c>
    </row>
    <row r="3497" spans="1:1">
      <c r="A3497" s="114" t="s">
        <v>943</v>
      </c>
    </row>
    <row r="3498" spans="1:1">
      <c r="A3498" s="114" t="s">
        <v>468</v>
      </c>
    </row>
    <row r="3501" spans="1:1">
      <c r="A3501" s="132" t="s">
        <v>402</v>
      </c>
    </row>
    <row r="3502" spans="1:1">
      <c r="A3502" s="133" t="s">
        <v>921</v>
      </c>
    </row>
    <row r="3503" spans="1:1">
      <c r="A3503" s="133" t="s">
        <v>922</v>
      </c>
    </row>
    <row r="3504" spans="1:1">
      <c r="A3504" s="133" t="s">
        <v>379</v>
      </c>
    </row>
    <row r="3505" spans="1:1">
      <c r="A3505" s="133" t="s">
        <v>380</v>
      </c>
    </row>
    <row r="3506" spans="1:1">
      <c r="A3506" s="133" t="s">
        <v>381</v>
      </c>
    </row>
    <row r="3507" spans="1:1">
      <c r="A3507" s="134" t="s">
        <v>403</v>
      </c>
    </row>
    <row r="3508" spans="1:1">
      <c r="A3508" s="114">
        <v>47</v>
      </c>
    </row>
    <row r="3509" spans="1:1">
      <c r="A3509" s="134" t="s">
        <v>923</v>
      </c>
    </row>
    <row r="3510" spans="1:1">
      <c r="A3510" s="132" t="s">
        <v>382</v>
      </c>
    </row>
    <row r="3511" spans="1:1">
      <c r="A3511" s="129" t="s">
        <v>1169</v>
      </c>
    </row>
    <row r="3512" spans="1:1">
      <c r="A3512" s="129" t="s">
        <v>635</v>
      </c>
    </row>
    <row r="3513" spans="1:1">
      <c r="A3513" s="129" t="s">
        <v>2259</v>
      </c>
    </row>
    <row r="3514" spans="1:1">
      <c r="A3514" s="129" t="s">
        <v>637</v>
      </c>
    </row>
    <row r="3515" spans="1:1">
      <c r="A3515" s="114">
        <v>1380</v>
      </c>
    </row>
    <row r="3516" spans="1:1">
      <c r="A3516" s="116" t="s">
        <v>409</v>
      </c>
    </row>
    <row r="3517" spans="1:1">
      <c r="A3517" s="116" t="s">
        <v>638</v>
      </c>
    </row>
    <row r="3518" spans="1:1">
      <c r="A3518" s="116" t="s">
        <v>639</v>
      </c>
    </row>
    <row r="3519" spans="1:1" ht="37">
      <c r="A3519" s="135" t="s">
        <v>640</v>
      </c>
    </row>
    <row r="3520" spans="1:1">
      <c r="A3520" s="136" t="s">
        <v>2260</v>
      </c>
    </row>
    <row r="3521" spans="1:1">
      <c r="A3521" s="136" t="s">
        <v>2261</v>
      </c>
    </row>
    <row r="3522" spans="1:1">
      <c r="A3522" s="136" t="s">
        <v>2262</v>
      </c>
    </row>
    <row r="3523" spans="1:1">
      <c r="A3523" s="136" t="s">
        <v>2263</v>
      </c>
    </row>
    <row r="3524" spans="1:1" ht="16">
      <c r="A3524" s="137" t="s">
        <v>352</v>
      </c>
    </row>
    <row r="3525" spans="1:1">
      <c r="A3525" s="115" t="s">
        <v>2264</v>
      </c>
    </row>
    <row r="3526" spans="1:1">
      <c r="A3526" s="115" t="s">
        <v>483</v>
      </c>
    </row>
    <row r="3527" spans="1:1">
      <c r="A3527" s="115" t="s">
        <v>2265</v>
      </c>
    </row>
    <row r="3528" spans="1:1">
      <c r="A3528" s="115" t="s">
        <v>421</v>
      </c>
    </row>
    <row r="3529" spans="1:1">
      <c r="A3529" s="114" t="s">
        <v>2266</v>
      </c>
    </row>
    <row r="3530" spans="1:1">
      <c r="A3530" s="120" t="s">
        <v>388</v>
      </c>
    </row>
    <row r="3531" spans="1:1">
      <c r="A3531" s="121" t="s">
        <v>2267</v>
      </c>
    </row>
    <row r="3532" spans="1:1">
      <c r="A3532" s="122" t="s">
        <v>2268</v>
      </c>
    </row>
    <row r="3533" spans="1:1">
      <c r="A3533" s="122" t="s">
        <v>2269</v>
      </c>
    </row>
    <row r="3534" spans="1:1">
      <c r="A3534" s="122" t="s">
        <v>2270</v>
      </c>
    </row>
    <row r="3535" spans="1:1">
      <c r="A3535" s="121" t="s">
        <v>2270</v>
      </c>
    </row>
    <row r="3536" spans="1:1">
      <c r="A3536" s="121" t="s">
        <v>488</v>
      </c>
    </row>
    <row r="3537" spans="1:1">
      <c r="A3537" s="122" t="s">
        <v>2271</v>
      </c>
    </row>
    <row r="3538" spans="1:1">
      <c r="A3538" s="121" t="s">
        <v>1269</v>
      </c>
    </row>
    <row r="3539" spans="1:1">
      <c r="A3539" s="121" t="s">
        <v>2272</v>
      </c>
    </row>
    <row r="3540" spans="1:1">
      <c r="A3540" s="122" t="s">
        <v>2272</v>
      </c>
    </row>
    <row r="3541" spans="1:1">
      <c r="A3541" s="121" t="s">
        <v>2273</v>
      </c>
    </row>
    <row r="3542" spans="1:1">
      <c r="A3542" s="121" t="s">
        <v>2274</v>
      </c>
    </row>
    <row r="3543" spans="1:1">
      <c r="A3543" s="121" t="s">
        <v>2275</v>
      </c>
    </row>
    <row r="3544" spans="1:1">
      <c r="A3544" s="122" t="s">
        <v>2276</v>
      </c>
    </row>
    <row r="3545" spans="1:1">
      <c r="A3545" s="121" t="s">
        <v>2277</v>
      </c>
    </row>
    <row r="3546" spans="1:1">
      <c r="A3546" s="121" t="s">
        <v>2278</v>
      </c>
    </row>
    <row r="3547" spans="1:1">
      <c r="A3547" s="122" t="s">
        <v>2279</v>
      </c>
    </row>
    <row r="3548" spans="1:1">
      <c r="A3548" s="121" t="s">
        <v>2280</v>
      </c>
    </row>
    <row r="3549" spans="1:1">
      <c r="A3549" s="121" t="s">
        <v>2281</v>
      </c>
    </row>
    <row r="3550" spans="1:1">
      <c r="A3550" s="109">
        <v>295000</v>
      </c>
    </row>
    <row r="3551" spans="1:1">
      <c r="A3551" s="121" t="s">
        <v>2282</v>
      </c>
    </row>
    <row r="3552" spans="1:1">
      <c r="A3552" s="114" t="s">
        <v>943</v>
      </c>
    </row>
    <row r="3553" spans="1:1">
      <c r="A3553" s="114" t="s">
        <v>944</v>
      </c>
    </row>
    <row r="3554" spans="1:1">
      <c r="A3554" s="133" t="s">
        <v>922</v>
      </c>
    </row>
    <row r="3555" spans="1:1">
      <c r="A3555" s="133" t="s">
        <v>379</v>
      </c>
    </row>
    <row r="3556" spans="1:1">
      <c r="A3556" s="133" t="s">
        <v>380</v>
      </c>
    </row>
    <row r="3557" spans="1:1">
      <c r="A3557" s="133" t="s">
        <v>381</v>
      </c>
    </row>
    <row r="3558" spans="1:1">
      <c r="A3558" s="129" t="s">
        <v>1169</v>
      </c>
    </row>
    <row r="3559" spans="1:1">
      <c r="A3559" s="129" t="s">
        <v>635</v>
      </c>
    </row>
    <row r="3560" spans="1:1">
      <c r="A3560" s="129" t="s">
        <v>2259</v>
      </c>
    </row>
    <row r="3561" spans="1:1">
      <c r="A3561" s="129" t="s">
        <v>637</v>
      </c>
    </row>
    <row r="3562" spans="1:1">
      <c r="A3562" s="120" t="s">
        <v>388</v>
      </c>
    </row>
    <row r="3563" spans="1:1">
      <c r="A3563" s="121" t="s">
        <v>2283</v>
      </c>
    </row>
    <row r="3564" spans="1:1">
      <c r="A3564" s="121" t="s">
        <v>2284</v>
      </c>
    </row>
    <row r="3565" spans="1:1">
      <c r="A3565" s="122" t="s">
        <v>2285</v>
      </c>
    </row>
    <row r="3566" spans="1:1">
      <c r="A3566" s="121" t="s">
        <v>2286</v>
      </c>
    </row>
    <row r="3567" spans="1:1">
      <c r="A3567" s="121" t="s">
        <v>2287</v>
      </c>
    </row>
    <row r="3568" spans="1:1">
      <c r="A3568" s="121" t="s">
        <v>807</v>
      </c>
    </row>
    <row r="3569" spans="1:1">
      <c r="A3569" s="122" t="s">
        <v>807</v>
      </c>
    </row>
    <row r="3570" spans="1:1">
      <c r="A3570" s="121" t="s">
        <v>2288</v>
      </c>
    </row>
    <row r="3571" spans="1:1">
      <c r="A3571" s="121" t="s">
        <v>2289</v>
      </c>
    </row>
    <row r="3572" spans="1:1">
      <c r="A3572" s="121" t="s">
        <v>2290</v>
      </c>
    </row>
    <row r="3573" spans="1:1">
      <c r="A3573" s="122" t="s">
        <v>991</v>
      </c>
    </row>
    <row r="3574" spans="1:1">
      <c r="A3574" s="121" t="s">
        <v>2291</v>
      </c>
    </row>
    <row r="3575" spans="1:1">
      <c r="A3575" s="123">
        <v>290087.06</v>
      </c>
    </row>
    <row r="3576" spans="1:1">
      <c r="A3576" s="123">
        <v>288087.06</v>
      </c>
    </row>
    <row r="3577" spans="1:1">
      <c r="A3577" s="121" t="s">
        <v>2292</v>
      </c>
    </row>
    <row r="3578" spans="1:1">
      <c r="A3578" s="121" t="s">
        <v>2293</v>
      </c>
    </row>
    <row r="3579" spans="1:1">
      <c r="A3579" s="121" t="s">
        <v>2294</v>
      </c>
    </row>
    <row r="3580" spans="1:1">
      <c r="A3580" s="109">
        <v>277516.02</v>
      </c>
    </row>
    <row r="3581" spans="1:1">
      <c r="A3581" s="123">
        <v>277516.02</v>
      </c>
    </row>
    <row r="3582" spans="1:1">
      <c r="A3582" s="121" t="s">
        <v>2295</v>
      </c>
    </row>
    <row r="3583" spans="1:1">
      <c r="A3583" s="122" t="s">
        <v>2296</v>
      </c>
    </row>
    <row r="3584" spans="1:1">
      <c r="A3584" s="121" t="s">
        <v>2296</v>
      </c>
    </row>
    <row r="3585" spans="1:1">
      <c r="A3585" s="121" t="s">
        <v>2297</v>
      </c>
    </row>
    <row r="3586" spans="1:1">
      <c r="A3586" s="121" t="s">
        <v>2298</v>
      </c>
    </row>
    <row r="3587" spans="1:1">
      <c r="A3587" s="121" t="s">
        <v>2299</v>
      </c>
    </row>
    <row r="3588" spans="1:1">
      <c r="A3588" s="121" t="s">
        <v>2300</v>
      </c>
    </row>
    <row r="3589" spans="1:1">
      <c r="A3589" s="121" t="s">
        <v>2301</v>
      </c>
    </row>
    <row r="3590" spans="1:1">
      <c r="A3590" s="121" t="s">
        <v>821</v>
      </c>
    </row>
    <row r="3591" spans="1:1">
      <c r="A3591" s="122" t="s">
        <v>821</v>
      </c>
    </row>
    <row r="3592" spans="1:1">
      <c r="A3592" s="121" t="s">
        <v>2302</v>
      </c>
    </row>
    <row r="3593" spans="1:1">
      <c r="A3593" s="121" t="s">
        <v>2303</v>
      </c>
    </row>
    <row r="3594" spans="1:1">
      <c r="A3594" s="121" t="s">
        <v>2304</v>
      </c>
    </row>
    <row r="3595" spans="1:1">
      <c r="A3595" s="122" t="s">
        <v>2305</v>
      </c>
    </row>
    <row r="3596" spans="1:1">
      <c r="A3596" s="121" t="s">
        <v>2306</v>
      </c>
    </row>
    <row r="3597" spans="1:1">
      <c r="A3597" s="121" t="s">
        <v>2307</v>
      </c>
    </row>
    <row r="3598" spans="1:1">
      <c r="A3598" s="122" t="s">
        <v>2308</v>
      </c>
    </row>
    <row r="3599" spans="1:1">
      <c r="A3599" s="121" t="s">
        <v>2309</v>
      </c>
    </row>
    <row r="3600" spans="1:1">
      <c r="A3600" s="121" t="s">
        <v>2310</v>
      </c>
    </row>
    <row r="3601" spans="1:1">
      <c r="A3601" s="109">
        <v>291399.03999999998</v>
      </c>
    </row>
    <row r="3602" spans="1:1">
      <c r="A3602" s="121" t="s">
        <v>2311</v>
      </c>
    </row>
    <row r="3603" spans="1:1">
      <c r="A3603" s="121" t="s">
        <v>2312</v>
      </c>
    </row>
    <row r="3604" spans="1:1">
      <c r="A3604" s="122" t="s">
        <v>2313</v>
      </c>
    </row>
    <row r="3605" spans="1:1">
      <c r="A3605" s="121" t="s">
        <v>2314</v>
      </c>
    </row>
    <row r="3606" spans="1:1">
      <c r="A3606" s="121" t="s">
        <v>2315</v>
      </c>
    </row>
    <row r="3607" spans="1:1">
      <c r="A3607" s="122" t="s">
        <v>2316</v>
      </c>
    </row>
    <row r="3608" spans="1:1">
      <c r="A3608" s="121" t="s">
        <v>2317</v>
      </c>
    </row>
    <row r="3609" spans="1:1">
      <c r="A3609" s="121" t="s">
        <v>2318</v>
      </c>
    </row>
    <row r="3610" spans="1:1">
      <c r="A3610" s="122" t="s">
        <v>2319</v>
      </c>
    </row>
    <row r="3611" spans="1:1">
      <c r="A3611" s="122" t="s">
        <v>2320</v>
      </c>
    </row>
    <row r="3612" spans="1:1">
      <c r="A3612" s="122" t="s">
        <v>2321</v>
      </c>
    </row>
    <row r="3613" spans="1:1">
      <c r="A3613" s="121" t="s">
        <v>2322</v>
      </c>
    </row>
    <row r="3614" spans="1:1">
      <c r="A3614" s="121" t="s">
        <v>2323</v>
      </c>
    </row>
    <row r="3615" spans="1:1">
      <c r="A3615" s="122" t="s">
        <v>2324</v>
      </c>
    </row>
    <row r="3616" spans="1:1">
      <c r="A3616" s="123">
        <v>295611.71999999997</v>
      </c>
    </row>
    <row r="3617" spans="1:1">
      <c r="A3617" s="121" t="s">
        <v>2325</v>
      </c>
    </row>
    <row r="3618" spans="1:1">
      <c r="A3618" s="122" t="s">
        <v>2326</v>
      </c>
    </row>
    <row r="3619" spans="1:1">
      <c r="A3619" s="122" t="s">
        <v>2327</v>
      </c>
    </row>
    <row r="3620" spans="1:1">
      <c r="A3620" s="122" t="s">
        <v>2328</v>
      </c>
    </row>
    <row r="3621" spans="1:1">
      <c r="A3621" s="121" t="s">
        <v>2328</v>
      </c>
    </row>
    <row r="3622" spans="1:1">
      <c r="A3622" s="121" t="s">
        <v>825</v>
      </c>
    </row>
    <row r="3623" spans="1:1">
      <c r="A3623" s="122" t="s">
        <v>2329</v>
      </c>
    </row>
    <row r="3624" spans="1:1">
      <c r="A3624" s="122" t="s">
        <v>2330</v>
      </c>
    </row>
    <row r="3625" spans="1:1">
      <c r="A3625" s="121" t="s">
        <v>2331</v>
      </c>
    </row>
    <row r="3626" spans="1:1">
      <c r="A3626" s="122" t="s">
        <v>2332</v>
      </c>
    </row>
    <row r="3627" spans="1:1">
      <c r="A3627" s="121" t="s">
        <v>2332</v>
      </c>
    </row>
    <row r="3628" spans="1:1">
      <c r="A3628" s="121" t="s">
        <v>2333</v>
      </c>
    </row>
    <row r="3629" spans="1:1">
      <c r="A3629" s="122" t="s">
        <v>2333</v>
      </c>
    </row>
    <row r="3630" spans="1:1">
      <c r="A3630" s="121" t="s">
        <v>2334</v>
      </c>
    </row>
    <row r="3631" spans="1:1">
      <c r="A3631" s="121" t="s">
        <v>2335</v>
      </c>
    </row>
    <row r="3632" spans="1:1">
      <c r="A3632" s="121" t="s">
        <v>2336</v>
      </c>
    </row>
    <row r="3633" spans="1:1">
      <c r="A3633" s="122" t="s">
        <v>2337</v>
      </c>
    </row>
    <row r="3634" spans="1:1">
      <c r="A3634" s="121" t="s">
        <v>2338</v>
      </c>
    </row>
    <row r="3635" spans="1:1">
      <c r="A3635" s="121" t="s">
        <v>2339</v>
      </c>
    </row>
    <row r="3636" spans="1:1">
      <c r="A3636" s="121" t="s">
        <v>2340</v>
      </c>
    </row>
    <row r="3637" spans="1:1">
      <c r="A3637" s="121" t="s">
        <v>2341</v>
      </c>
    </row>
    <row r="3638" spans="1:1">
      <c r="A3638" s="121" t="s">
        <v>2342</v>
      </c>
    </row>
    <row r="3639" spans="1:1">
      <c r="A3639" s="121" t="s">
        <v>2343</v>
      </c>
    </row>
    <row r="3640" spans="1:1">
      <c r="A3640" s="122" t="s">
        <v>2344</v>
      </c>
    </row>
    <row r="3641" spans="1:1">
      <c r="A3641" s="121" t="s">
        <v>2345</v>
      </c>
    </row>
    <row r="3642" spans="1:1">
      <c r="A3642" s="121" t="s">
        <v>2346</v>
      </c>
    </row>
    <row r="3643" spans="1:1">
      <c r="A3643" s="122" t="s">
        <v>991</v>
      </c>
    </row>
    <row r="3644" spans="1:1">
      <c r="A3644" s="122" t="s">
        <v>2347</v>
      </c>
    </row>
    <row r="3645" spans="1:1">
      <c r="A3645" s="121" t="s">
        <v>2347</v>
      </c>
    </row>
    <row r="3646" spans="1:1">
      <c r="A3646" s="121" t="s">
        <v>2348</v>
      </c>
    </row>
    <row r="3647" spans="1:1">
      <c r="A3647" s="121" t="s">
        <v>2349</v>
      </c>
    </row>
    <row r="3648" spans="1:1">
      <c r="A3648" s="121" t="s">
        <v>2350</v>
      </c>
    </row>
    <row r="3649" spans="1:1">
      <c r="A3649" s="114" t="s">
        <v>2351</v>
      </c>
    </row>
    <row r="3650" spans="1:1">
      <c r="A3650" s="121" t="s">
        <v>2352</v>
      </c>
    </row>
    <row r="3651" spans="1:1">
      <c r="A3651" s="121" t="s">
        <v>2353</v>
      </c>
    </row>
    <row r="3652" spans="1:1">
      <c r="A3652" s="121" t="s">
        <v>2354</v>
      </c>
    </row>
    <row r="3653" spans="1:1">
      <c r="A3653" s="121" t="s">
        <v>2355</v>
      </c>
    </row>
    <row r="3654" spans="1:1">
      <c r="A3654" s="122" t="s">
        <v>2356</v>
      </c>
    </row>
    <row r="3655" spans="1:1">
      <c r="A3655" s="121" t="s">
        <v>2356</v>
      </c>
    </row>
    <row r="3656" spans="1:1">
      <c r="A3656" s="121" t="s">
        <v>2357</v>
      </c>
    </row>
    <row r="3657" spans="1:1">
      <c r="A3657" s="122" t="s">
        <v>2357</v>
      </c>
    </row>
    <row r="3658" spans="1:1">
      <c r="A3658" s="121" t="s">
        <v>2358</v>
      </c>
    </row>
    <row r="3659" spans="1:1">
      <c r="A3659" s="121" t="s">
        <v>2359</v>
      </c>
    </row>
    <row r="3660" spans="1:1">
      <c r="A3660" s="122" t="s">
        <v>2359</v>
      </c>
    </row>
    <row r="3661" spans="1:1">
      <c r="A3661" s="124" t="s">
        <v>2360</v>
      </c>
    </row>
    <row r="3662" spans="1:1">
      <c r="A3662" s="114" t="s">
        <v>943</v>
      </c>
    </row>
    <row r="3663" spans="1:1">
      <c r="A3663" s="114" t="s">
        <v>944</v>
      </c>
    </row>
    <row r="3664" spans="1:1">
      <c r="A3664" s="133" t="s">
        <v>922</v>
      </c>
    </row>
    <row r="3665" spans="1:1">
      <c r="A3665" s="133" t="s">
        <v>379</v>
      </c>
    </row>
    <row r="3666" spans="1:1">
      <c r="A3666" s="133" t="s">
        <v>380</v>
      </c>
    </row>
    <row r="3667" spans="1:1">
      <c r="A3667" s="133" t="s">
        <v>381</v>
      </c>
    </row>
    <row r="3668" spans="1:1">
      <c r="A3668" s="129" t="s">
        <v>1169</v>
      </c>
    </row>
    <row r="3669" spans="1:1">
      <c r="A3669" s="129" t="s">
        <v>635</v>
      </c>
    </row>
    <row r="3670" spans="1:1">
      <c r="A3670" s="129" t="s">
        <v>2259</v>
      </c>
    </row>
    <row r="3671" spans="1:1">
      <c r="A3671" s="129" t="s">
        <v>637</v>
      </c>
    </row>
    <row r="3672" spans="1:1">
      <c r="A3672" s="120" t="s">
        <v>388</v>
      </c>
    </row>
    <row r="3673" spans="1:1">
      <c r="A3673" s="121" t="s">
        <v>2361</v>
      </c>
    </row>
    <row r="3674" spans="1:1">
      <c r="A3674" s="121" t="s">
        <v>2362</v>
      </c>
    </row>
    <row r="3675" spans="1:1">
      <c r="A3675" s="121" t="s">
        <v>2350</v>
      </c>
    </row>
    <row r="3676" spans="1:1">
      <c r="A3676" s="121" t="s">
        <v>2363</v>
      </c>
    </row>
    <row r="3677" spans="1:1">
      <c r="A3677" s="121" t="s">
        <v>2364</v>
      </c>
    </row>
    <row r="3678" spans="1:1">
      <c r="A3678" s="121" t="s">
        <v>2354</v>
      </c>
    </row>
    <row r="3679" spans="1:1">
      <c r="A3679" s="121" t="s">
        <v>2365</v>
      </c>
    </row>
    <row r="3680" spans="1:1">
      <c r="A3680" s="122" t="s">
        <v>2356</v>
      </c>
    </row>
    <row r="3681" spans="1:1">
      <c r="A3681" s="121" t="s">
        <v>2356</v>
      </c>
    </row>
    <row r="3682" spans="1:1">
      <c r="A3682" s="121" t="s">
        <v>2366</v>
      </c>
    </row>
    <row r="3683" spans="1:1">
      <c r="A3683" s="122" t="s">
        <v>2366</v>
      </c>
    </row>
    <row r="3684" spans="1:1">
      <c r="A3684" s="121" t="s">
        <v>2367</v>
      </c>
    </row>
    <row r="3685" spans="1:1">
      <c r="A3685" s="122" t="s">
        <v>2368</v>
      </c>
    </row>
    <row r="3686" spans="1:1">
      <c r="A3686" s="109">
        <v>305847.78000000003</v>
      </c>
    </row>
    <row r="3687" spans="1:1">
      <c r="A3687" s="121" t="s">
        <v>2369</v>
      </c>
    </row>
    <row r="3688" spans="1:1">
      <c r="A3688" s="122" t="s">
        <v>2370</v>
      </c>
    </row>
    <row r="3689" spans="1:1">
      <c r="A3689" s="121" t="s">
        <v>2350</v>
      </c>
    </row>
    <row r="3690" spans="1:1">
      <c r="A3690" s="121" t="s">
        <v>2371</v>
      </c>
    </row>
    <row r="3691" spans="1:1">
      <c r="A3691" s="121" t="s">
        <v>2372</v>
      </c>
    </row>
    <row r="3692" spans="1:1">
      <c r="A3692" s="121" t="s">
        <v>2354</v>
      </c>
    </row>
    <row r="3693" spans="1:1">
      <c r="A3693" s="121" t="s">
        <v>2373</v>
      </c>
    </row>
    <row r="3694" spans="1:1">
      <c r="A3694" s="122" t="s">
        <v>2356</v>
      </c>
    </row>
    <row r="3695" spans="1:1">
      <c r="A3695" s="121" t="s">
        <v>2356</v>
      </c>
    </row>
    <row r="3696" spans="1:1">
      <c r="A3696" s="121" t="s">
        <v>2374</v>
      </c>
    </row>
    <row r="3697" spans="1:1">
      <c r="A3697" s="121" t="s">
        <v>2375</v>
      </c>
    </row>
    <row r="3698" spans="1:1">
      <c r="A3698" s="121" t="s">
        <v>2376</v>
      </c>
    </row>
    <row r="3699" spans="1:1">
      <c r="A3699" s="121" t="s">
        <v>2377</v>
      </c>
    </row>
    <row r="3700" spans="1:1">
      <c r="A3700" s="122" t="s">
        <v>2350</v>
      </c>
    </row>
    <row r="3701" spans="1:1">
      <c r="A3701" s="121" t="s">
        <v>2350</v>
      </c>
    </row>
    <row r="3702" spans="1:1">
      <c r="A3702" s="121" t="s">
        <v>2378</v>
      </c>
    </row>
    <row r="3703" spans="1:1">
      <c r="A3703" s="121" t="s">
        <v>2379</v>
      </c>
    </row>
    <row r="3704" spans="1:1">
      <c r="A3704" s="121" t="s">
        <v>2354</v>
      </c>
    </row>
    <row r="3705" spans="1:1">
      <c r="A3705" s="121" t="s">
        <v>2380</v>
      </c>
    </row>
    <row r="3706" spans="1:1">
      <c r="A3706" s="122" t="s">
        <v>2356</v>
      </c>
    </row>
    <row r="3707" spans="1:1">
      <c r="A3707" s="121" t="s">
        <v>2356</v>
      </c>
    </row>
    <row r="3708" spans="1:1">
      <c r="A3708" s="121" t="s">
        <v>2381</v>
      </c>
    </row>
    <row r="3709" spans="1:1">
      <c r="A3709" s="122" t="s">
        <v>2381</v>
      </c>
    </row>
    <row r="3710" spans="1:1">
      <c r="A3710" s="121" t="s">
        <v>2382</v>
      </c>
    </row>
    <row r="3711" spans="1:1">
      <c r="A3711" s="121" t="s">
        <v>2383</v>
      </c>
    </row>
    <row r="3712" spans="1:1">
      <c r="A3712" s="121" t="s">
        <v>833</v>
      </c>
    </row>
    <row r="3713" spans="1:1">
      <c r="A3713" s="122" t="s">
        <v>833</v>
      </c>
    </row>
    <row r="3714" spans="1:1">
      <c r="A3714" s="121" t="s">
        <v>2384</v>
      </c>
    </row>
    <row r="3715" spans="1:1">
      <c r="A3715" s="122" t="s">
        <v>2385</v>
      </c>
    </row>
    <row r="3716" spans="1:1">
      <c r="A3716" s="121" t="s">
        <v>2385</v>
      </c>
    </row>
    <row r="3717" spans="1:1">
      <c r="A3717" s="121" t="s">
        <v>2386</v>
      </c>
    </row>
    <row r="3718" spans="1:1">
      <c r="A3718" s="121" t="s">
        <v>2387</v>
      </c>
    </row>
    <row r="3719" spans="1:1">
      <c r="A3719" s="122" t="s">
        <v>2388</v>
      </c>
    </row>
    <row r="3720" spans="1:1">
      <c r="A3720" s="122" t="s">
        <v>2354</v>
      </c>
    </row>
    <row r="3721" spans="1:1">
      <c r="A3721" s="121" t="s">
        <v>2389</v>
      </c>
    </row>
    <row r="3722" spans="1:1">
      <c r="A3722" s="121" t="s">
        <v>2390</v>
      </c>
    </row>
    <row r="3723" spans="1:1">
      <c r="A3723" s="121" t="s">
        <v>2356</v>
      </c>
    </row>
    <row r="3724" spans="1:1">
      <c r="A3724" s="121" t="s">
        <v>2391</v>
      </c>
    </row>
    <row r="3725" spans="1:1">
      <c r="A3725" s="122" t="s">
        <v>991</v>
      </c>
    </row>
    <row r="3726" spans="1:1">
      <c r="A3726" s="121" t="s">
        <v>991</v>
      </c>
    </row>
    <row r="3727" spans="1:1">
      <c r="A3727" s="121" t="s">
        <v>2392</v>
      </c>
    </row>
    <row r="3728" spans="1:1">
      <c r="A3728" s="121" t="s">
        <v>2393</v>
      </c>
    </row>
    <row r="3729" spans="1:1">
      <c r="A3729" s="121" t="s">
        <v>2350</v>
      </c>
    </row>
    <row r="3730" spans="1:1">
      <c r="A3730" s="121" t="s">
        <v>2394</v>
      </c>
    </row>
    <row r="3731" spans="1:1">
      <c r="A3731" s="122" t="s">
        <v>2354</v>
      </c>
    </row>
    <row r="3732" spans="1:1">
      <c r="A3732" s="121" t="s">
        <v>2354</v>
      </c>
    </row>
    <row r="3733" spans="1:1">
      <c r="A3733" s="121" t="s">
        <v>2395</v>
      </c>
    </row>
    <row r="3734" spans="1:1">
      <c r="A3734" s="122" t="s">
        <v>2395</v>
      </c>
    </row>
    <row r="3735" spans="1:1">
      <c r="A3735" s="121" t="s">
        <v>2396</v>
      </c>
    </row>
    <row r="3736" spans="1:1">
      <c r="A3736" s="121" t="s">
        <v>2397</v>
      </c>
    </row>
    <row r="3737" spans="1:1">
      <c r="A3737" s="121" t="s">
        <v>2398</v>
      </c>
    </row>
    <row r="3738" spans="1:1">
      <c r="A3738" s="122" t="s">
        <v>2399</v>
      </c>
    </row>
    <row r="3739" spans="1:1">
      <c r="A3739" s="121" t="s">
        <v>2400</v>
      </c>
    </row>
    <row r="3740" spans="1:1">
      <c r="A3740" s="121" t="s">
        <v>2401</v>
      </c>
    </row>
    <row r="3741" spans="1:1">
      <c r="A3741" s="121" t="s">
        <v>2350</v>
      </c>
    </row>
    <row r="3742" spans="1:1">
      <c r="A3742" s="121" t="s">
        <v>2402</v>
      </c>
    </row>
    <row r="3743" spans="1:1">
      <c r="A3743" s="121" t="s">
        <v>2403</v>
      </c>
    </row>
    <row r="3744" spans="1:1">
      <c r="A3744" s="121" t="s">
        <v>2354</v>
      </c>
    </row>
    <row r="3745" spans="1:1">
      <c r="A3745" s="121" t="s">
        <v>2404</v>
      </c>
    </row>
    <row r="3746" spans="1:1">
      <c r="A3746" s="122" t="s">
        <v>2356</v>
      </c>
    </row>
    <row r="3747" spans="1:1">
      <c r="A3747" s="121" t="s">
        <v>2356</v>
      </c>
    </row>
    <row r="3748" spans="1:1">
      <c r="A3748" s="121" t="s">
        <v>2405</v>
      </c>
    </row>
    <row r="3749" spans="1:1">
      <c r="A3749" s="122" t="s">
        <v>2406</v>
      </c>
    </row>
    <row r="3750" spans="1:1">
      <c r="A3750" s="121" t="s">
        <v>2407</v>
      </c>
    </row>
    <row r="3751" spans="1:1">
      <c r="A3751" s="122" t="s">
        <v>2408</v>
      </c>
    </row>
    <row r="3752" spans="1:1">
      <c r="A3752" s="121" t="s">
        <v>2408</v>
      </c>
    </row>
    <row r="3753" spans="1:1">
      <c r="A3753" s="121" t="s">
        <v>2409</v>
      </c>
    </row>
    <row r="3754" spans="1:1">
      <c r="A3754" s="121" t="s">
        <v>2410</v>
      </c>
    </row>
    <row r="3755" spans="1:1">
      <c r="A3755" s="122" t="s">
        <v>2411</v>
      </c>
    </row>
    <row r="3756" spans="1:1">
      <c r="A3756" s="122" t="s">
        <v>2354</v>
      </c>
    </row>
    <row r="3757" spans="1:1">
      <c r="A3757" s="121" t="s">
        <v>2412</v>
      </c>
    </row>
    <row r="3758" spans="1:1">
      <c r="A3758" s="122" t="s">
        <v>2412</v>
      </c>
    </row>
    <row r="3759" spans="1:1">
      <c r="A3759" s="121" t="s">
        <v>2413</v>
      </c>
    </row>
    <row r="3760" spans="1:1">
      <c r="A3760" s="121" t="s">
        <v>2414</v>
      </c>
    </row>
    <row r="3761" spans="1:1">
      <c r="A3761" s="121" t="s">
        <v>2415</v>
      </c>
    </row>
    <row r="3762" spans="1:1">
      <c r="A3762" s="122" t="s">
        <v>2416</v>
      </c>
    </row>
    <row r="3763" spans="1:1">
      <c r="A3763" s="121" t="s">
        <v>2417</v>
      </c>
    </row>
    <row r="3764" spans="1:1">
      <c r="A3764" s="121" t="s">
        <v>2418</v>
      </c>
    </row>
    <row r="3765" spans="1:1">
      <c r="A3765" s="122" t="s">
        <v>2419</v>
      </c>
    </row>
    <row r="3766" spans="1:1">
      <c r="A3766" s="114" t="s">
        <v>2420</v>
      </c>
    </row>
    <row r="3767" spans="1:1">
      <c r="A3767" s="121" t="s">
        <v>2421</v>
      </c>
    </row>
    <row r="3768" spans="1:1">
      <c r="A3768" s="121" t="s">
        <v>2422</v>
      </c>
    </row>
    <row r="3769" spans="1:1">
      <c r="A3769" s="121" t="s">
        <v>2423</v>
      </c>
    </row>
    <row r="3770" spans="1:1">
      <c r="A3770" s="121" t="s">
        <v>2424</v>
      </c>
    </row>
    <row r="3771" spans="1:1">
      <c r="A3771" s="124" t="s">
        <v>2425</v>
      </c>
    </row>
    <row r="3772" spans="1:1">
      <c r="A3772" s="114" t="s">
        <v>943</v>
      </c>
    </row>
    <row r="3773" spans="1:1">
      <c r="A3773" s="114" t="s">
        <v>944</v>
      </c>
    </row>
    <row r="3774" spans="1:1">
      <c r="A3774" s="133" t="s">
        <v>922</v>
      </c>
    </row>
    <row r="3775" spans="1:1">
      <c r="A3775" s="133" t="s">
        <v>379</v>
      </c>
    </row>
    <row r="3776" spans="1:1">
      <c r="A3776" s="133" t="s">
        <v>380</v>
      </c>
    </row>
    <row r="3777" spans="1:1">
      <c r="A3777" s="133" t="s">
        <v>381</v>
      </c>
    </row>
    <row r="3778" spans="1:1">
      <c r="A3778" s="129" t="s">
        <v>1169</v>
      </c>
    </row>
    <row r="3779" spans="1:1">
      <c r="A3779" s="129" t="s">
        <v>635</v>
      </c>
    </row>
    <row r="3780" spans="1:1">
      <c r="A3780" s="129" t="s">
        <v>2259</v>
      </c>
    </row>
    <row r="3781" spans="1:1">
      <c r="A3781" s="129" t="s">
        <v>637</v>
      </c>
    </row>
    <row r="3782" spans="1:1">
      <c r="A3782" s="120" t="s">
        <v>388</v>
      </c>
    </row>
    <row r="3783" spans="1:1">
      <c r="A3783" s="122" t="s">
        <v>2426</v>
      </c>
    </row>
    <row r="3784" spans="1:1">
      <c r="A3784" s="121" t="s">
        <v>2426</v>
      </c>
    </row>
    <row r="3785" spans="1:1">
      <c r="A3785" s="122" t="s">
        <v>2427</v>
      </c>
    </row>
    <row r="3786" spans="1:1">
      <c r="A3786" s="122" t="s">
        <v>2428</v>
      </c>
    </row>
    <row r="3787" spans="1:1">
      <c r="A3787" s="121" t="s">
        <v>2327</v>
      </c>
    </row>
    <row r="3788" spans="1:1">
      <c r="A3788" s="122" t="s">
        <v>2429</v>
      </c>
    </row>
    <row r="3789" spans="1:1">
      <c r="A3789" s="121" t="s">
        <v>2429</v>
      </c>
    </row>
    <row r="3790" spans="1:1">
      <c r="A3790" s="121" t="s">
        <v>847</v>
      </c>
    </row>
    <row r="3791" spans="1:1">
      <c r="A3791" s="122" t="s">
        <v>2430</v>
      </c>
    </row>
    <row r="3792" spans="1:1">
      <c r="A3792" s="121" t="s">
        <v>2350</v>
      </c>
    </row>
    <row r="3793" spans="1:1">
      <c r="A3793" s="121" t="s">
        <v>2431</v>
      </c>
    </row>
    <row r="3794" spans="1:1">
      <c r="A3794" s="121" t="s">
        <v>2432</v>
      </c>
    </row>
    <row r="3795" spans="1:1">
      <c r="A3795" s="121" t="s">
        <v>2354</v>
      </c>
    </row>
    <row r="3796" spans="1:1">
      <c r="A3796" s="121" t="s">
        <v>2433</v>
      </c>
    </row>
    <row r="3797" spans="1:1">
      <c r="A3797" s="122" t="s">
        <v>2356</v>
      </c>
    </row>
    <row r="3798" spans="1:1">
      <c r="A3798" s="121" t="s">
        <v>2356</v>
      </c>
    </row>
    <row r="3799" spans="1:1">
      <c r="A3799" s="121" t="s">
        <v>2434</v>
      </c>
    </row>
    <row r="3800" spans="1:1">
      <c r="A3800" s="122" t="s">
        <v>2434</v>
      </c>
    </row>
    <row r="3801" spans="1:1">
      <c r="A3801" s="121" t="s">
        <v>2049</v>
      </c>
    </row>
    <row r="3802" spans="1:1">
      <c r="A3802" s="121" t="s">
        <v>2435</v>
      </c>
    </row>
    <row r="3803" spans="1:1">
      <c r="A3803" s="121" t="s">
        <v>2436</v>
      </c>
    </row>
    <row r="3804" spans="1:1">
      <c r="A3804" s="122" t="s">
        <v>2437</v>
      </c>
    </row>
    <row r="3805" spans="1:1">
      <c r="A3805" s="121" t="s">
        <v>2438</v>
      </c>
    </row>
    <row r="3806" spans="1:1">
      <c r="A3806" s="121" t="s">
        <v>2439</v>
      </c>
    </row>
    <row r="3807" spans="1:1">
      <c r="A3807" s="122" t="s">
        <v>2350</v>
      </c>
    </row>
    <row r="3808" spans="1:1">
      <c r="A3808" s="121" t="s">
        <v>2440</v>
      </c>
    </row>
    <row r="3809" spans="1:1">
      <c r="A3809" s="121" t="s">
        <v>2441</v>
      </c>
    </row>
    <row r="3810" spans="1:1">
      <c r="A3810" s="121" t="s">
        <v>2354</v>
      </c>
    </row>
    <row r="3811" spans="1:1">
      <c r="A3811" s="121" t="s">
        <v>2442</v>
      </c>
    </row>
    <row r="3812" spans="1:1">
      <c r="A3812" s="122" t="s">
        <v>2356</v>
      </c>
    </row>
    <row r="3813" spans="1:1">
      <c r="A3813" s="121" t="s">
        <v>2356</v>
      </c>
    </row>
    <row r="3814" spans="1:1">
      <c r="A3814" s="122" t="s">
        <v>2443</v>
      </c>
    </row>
    <row r="3815" spans="1:1">
      <c r="A3815" s="121" t="s">
        <v>2443</v>
      </c>
    </row>
    <row r="3816" spans="1:1">
      <c r="A3816" s="121" t="s">
        <v>2444</v>
      </c>
    </row>
    <row r="3817" spans="1:1">
      <c r="A3817" s="121" t="s">
        <v>2445</v>
      </c>
    </row>
    <row r="3818" spans="1:1">
      <c r="A3818" s="121" t="s">
        <v>2350</v>
      </c>
    </row>
    <row r="3819" spans="1:1">
      <c r="A3819" s="121" t="s">
        <v>2446</v>
      </c>
    </row>
    <row r="3820" spans="1:1">
      <c r="A3820" s="121" t="s">
        <v>2447</v>
      </c>
    </row>
    <row r="3821" spans="1:1">
      <c r="A3821" s="121" t="s">
        <v>2354</v>
      </c>
    </row>
    <row r="3822" spans="1:1">
      <c r="A3822" s="121" t="s">
        <v>2448</v>
      </c>
    </row>
    <row r="3823" spans="1:1">
      <c r="A3823" s="122" t="s">
        <v>2356</v>
      </c>
    </row>
    <row r="3824" spans="1:1">
      <c r="A3824" s="121" t="s">
        <v>2356</v>
      </c>
    </row>
    <row r="3825" spans="1:1">
      <c r="A3825" s="121" t="s">
        <v>2449</v>
      </c>
    </row>
    <row r="3826" spans="1:1">
      <c r="A3826" s="122" t="s">
        <v>2449</v>
      </c>
    </row>
    <row r="3827" spans="1:1">
      <c r="A3827" s="121" t="s">
        <v>2450</v>
      </c>
    </row>
    <row r="3828" spans="1:1">
      <c r="A3828" s="121" t="s">
        <v>2451</v>
      </c>
    </row>
    <row r="3829" spans="1:1">
      <c r="A3829" s="122" t="s">
        <v>2451</v>
      </c>
    </row>
    <row r="3830" spans="1:1">
      <c r="A3830" s="115" t="s">
        <v>2452</v>
      </c>
    </row>
    <row r="3831" spans="1:1">
      <c r="A3831" s="115" t="s">
        <v>570</v>
      </c>
    </row>
    <row r="3832" spans="1:1">
      <c r="A3832" s="115" t="s">
        <v>2265</v>
      </c>
    </row>
    <row r="3833" spans="1:1">
      <c r="A3833" s="115" t="s">
        <v>433</v>
      </c>
    </row>
    <row r="3834" spans="1:1">
      <c r="A3834" s="120" t="s">
        <v>388</v>
      </c>
    </row>
    <row r="3835" spans="1:1">
      <c r="A3835" s="121" t="s">
        <v>2453</v>
      </c>
    </row>
    <row r="3836" spans="1:1">
      <c r="A3836" s="121" t="s">
        <v>2454</v>
      </c>
    </row>
    <row r="3837" spans="1:1">
      <c r="A3837" s="122" t="s">
        <v>2455</v>
      </c>
    </row>
    <row r="3838" spans="1:1">
      <c r="A3838" s="121" t="s">
        <v>2456</v>
      </c>
    </row>
    <row r="3839" spans="1:1">
      <c r="A3839" s="121" t="s">
        <v>2457</v>
      </c>
    </row>
    <row r="3840" spans="1:1">
      <c r="A3840" s="122" t="s">
        <v>2458</v>
      </c>
    </row>
    <row r="3841" spans="1:1">
      <c r="A3841" s="121" t="s">
        <v>2459</v>
      </c>
    </row>
    <row r="3842" spans="1:1">
      <c r="A3842" s="121" t="s">
        <v>2460</v>
      </c>
    </row>
    <row r="3843" spans="1:1">
      <c r="A3843" s="121" t="s">
        <v>2461</v>
      </c>
    </row>
    <row r="3844" spans="1:1">
      <c r="A3844" s="122" t="s">
        <v>2462</v>
      </c>
    </row>
    <row r="3845" spans="1:1">
      <c r="A3845" s="121" t="s">
        <v>2463</v>
      </c>
    </row>
    <row r="3846" spans="1:1">
      <c r="A3846" s="121" t="s">
        <v>2464</v>
      </c>
    </row>
    <row r="3847" spans="1:1">
      <c r="A3847" s="109">
        <v>3800.16</v>
      </c>
    </row>
    <row r="3848" spans="1:1">
      <c r="A3848" s="121" t="s">
        <v>2465</v>
      </c>
    </row>
    <row r="3849" spans="1:1">
      <c r="A3849" s="121" t="s">
        <v>2466</v>
      </c>
    </row>
    <row r="3850" spans="1:1">
      <c r="A3850" s="109">
        <v>3000</v>
      </c>
    </row>
    <row r="3851" spans="1:1">
      <c r="A3851" s="121" t="s">
        <v>2467</v>
      </c>
    </row>
    <row r="3852" spans="1:1">
      <c r="A3852" s="136" t="s">
        <v>465</v>
      </c>
    </row>
    <row r="3853" spans="1:1">
      <c r="A3853" s="114" t="s">
        <v>2468</v>
      </c>
    </row>
    <row r="3854" spans="1:1">
      <c r="A3854" s="136" t="s">
        <v>2469</v>
      </c>
    </row>
    <row r="3855" spans="1:1">
      <c r="A3855" s="124" t="s">
        <v>2470</v>
      </c>
    </row>
    <row r="3856" spans="1:1">
      <c r="A3856" s="114" t="s">
        <v>943</v>
      </c>
    </row>
    <row r="3857" spans="1:1">
      <c r="A3857" s="114" t="s">
        <v>944</v>
      </c>
    </row>
    <row r="3858" spans="1:1">
      <c r="A3858" s="133" t="s">
        <v>922</v>
      </c>
    </row>
    <row r="3859" spans="1:1">
      <c r="A3859" s="133" t="s">
        <v>379</v>
      </c>
    </row>
    <row r="3860" spans="1:1">
      <c r="A3860" s="133" t="s">
        <v>380</v>
      </c>
    </row>
    <row r="3861" spans="1:1">
      <c r="A3861" s="133" t="s">
        <v>381</v>
      </c>
    </row>
    <row r="3862" spans="1:1">
      <c r="A3862" s="129" t="s">
        <v>1169</v>
      </c>
    </row>
    <row r="3863" spans="1:1">
      <c r="A3863" s="129" t="s">
        <v>635</v>
      </c>
    </row>
    <row r="3864" spans="1:1">
      <c r="A3864" s="129" t="s">
        <v>2259</v>
      </c>
    </row>
    <row r="3865" spans="1:1">
      <c r="A3865" s="129" t="s">
        <v>637</v>
      </c>
    </row>
    <row r="3866" spans="1:1">
      <c r="A3866" s="115" t="s">
        <v>436</v>
      </c>
    </row>
    <row r="3867" spans="1:1">
      <c r="A3867" s="115" t="s">
        <v>2471</v>
      </c>
    </row>
    <row r="3868" spans="1:1">
      <c r="A3868" s="115" t="s">
        <v>1290</v>
      </c>
    </row>
    <row r="3869" spans="1:1">
      <c r="A3869" s="115" t="s">
        <v>2265</v>
      </c>
    </row>
    <row r="3870" spans="1:1">
      <c r="A3870" s="115" t="s">
        <v>2472</v>
      </c>
    </row>
    <row r="3871" spans="1:1">
      <c r="A3871" s="120" t="s">
        <v>388</v>
      </c>
    </row>
    <row r="3872" spans="1:1">
      <c r="A3872" s="121" t="s">
        <v>2473</v>
      </c>
    </row>
    <row r="3873" spans="1:1">
      <c r="A3873" s="122" t="s">
        <v>2474</v>
      </c>
    </row>
    <row r="3874" spans="1:1">
      <c r="A3874" s="121" t="s">
        <v>2474</v>
      </c>
    </row>
    <row r="3875" spans="1:1">
      <c r="A3875" s="121" t="s">
        <v>2475</v>
      </c>
    </row>
    <row r="3876" spans="1:1">
      <c r="A3876" s="121" t="s">
        <v>2476</v>
      </c>
    </row>
    <row r="3877" spans="1:1">
      <c r="A3877" s="122" t="s">
        <v>2477</v>
      </c>
    </row>
    <row r="3878" spans="1:1">
      <c r="A3878" s="121" t="s">
        <v>2478</v>
      </c>
    </row>
    <row r="3879" spans="1:1">
      <c r="A3879" s="121" t="s">
        <v>2479</v>
      </c>
    </row>
    <row r="3880" spans="1:1">
      <c r="A3880" s="122" t="s">
        <v>2480</v>
      </c>
    </row>
    <row r="3881" spans="1:1">
      <c r="A3881" s="121" t="s">
        <v>2480</v>
      </c>
    </row>
    <row r="3882" spans="1:1">
      <c r="A3882" s="121" t="s">
        <v>2481</v>
      </c>
    </row>
    <row r="3883" spans="1:1">
      <c r="A3883" s="122" t="s">
        <v>2482</v>
      </c>
    </row>
    <row r="3884" spans="1:1">
      <c r="A3884" s="121" t="s">
        <v>2483</v>
      </c>
    </row>
    <row r="3885" spans="1:1">
      <c r="A3885" s="121" t="s">
        <v>2484</v>
      </c>
    </row>
    <row r="3886" spans="1:1">
      <c r="A3886" s="122" t="s">
        <v>2485</v>
      </c>
    </row>
    <row r="3887" spans="1:1">
      <c r="A3887" s="121" t="s">
        <v>2485</v>
      </c>
    </row>
    <row r="3888" spans="1:1">
      <c r="A3888" s="121" t="s">
        <v>2486</v>
      </c>
    </row>
    <row r="3889" spans="1:1">
      <c r="A3889" s="122" t="s">
        <v>2487</v>
      </c>
    </row>
    <row r="3890" spans="1:1">
      <c r="A3890" s="121" t="s">
        <v>2487</v>
      </c>
    </row>
    <row r="3891" spans="1:1">
      <c r="A3891" s="121" t="s">
        <v>2488</v>
      </c>
    </row>
    <row r="3892" spans="1:1">
      <c r="A3892" s="122" t="s">
        <v>2489</v>
      </c>
    </row>
    <row r="3893" spans="1:1">
      <c r="A3893" s="121" t="s">
        <v>2489</v>
      </c>
    </row>
    <row r="3894" spans="1:1">
      <c r="A3894" s="121" t="s">
        <v>2490</v>
      </c>
    </row>
    <row r="3895" spans="1:1">
      <c r="A3895" s="122" t="s">
        <v>2491</v>
      </c>
    </row>
    <row r="3896" spans="1:1">
      <c r="A3896" s="121" t="s">
        <v>2491</v>
      </c>
    </row>
    <row r="3897" spans="1:1">
      <c r="A3897" s="121" t="s">
        <v>2492</v>
      </c>
    </row>
    <row r="3898" spans="1:1">
      <c r="A3898" s="136" t="s">
        <v>465</v>
      </c>
    </row>
    <row r="3899" spans="1:1">
      <c r="A3899" s="136" t="s">
        <v>2493</v>
      </c>
    </row>
    <row r="3900" spans="1:1">
      <c r="A3900" s="115" t="s">
        <v>436</v>
      </c>
    </row>
    <row r="3901" spans="1:1">
      <c r="A3901" s="114" t="s">
        <v>2494</v>
      </c>
    </row>
    <row r="3902" spans="1:1">
      <c r="A3902" s="115" t="s">
        <v>2495</v>
      </c>
    </row>
    <row r="3903" spans="1:1">
      <c r="A3903" s="115" t="s">
        <v>2100</v>
      </c>
    </row>
    <row r="3904" spans="1:1">
      <c r="A3904" s="115" t="s">
        <v>2265</v>
      </c>
    </row>
    <row r="3905" spans="1:1">
      <c r="A3905" s="115" t="s">
        <v>2496</v>
      </c>
    </row>
    <row r="3906" spans="1:1">
      <c r="A3906" s="120" t="s">
        <v>388</v>
      </c>
    </row>
    <row r="3907" spans="1:1">
      <c r="A3907" s="121" t="s">
        <v>2497</v>
      </c>
    </row>
    <row r="3908" spans="1:1">
      <c r="A3908" s="122" t="s">
        <v>2498</v>
      </c>
    </row>
    <row r="3909" spans="1:1">
      <c r="A3909" s="121" t="s">
        <v>2498</v>
      </c>
    </row>
    <row r="3910" spans="1:1">
      <c r="A3910" s="121" t="s">
        <v>2499</v>
      </c>
    </row>
    <row r="3911" spans="1:1">
      <c r="A3911" s="122" t="s">
        <v>2500</v>
      </c>
    </row>
    <row r="3912" spans="1:1">
      <c r="A3912" s="121" t="s">
        <v>2500</v>
      </c>
    </row>
    <row r="3913" spans="1:1">
      <c r="A3913" s="121" t="s">
        <v>2501</v>
      </c>
    </row>
    <row r="3914" spans="1:1">
      <c r="A3914" s="122" t="s">
        <v>2502</v>
      </c>
    </row>
    <row r="3915" spans="1:1">
      <c r="A3915" s="121" t="s">
        <v>2503</v>
      </c>
    </row>
    <row r="3916" spans="1:1">
      <c r="A3916" s="121" t="s">
        <v>2504</v>
      </c>
    </row>
    <row r="3917" spans="1:1">
      <c r="A3917" s="122" t="s">
        <v>2505</v>
      </c>
    </row>
    <row r="3918" spans="1:1">
      <c r="A3918" s="121" t="s">
        <v>2505</v>
      </c>
    </row>
    <row r="3919" spans="1:1">
      <c r="A3919" s="121" t="s">
        <v>2506</v>
      </c>
    </row>
    <row r="3920" spans="1:1">
      <c r="A3920" s="122" t="s">
        <v>2507</v>
      </c>
    </row>
    <row r="3921" spans="1:1">
      <c r="A3921" s="121" t="s">
        <v>2507</v>
      </c>
    </row>
    <row r="3922" spans="1:1">
      <c r="A3922" s="121" t="s">
        <v>2508</v>
      </c>
    </row>
    <row r="3923" spans="1:1">
      <c r="A3923" s="122" t="s">
        <v>2509</v>
      </c>
    </row>
    <row r="3924" spans="1:1">
      <c r="A3924" s="121" t="s">
        <v>2509</v>
      </c>
    </row>
    <row r="3925" spans="1:1">
      <c r="A3925" s="121" t="s">
        <v>2510</v>
      </c>
    </row>
    <row r="3926" spans="1:1">
      <c r="A3926" s="122" t="s">
        <v>2511</v>
      </c>
    </row>
    <row r="3927" spans="1:1">
      <c r="A3927" s="121" t="s">
        <v>2511</v>
      </c>
    </row>
    <row r="3928" spans="1:1">
      <c r="A3928" s="124" t="s">
        <v>2512</v>
      </c>
    </row>
    <row r="3929" spans="1:1">
      <c r="A3929" s="114" t="s">
        <v>943</v>
      </c>
    </row>
    <row r="3930" spans="1:1">
      <c r="A3930" s="114" t="s">
        <v>944</v>
      </c>
    </row>
    <row r="3931" spans="1:1">
      <c r="A3931" s="133" t="s">
        <v>922</v>
      </c>
    </row>
    <row r="3932" spans="1:1">
      <c r="A3932" s="133" t="s">
        <v>379</v>
      </c>
    </row>
    <row r="3933" spans="1:1">
      <c r="A3933" s="133" t="s">
        <v>380</v>
      </c>
    </row>
    <row r="3934" spans="1:1">
      <c r="A3934" s="133" t="s">
        <v>381</v>
      </c>
    </row>
    <row r="3935" spans="1:1">
      <c r="A3935" s="129" t="s">
        <v>1169</v>
      </c>
    </row>
    <row r="3936" spans="1:1">
      <c r="A3936" s="129" t="s">
        <v>635</v>
      </c>
    </row>
    <row r="3937" spans="1:1">
      <c r="A3937" s="129" t="s">
        <v>2259</v>
      </c>
    </row>
    <row r="3938" spans="1:1">
      <c r="A3938" s="129" t="s">
        <v>637</v>
      </c>
    </row>
    <row r="3939" spans="1:1">
      <c r="A3939" s="120" t="s">
        <v>388</v>
      </c>
    </row>
    <row r="3940" spans="1:1">
      <c r="A3940" s="121" t="s">
        <v>2513</v>
      </c>
    </row>
    <row r="3941" spans="1:1">
      <c r="A3941" s="122" t="s">
        <v>2514</v>
      </c>
    </row>
    <row r="3942" spans="1:1">
      <c r="A3942" s="121" t="s">
        <v>2515</v>
      </c>
    </row>
    <row r="3943" spans="1:1">
      <c r="A3943" s="121" t="s">
        <v>2516</v>
      </c>
    </row>
    <row r="3944" spans="1:1">
      <c r="A3944" s="122" t="s">
        <v>2517</v>
      </c>
    </row>
    <row r="3945" spans="1:1">
      <c r="A3945" s="121" t="s">
        <v>2518</v>
      </c>
    </row>
    <row r="3946" spans="1:1">
      <c r="A3946" s="121" t="s">
        <v>2519</v>
      </c>
    </row>
    <row r="3947" spans="1:1">
      <c r="A3947" s="122" t="s">
        <v>2520</v>
      </c>
    </row>
    <row r="3948" spans="1:1">
      <c r="A3948" s="121" t="s">
        <v>2520</v>
      </c>
    </row>
    <row r="3949" spans="1:1">
      <c r="A3949" s="121" t="s">
        <v>2521</v>
      </c>
    </row>
    <row r="3950" spans="1:1">
      <c r="A3950" s="121" t="s">
        <v>2522</v>
      </c>
    </row>
    <row r="3951" spans="1:1">
      <c r="A3951" s="122" t="s">
        <v>2523</v>
      </c>
    </row>
    <row r="3952" spans="1:1">
      <c r="A3952" s="121" t="s">
        <v>2523</v>
      </c>
    </row>
    <row r="3953" spans="1:1">
      <c r="A3953" s="121" t="s">
        <v>2524</v>
      </c>
    </row>
    <row r="3954" spans="1:1">
      <c r="A3954" s="122" t="s">
        <v>2525</v>
      </c>
    </row>
    <row r="3955" spans="1:1">
      <c r="A3955" s="121" t="s">
        <v>2526</v>
      </c>
    </row>
    <row r="3956" spans="1:1">
      <c r="A3956" s="122" t="s">
        <v>2527</v>
      </c>
    </row>
    <row r="3957" spans="1:1">
      <c r="A3957" s="121" t="s">
        <v>2527</v>
      </c>
    </row>
    <row r="3958" spans="1:1">
      <c r="A3958" s="121" t="s">
        <v>2528</v>
      </c>
    </row>
    <row r="3959" spans="1:1">
      <c r="A3959" s="136" t="s">
        <v>465</v>
      </c>
    </row>
    <row r="3960" spans="1:1">
      <c r="A3960" s="136" t="s">
        <v>2529</v>
      </c>
    </row>
    <row r="3961" spans="1:1">
      <c r="A3961" s="114" t="s">
        <v>2530</v>
      </c>
    </row>
    <row r="3962" spans="1:1">
      <c r="A3962" s="124" t="s">
        <v>2531</v>
      </c>
    </row>
    <row r="3963" spans="1:1">
      <c r="A3963" s="114" t="s">
        <v>943</v>
      </c>
    </row>
    <row r="3964" spans="1:1">
      <c r="A3964" s="114" t="s">
        <v>468</v>
      </c>
    </row>
  </sheetData>
  <mergeCells count="160">
    <mergeCell ref="A3281:A3282"/>
    <mergeCell ref="B3281:B3282"/>
    <mergeCell ref="A3287:A3288"/>
    <mergeCell ref="B3287:B3288"/>
    <mergeCell ref="A3022:A3023"/>
    <mergeCell ref="B3022:B3023"/>
    <mergeCell ref="B3024:B3025"/>
    <mergeCell ref="B3026:B3027"/>
    <mergeCell ref="A3029:A3031"/>
    <mergeCell ref="B3029:B3031"/>
    <mergeCell ref="A585:A586"/>
    <mergeCell ref="B585:B586"/>
    <mergeCell ref="C585:C586"/>
    <mergeCell ref="A490:A491"/>
    <mergeCell ref="B490:B491"/>
    <mergeCell ref="C490:C491"/>
    <mergeCell ref="A493:A494"/>
    <mergeCell ref="B493:B494"/>
    <mergeCell ref="C493:C494"/>
    <mergeCell ref="A578:A579"/>
    <mergeCell ref="B578:B579"/>
    <mergeCell ref="C578:C579"/>
    <mergeCell ref="A582:A583"/>
    <mergeCell ref="B582:B583"/>
    <mergeCell ref="A481:A482"/>
    <mergeCell ref="C481:C482"/>
    <mergeCell ref="D481:D482"/>
    <mergeCell ref="A484:A485"/>
    <mergeCell ref="B484:B485"/>
    <mergeCell ref="C484:C485"/>
    <mergeCell ref="A487:A488"/>
    <mergeCell ref="B487:B488"/>
    <mergeCell ref="C487:C488"/>
    <mergeCell ref="A472:A473"/>
    <mergeCell ref="C472:C473"/>
    <mergeCell ref="D472:D473"/>
    <mergeCell ref="A475:A476"/>
    <mergeCell ref="B475:B476"/>
    <mergeCell ref="C475:C476"/>
    <mergeCell ref="A478:A479"/>
    <mergeCell ref="C478:C479"/>
    <mergeCell ref="D478:D479"/>
    <mergeCell ref="A424:A425"/>
    <mergeCell ref="C424:C425"/>
    <mergeCell ref="D424:D425"/>
    <mergeCell ref="A427:A428"/>
    <mergeCell ref="C427:C428"/>
    <mergeCell ref="D427:D428"/>
    <mergeCell ref="D439:D440"/>
    <mergeCell ref="A430:A431"/>
    <mergeCell ref="C430:C431"/>
    <mergeCell ref="D430:D431"/>
    <mergeCell ref="A433:A434"/>
    <mergeCell ref="B433:B434"/>
    <mergeCell ref="C433:C434"/>
    <mergeCell ref="A436:A437"/>
    <mergeCell ref="B436:B437"/>
    <mergeCell ref="C436:C437"/>
    <mergeCell ref="A439:A440"/>
    <mergeCell ref="C439:C440"/>
    <mergeCell ref="A415:A416"/>
    <mergeCell ref="B415:B416"/>
    <mergeCell ref="C415:C416"/>
    <mergeCell ref="A418:A419"/>
    <mergeCell ref="C418:C419"/>
    <mergeCell ref="D418:D419"/>
    <mergeCell ref="A421:A422"/>
    <mergeCell ref="C421:C422"/>
    <mergeCell ref="D421:D422"/>
    <mergeCell ref="A406:A407"/>
    <mergeCell ref="B406:B407"/>
    <mergeCell ref="C406:C407"/>
    <mergeCell ref="A409:A410"/>
    <mergeCell ref="B409:B410"/>
    <mergeCell ref="C409:C410"/>
    <mergeCell ref="A412:A413"/>
    <mergeCell ref="B412:B413"/>
    <mergeCell ref="C412:C413"/>
    <mergeCell ref="A391:A392"/>
    <mergeCell ref="B391:B392"/>
    <mergeCell ref="C391:C392"/>
    <mergeCell ref="D403:D404"/>
    <mergeCell ref="A394:A395"/>
    <mergeCell ref="B394:B395"/>
    <mergeCell ref="C394:C395"/>
    <mergeCell ref="A397:A398"/>
    <mergeCell ref="C397:C398"/>
    <mergeCell ref="D397:D398"/>
    <mergeCell ref="A400:A401"/>
    <mergeCell ref="B400:B401"/>
    <mergeCell ref="C400:C401"/>
    <mergeCell ref="A403:A404"/>
    <mergeCell ref="C403:C404"/>
    <mergeCell ref="A232:A233"/>
    <mergeCell ref="B232:B233"/>
    <mergeCell ref="C232:C233"/>
    <mergeCell ref="D232:D233"/>
    <mergeCell ref="A235:A236"/>
    <mergeCell ref="B235:B236"/>
    <mergeCell ref="C235:C236"/>
    <mergeCell ref="D235:D236"/>
    <mergeCell ref="A388:A389"/>
    <mergeCell ref="C388:C389"/>
    <mergeCell ref="D388:D389"/>
    <mergeCell ref="A214:A215"/>
    <mergeCell ref="C214:C215"/>
    <mergeCell ref="D214:D215"/>
    <mergeCell ref="E214:E215"/>
    <mergeCell ref="A217:A218"/>
    <mergeCell ref="B217:B218"/>
    <mergeCell ref="C217:C218"/>
    <mergeCell ref="D217:D218"/>
    <mergeCell ref="A229:A230"/>
    <mergeCell ref="C229:C230"/>
    <mergeCell ref="D229:D230"/>
    <mergeCell ref="E229:E230"/>
    <mergeCell ref="A220:A221"/>
    <mergeCell ref="B220:B221"/>
    <mergeCell ref="C220:C221"/>
    <mergeCell ref="D220:D221"/>
    <mergeCell ref="A223:A224"/>
    <mergeCell ref="C223:C224"/>
    <mergeCell ref="D223:D224"/>
    <mergeCell ref="E223:E224"/>
    <mergeCell ref="A226:A227"/>
    <mergeCell ref="B226:B227"/>
    <mergeCell ref="C226:C227"/>
    <mergeCell ref="D226:D227"/>
    <mergeCell ref="A205:A206"/>
    <mergeCell ref="B205:B206"/>
    <mergeCell ref="C205:C206"/>
    <mergeCell ref="D205:D206"/>
    <mergeCell ref="A208:A209"/>
    <mergeCell ref="C208:C209"/>
    <mergeCell ref="D208:D209"/>
    <mergeCell ref="E208:E209"/>
    <mergeCell ref="A211:A212"/>
    <mergeCell ref="B211:B212"/>
    <mergeCell ref="C211:C212"/>
    <mergeCell ref="D211:D212"/>
    <mergeCell ref="E197:E198"/>
    <mergeCell ref="A199:A200"/>
    <mergeCell ref="B199:B200"/>
    <mergeCell ref="C199:C200"/>
    <mergeCell ref="D199:D200"/>
    <mergeCell ref="A202:A203"/>
    <mergeCell ref="B202:B203"/>
    <mergeCell ref="C202:C203"/>
    <mergeCell ref="D202:D203"/>
    <mergeCell ref="A191:A192"/>
    <mergeCell ref="B191:B192"/>
    <mergeCell ref="C191:C192"/>
    <mergeCell ref="D191:D192"/>
    <mergeCell ref="A194:A195"/>
    <mergeCell ref="B194:B195"/>
    <mergeCell ref="C194:C195"/>
    <mergeCell ref="D194:D195"/>
    <mergeCell ref="A197:A198"/>
    <mergeCell ref="C197:C198"/>
    <mergeCell ref="D197:D19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3CACA-5B70-2A43-839B-2FF3F2D84801}">
  <dimension ref="A1"/>
  <sheetViews>
    <sheetView workbookViewId="0"/>
  </sheetViews>
  <sheetFormatPr baseColWidth="10"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5:BW12"/>
  <sheetViews>
    <sheetView workbookViewId="0"/>
  </sheetViews>
  <sheetFormatPr baseColWidth="10" defaultRowHeight="15"/>
  <cols>
    <col min="2" max="2" width="9.6640625" customWidth="1"/>
    <col min="3" max="3" width="5.5" customWidth="1"/>
    <col min="4" max="4" width="6.5" customWidth="1"/>
    <col min="5" max="8" width="9.6640625" customWidth="1"/>
    <col min="9" max="10" width="7.6640625" customWidth="1"/>
    <col min="11" max="13" width="6.33203125" customWidth="1"/>
    <col min="14" max="14" width="5.6640625" customWidth="1"/>
    <col min="15" max="15" width="6.6640625" customWidth="1"/>
    <col min="16" max="16" width="5.5" customWidth="1"/>
    <col min="17" max="17" width="6.5" customWidth="1"/>
    <col min="18" max="18" width="5.1640625" customWidth="1"/>
    <col min="19" max="19" width="6.1640625" customWidth="1"/>
  </cols>
  <sheetData>
    <row r="5" spans="1:75">
      <c r="B5" s="110">
        <v>46218</v>
      </c>
      <c r="C5" s="110">
        <v>46239</v>
      </c>
      <c r="D5" s="110">
        <v>46261</v>
      </c>
      <c r="E5" s="110">
        <v>46265</v>
      </c>
      <c r="F5" s="110">
        <v>46266</v>
      </c>
      <c r="G5" s="110">
        <v>46270</v>
      </c>
      <c r="H5" s="110">
        <v>46288</v>
      </c>
      <c r="I5" s="110">
        <v>46295</v>
      </c>
      <c r="J5" s="110">
        <v>46300</v>
      </c>
      <c r="K5" s="110">
        <v>46324</v>
      </c>
      <c r="L5" s="110">
        <v>46324</v>
      </c>
      <c r="M5" s="110">
        <v>46326</v>
      </c>
      <c r="N5" s="110">
        <v>46331</v>
      </c>
      <c r="O5" s="110">
        <v>46356</v>
      </c>
      <c r="P5" s="110">
        <v>46361</v>
      </c>
      <c r="Q5" s="110">
        <v>46387</v>
      </c>
      <c r="R5" s="110">
        <v>46027</v>
      </c>
      <c r="S5" s="110">
        <v>46043</v>
      </c>
    </row>
    <row r="6" spans="1:75">
      <c r="A6" t="s">
        <v>2532</v>
      </c>
      <c r="B6">
        <v>3.76</v>
      </c>
      <c r="C6">
        <v>3.76</v>
      </c>
      <c r="D6">
        <v>3.76</v>
      </c>
      <c r="E6">
        <v>3.76</v>
      </c>
      <c r="F6">
        <v>3.76</v>
      </c>
      <c r="G6">
        <v>3.76</v>
      </c>
      <c r="H6">
        <v>3.76</v>
      </c>
      <c r="I6">
        <v>3.76</v>
      </c>
    </row>
    <row r="7" spans="1:75">
      <c r="A7" t="s">
        <v>2533</v>
      </c>
      <c r="B7" s="36">
        <v>900000</v>
      </c>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row>
    <row r="8" spans="1:75">
      <c r="A8" t="s">
        <v>2534</v>
      </c>
      <c r="B8" s="36"/>
      <c r="C8" s="36"/>
      <c r="D8" s="36"/>
      <c r="E8" s="36">
        <v>2503.23</v>
      </c>
      <c r="F8" s="36"/>
      <c r="G8" s="36"/>
      <c r="H8" s="36">
        <f>I12-H12-I8</f>
        <v>8400.0000000000327</v>
      </c>
      <c r="I8" s="36">
        <v>2768.41</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row>
    <row r="9" spans="1:75">
      <c r="A9" t="s">
        <v>2535</v>
      </c>
      <c r="B9" s="36"/>
      <c r="C9" s="36"/>
      <c r="D9" s="36"/>
      <c r="E9" s="36"/>
      <c r="F9" s="36"/>
      <c r="G9" s="36">
        <v>4173.1499999999996</v>
      </c>
      <c r="H9" s="36"/>
      <c r="I9" s="36"/>
      <c r="J9" s="36">
        <v>4182.6099999999997</v>
      </c>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row>
    <row r="10" spans="1:75">
      <c r="A10" t="s">
        <v>2536</v>
      </c>
      <c r="F10">
        <v>4200</v>
      </c>
      <c r="H10">
        <v>-4200</v>
      </c>
    </row>
    <row r="12" spans="1:75">
      <c r="B12" s="102">
        <f>B7</f>
        <v>900000</v>
      </c>
      <c r="C12" s="102"/>
      <c r="E12" s="102">
        <f>B12+E8</f>
        <v>902503.23</v>
      </c>
      <c r="F12" s="102">
        <f>E12-F10</f>
        <v>898303.23</v>
      </c>
      <c r="G12" s="102">
        <f>F12-G9</f>
        <v>894130.08</v>
      </c>
      <c r="H12" s="102">
        <f>G12+H10</f>
        <v>889930.08</v>
      </c>
      <c r="I12">
        <v>901098.49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151"/>
  <sheetViews>
    <sheetView workbookViewId="0">
      <selection sqref="A1:H1"/>
    </sheetView>
  </sheetViews>
  <sheetFormatPr baseColWidth="10" defaultColWidth="8.83203125" defaultRowHeight="15"/>
  <cols>
    <col min="1" max="1" width="23.33203125" style="22" customWidth="1"/>
    <col min="2" max="2" width="10" style="22" customWidth="1"/>
    <col min="3" max="9" width="9.6640625" style="22" customWidth="1"/>
    <col min="10" max="10" width="9.33203125" style="22" customWidth="1"/>
    <col min="11" max="11" width="8.6640625" style="22" customWidth="1"/>
    <col min="12" max="26" width="9.6640625" style="22" customWidth="1"/>
    <col min="27" max="27" width="8.6640625" style="22" customWidth="1"/>
    <col min="28" max="30" width="9.6640625" style="22" customWidth="1"/>
    <col min="31" max="31" width="8.6640625" style="22" customWidth="1"/>
    <col min="32" max="37" width="5.83203125" style="22" customWidth="1"/>
    <col min="38" max="16384" width="8.83203125" style="22"/>
  </cols>
  <sheetData>
    <row r="1" spans="1:8" ht="24">
      <c r="A1" s="202" t="s">
        <v>2537</v>
      </c>
      <c r="B1" s="207"/>
      <c r="C1" s="207"/>
      <c r="D1" s="207"/>
      <c r="E1" s="207"/>
      <c r="F1" s="207"/>
      <c r="G1" s="207"/>
      <c r="H1" s="207"/>
    </row>
    <row r="2" spans="1:8">
      <c r="A2" s="87" t="s">
        <v>2538</v>
      </c>
    </row>
    <row r="3" spans="1:8">
      <c r="A3" s="22" t="s">
        <v>2539</v>
      </c>
      <c r="B3" s="37">
        <f>Properties!D7</f>
        <v>473993.29</v>
      </c>
    </row>
    <row r="4" spans="1:8">
      <c r="A4" s="22" t="s">
        <v>2540</v>
      </c>
      <c r="B4" s="22">
        <f>Properties!E7</f>
        <v>5.79E-2</v>
      </c>
    </row>
    <row r="5" spans="1:8">
      <c r="A5" s="22" t="s">
        <v>2541</v>
      </c>
      <c r="B5" s="22">
        <v>2015</v>
      </c>
    </row>
    <row r="6" spans="1:8">
      <c r="A6" s="22" t="s">
        <v>226</v>
      </c>
      <c r="B6" s="22">
        <v>2030</v>
      </c>
    </row>
    <row r="7" spans="1:8">
      <c r="A7" s="22" t="s">
        <v>2542</v>
      </c>
      <c r="B7" s="22">
        <v>25</v>
      </c>
    </row>
    <row r="8" spans="1:8">
      <c r="A8" s="22" t="s">
        <v>2543</v>
      </c>
      <c r="B8" s="22">
        <v>650</v>
      </c>
    </row>
    <row r="10" spans="1:8">
      <c r="A10" s="87" t="s">
        <v>2544</v>
      </c>
      <c r="B10" s="97">
        <f>SUM(B11:B14)</f>
        <v>1909.5</v>
      </c>
    </row>
    <row r="11" spans="1:8">
      <c r="A11" s="93" t="s">
        <v>2545</v>
      </c>
      <c r="B11" s="37">
        <v>1200</v>
      </c>
      <c r="C11" s="37"/>
    </row>
    <row r="12" spans="1:8">
      <c r="A12" s="93" t="s">
        <v>2546</v>
      </c>
      <c r="B12" s="37">
        <v>600</v>
      </c>
      <c r="C12" s="37"/>
    </row>
    <row r="13" spans="1:8">
      <c r="A13" s="93" t="s">
        <v>2547</v>
      </c>
      <c r="B13" s="37">
        <v>109.5</v>
      </c>
      <c r="C13" s="37"/>
    </row>
    <row r="14" spans="1:8">
      <c r="A14" s="93" t="s">
        <v>2548</v>
      </c>
      <c r="B14" s="70" t="s">
        <v>2549</v>
      </c>
      <c r="C14" s="70"/>
    </row>
    <row r="15" spans="1:8" ht="20" customHeight="1">
      <c r="A15" s="98" t="s">
        <v>2550</v>
      </c>
      <c r="B15" s="70">
        <f>H21</f>
        <v>2020</v>
      </c>
      <c r="C15" s="70"/>
    </row>
    <row r="16" spans="1:8">
      <c r="A16" s="93" t="s">
        <v>2551</v>
      </c>
      <c r="B16" s="70">
        <f>MIN(5, H25)</f>
        <v>5</v>
      </c>
      <c r="C16" s="70"/>
    </row>
    <row r="17" spans="1:51">
      <c r="H17" s="22" t="s">
        <v>2552</v>
      </c>
    </row>
    <row r="18" spans="1:51">
      <c r="H18" s="22">
        <v>19058.560000000001</v>
      </c>
      <c r="I18" s="22">
        <v>16536.759999999998</v>
      </c>
      <c r="J18" s="22">
        <v>26584.83</v>
      </c>
      <c r="K18" s="22">
        <v>33276.35</v>
      </c>
      <c r="L18" s="22">
        <v>31228.6</v>
      </c>
    </row>
    <row r="19" spans="1:51">
      <c r="A19" s="22" t="s">
        <v>2553</v>
      </c>
      <c r="H19" s="73">
        <f>H18/H23</f>
        <v>4.0208501685751713E-2</v>
      </c>
      <c r="I19" s="73">
        <f t="shared" ref="I19" si="0">I18/I23</f>
        <v>3.4888173205996229E-2</v>
      </c>
      <c r="J19" s="73">
        <f t="shared" ref="J19" si="1">J18/J23</f>
        <v>5.608693321375921E-2</v>
      </c>
      <c r="K19" s="73">
        <f t="shared" ref="K19" si="2">K18/K23</f>
        <v>7.0204263862047492E-2</v>
      </c>
      <c r="L19" s="73">
        <f t="shared" ref="L19" si="3">L18/L23</f>
        <v>6.5884055025335911E-2</v>
      </c>
    </row>
    <row r="20" spans="1:51">
      <c r="B20" s="75" t="s">
        <v>2554</v>
      </c>
      <c r="C20" s="70">
        <v>37</v>
      </c>
      <c r="D20" s="70">
        <v>38</v>
      </c>
      <c r="E20" s="70">
        <v>39</v>
      </c>
      <c r="F20" s="70">
        <v>40</v>
      </c>
      <c r="G20" s="70">
        <v>41</v>
      </c>
      <c r="H20" s="70">
        <v>42</v>
      </c>
      <c r="I20" s="70">
        <v>43</v>
      </c>
      <c r="J20" s="70">
        <v>44</v>
      </c>
      <c r="K20" s="70">
        <v>45</v>
      </c>
      <c r="L20" s="70">
        <v>46</v>
      </c>
      <c r="M20" s="70">
        <v>47</v>
      </c>
      <c r="N20" s="70">
        <v>48</v>
      </c>
      <c r="O20" s="70">
        <v>49</v>
      </c>
      <c r="P20" s="70">
        <v>50</v>
      </c>
      <c r="Q20" s="70">
        <v>51</v>
      </c>
      <c r="R20" s="70">
        <v>52</v>
      </c>
      <c r="S20" s="70">
        <v>53</v>
      </c>
      <c r="T20" s="70">
        <v>54</v>
      </c>
      <c r="U20" s="70">
        <v>55</v>
      </c>
      <c r="V20" s="70">
        <v>56</v>
      </c>
      <c r="W20" s="70">
        <v>57</v>
      </c>
      <c r="X20" s="70">
        <v>58</v>
      </c>
      <c r="Y20" s="70">
        <v>59</v>
      </c>
      <c r="Z20" s="70">
        <v>60</v>
      </c>
      <c r="AA20" s="70">
        <v>61</v>
      </c>
      <c r="AB20" s="70">
        <v>62</v>
      </c>
      <c r="AC20" s="70">
        <v>63</v>
      </c>
      <c r="AD20" s="70">
        <v>64</v>
      </c>
      <c r="AE20" s="70">
        <v>65</v>
      </c>
      <c r="AF20" s="70">
        <v>66</v>
      </c>
      <c r="AG20" s="70">
        <v>67</v>
      </c>
      <c r="AH20" s="70">
        <v>68</v>
      </c>
      <c r="AI20" s="70">
        <v>69</v>
      </c>
      <c r="AJ20" s="70">
        <v>70</v>
      </c>
      <c r="AK20" s="70">
        <v>71</v>
      </c>
    </row>
    <row r="21" spans="1:51" ht="17">
      <c r="A21" s="15" t="s">
        <v>37</v>
      </c>
      <c r="B21" s="15"/>
      <c r="C21" s="15">
        <f>$B$5 + 0</f>
        <v>2015</v>
      </c>
      <c r="D21" s="15">
        <f>$B$5 + 1</f>
        <v>2016</v>
      </c>
      <c r="E21" s="15">
        <f>$B$5 + 2</f>
        <v>2017</v>
      </c>
      <c r="F21" s="15">
        <f>$B$5 + 3</f>
        <v>2018</v>
      </c>
      <c r="G21" s="15">
        <f>$B$5 + 4</f>
        <v>2019</v>
      </c>
      <c r="H21" s="15">
        <f>$B$5 + 5</f>
        <v>2020</v>
      </c>
      <c r="I21" s="15">
        <f>$B$5 + 6</f>
        <v>2021</v>
      </c>
      <c r="J21" s="15">
        <f>$B$5 + 7</f>
        <v>2022</v>
      </c>
      <c r="K21" s="15">
        <f>$B$5 + 8</f>
        <v>2023</v>
      </c>
      <c r="L21" s="15">
        <f>$B$5 + 9</f>
        <v>2024</v>
      </c>
      <c r="M21" s="15">
        <f>$B$5 + 10</f>
        <v>2025</v>
      </c>
      <c r="N21" s="15">
        <f>$B$5 + 11</f>
        <v>2026</v>
      </c>
      <c r="O21" s="15">
        <f>$B$5 + 12</f>
        <v>2027</v>
      </c>
      <c r="P21" s="15">
        <f>$B$5 + 13</f>
        <v>2028</v>
      </c>
      <c r="Q21" s="15">
        <f>$B$5 + 14</f>
        <v>2029</v>
      </c>
      <c r="R21" s="15">
        <f>$B$5 + 15</f>
        <v>2030</v>
      </c>
      <c r="S21" s="15">
        <f>$B$5 + 16</f>
        <v>2031</v>
      </c>
      <c r="T21" s="15">
        <f>$B$5 + 17</f>
        <v>2032</v>
      </c>
      <c r="U21" s="15">
        <f>$B$5 + 18</f>
        <v>2033</v>
      </c>
      <c r="V21" s="15">
        <f>$B$5 + 19</f>
        <v>2034</v>
      </c>
      <c r="W21" s="15">
        <f>$B$5 + 20</f>
        <v>2035</v>
      </c>
      <c r="X21" s="15">
        <f>$B$5 + 21</f>
        <v>2036</v>
      </c>
      <c r="Y21" s="15">
        <f>$B$5 + 22</f>
        <v>2037</v>
      </c>
      <c r="Z21" s="15">
        <f>$B$5 + 23</f>
        <v>2038</v>
      </c>
      <c r="AA21" s="15">
        <f>$B$5 + 24</f>
        <v>2039</v>
      </c>
      <c r="AB21" s="15">
        <f>$B$5 + 25</f>
        <v>2040</v>
      </c>
      <c r="AC21" s="15">
        <f>$B$5 + 26</f>
        <v>2041</v>
      </c>
      <c r="AD21" s="15">
        <f>$B$5 + 27</f>
        <v>2042</v>
      </c>
      <c r="AE21" s="15">
        <f>$B$5 + 28</f>
        <v>2043</v>
      </c>
      <c r="AF21" s="15">
        <f>$B$5 + 29</f>
        <v>2044</v>
      </c>
      <c r="AG21" s="15">
        <f>$B$5 + 30</f>
        <v>2045</v>
      </c>
      <c r="AH21" s="15">
        <f>$B$5 + 31</f>
        <v>2046</v>
      </c>
      <c r="AI21" s="15">
        <f>$B$5 + 32</f>
        <v>2047</v>
      </c>
      <c r="AJ21" s="15">
        <f>$B$5 + 33</f>
        <v>2048</v>
      </c>
      <c r="AK21" s="15">
        <f>$B$5 + 34</f>
        <v>2049</v>
      </c>
      <c r="AL21" s="50"/>
      <c r="AM21" s="50"/>
      <c r="AN21" s="50"/>
      <c r="AO21" s="50"/>
      <c r="AP21" s="50"/>
      <c r="AQ21" s="50"/>
      <c r="AR21" s="50"/>
      <c r="AS21" s="50"/>
      <c r="AT21" s="50"/>
      <c r="AU21" s="50"/>
      <c r="AV21" s="50"/>
      <c r="AW21" s="50"/>
      <c r="AX21" s="50"/>
      <c r="AY21" s="50"/>
    </row>
    <row r="22" spans="1:51" s="37" customFormat="1">
      <c r="A22" s="104" t="s">
        <v>2538</v>
      </c>
      <c r="C22" s="96">
        <v>1</v>
      </c>
      <c r="D22" s="96">
        <v>2</v>
      </c>
      <c r="E22" s="96">
        <v>3</v>
      </c>
      <c r="F22" s="96">
        <v>4</v>
      </c>
      <c r="G22" s="96">
        <v>5</v>
      </c>
      <c r="H22" s="96">
        <v>6</v>
      </c>
      <c r="I22" s="96">
        <v>7</v>
      </c>
      <c r="J22" s="96">
        <v>8</v>
      </c>
      <c r="K22" s="96">
        <v>9</v>
      </c>
      <c r="L22" s="96">
        <v>10</v>
      </c>
      <c r="M22" s="96">
        <v>11</v>
      </c>
      <c r="N22" s="96">
        <v>12</v>
      </c>
      <c r="O22" s="96">
        <v>13</v>
      </c>
      <c r="P22" s="96">
        <v>14</v>
      </c>
      <c r="Q22" s="96">
        <v>15</v>
      </c>
      <c r="R22" s="96">
        <v>16</v>
      </c>
      <c r="S22" s="96">
        <v>17</v>
      </c>
      <c r="T22" s="96">
        <v>18</v>
      </c>
      <c r="U22" s="96">
        <v>19</v>
      </c>
      <c r="V22" s="96">
        <v>20</v>
      </c>
      <c r="W22" s="96">
        <v>21</v>
      </c>
      <c r="X22" s="96">
        <v>22</v>
      </c>
      <c r="Y22" s="96">
        <v>23</v>
      </c>
      <c r="Z22" s="96">
        <v>24</v>
      </c>
      <c r="AA22" s="96">
        <v>25</v>
      </c>
      <c r="AB22" s="96">
        <v>26</v>
      </c>
      <c r="AC22" s="96">
        <v>27</v>
      </c>
      <c r="AD22" s="96">
        <v>28</v>
      </c>
      <c r="AE22" s="96">
        <v>29</v>
      </c>
      <c r="AF22" s="96">
        <v>30</v>
      </c>
      <c r="AG22" s="96">
        <v>31</v>
      </c>
      <c r="AH22" s="96">
        <v>32</v>
      </c>
      <c r="AI22" s="96">
        <v>33</v>
      </c>
      <c r="AJ22" s="96">
        <v>34</v>
      </c>
      <c r="AK22" s="96">
        <v>35</v>
      </c>
    </row>
    <row r="23" spans="1:51" s="37" customFormat="1">
      <c r="A23" s="37" t="s">
        <v>207</v>
      </c>
      <c r="C23" s="37">
        <f>$B$3</f>
        <v>473993.29</v>
      </c>
      <c r="D23" s="37">
        <f t="shared" ref="D23:AK23" si="4">C29</f>
        <v>473993.29</v>
      </c>
      <c r="E23" s="37">
        <f t="shared" si="4"/>
        <v>473993.29</v>
      </c>
      <c r="F23" s="37">
        <f t="shared" si="4"/>
        <v>473993.29</v>
      </c>
      <c r="G23" s="37">
        <f t="shared" si="4"/>
        <v>473993.29</v>
      </c>
      <c r="H23" s="37">
        <f t="shared" si="4"/>
        <v>473993.29</v>
      </c>
      <c r="I23" s="37">
        <f t="shared" si="4"/>
        <v>473993.29</v>
      </c>
      <c r="J23" s="37">
        <f t="shared" si="4"/>
        <v>473993.29</v>
      </c>
      <c r="K23" s="37">
        <f t="shared" si="4"/>
        <v>473993.29</v>
      </c>
      <c r="L23" s="37">
        <f t="shared" si="4"/>
        <v>473993.29</v>
      </c>
      <c r="M23" s="37">
        <f t="shared" si="4"/>
        <v>473993.29</v>
      </c>
      <c r="N23" s="37">
        <f t="shared" si="4"/>
        <v>473993.29</v>
      </c>
      <c r="O23" s="37">
        <f t="shared" si="4"/>
        <v>473993.29</v>
      </c>
      <c r="P23" s="37">
        <f t="shared" si="4"/>
        <v>473993.29</v>
      </c>
      <c r="Q23" s="37">
        <f t="shared" si="4"/>
        <v>473993.29</v>
      </c>
      <c r="R23" s="37">
        <f t="shared" si="4"/>
        <v>473993.29</v>
      </c>
      <c r="S23" s="37">
        <f t="shared" si="4"/>
        <v>437676.20783571579</v>
      </c>
      <c r="T23" s="37">
        <f t="shared" si="4"/>
        <v>399256.36661411956</v>
      </c>
      <c r="U23" s="37">
        <f t="shared" si="4"/>
        <v>358612.01658579288</v>
      </c>
      <c r="V23" s="37">
        <f t="shared" si="4"/>
        <v>315614.35869082611</v>
      </c>
      <c r="W23" s="37">
        <f t="shared" si="4"/>
        <v>270127.13640374079</v>
      </c>
      <c r="X23" s="37">
        <f t="shared" si="4"/>
        <v>222006.2039462332</v>
      </c>
      <c r="Y23" s="37">
        <f t="shared" si="4"/>
        <v>171099.06949943595</v>
      </c>
      <c r="Z23" s="37">
        <f t="shared" si="4"/>
        <v>117244.41196816912</v>
      </c>
      <c r="AA23" s="37">
        <f t="shared" si="4"/>
        <v>60271.569765841945</v>
      </c>
      <c r="AB23" s="37">
        <f t="shared" si="4"/>
        <v>0</v>
      </c>
      <c r="AC23" s="37">
        <f t="shared" si="4"/>
        <v>0</v>
      </c>
      <c r="AD23" s="37">
        <f t="shared" si="4"/>
        <v>0</v>
      </c>
      <c r="AE23" s="37">
        <f t="shared" si="4"/>
        <v>0</v>
      </c>
      <c r="AF23" s="37">
        <f t="shared" si="4"/>
        <v>0</v>
      </c>
      <c r="AG23" s="37">
        <f t="shared" si="4"/>
        <v>0</v>
      </c>
      <c r="AH23" s="37">
        <f t="shared" si="4"/>
        <v>0</v>
      </c>
      <c r="AI23" s="37">
        <f t="shared" si="4"/>
        <v>0</v>
      </c>
      <c r="AJ23" s="37">
        <f t="shared" si="4"/>
        <v>0</v>
      </c>
      <c r="AK23" s="37">
        <f t="shared" si="4"/>
        <v>0</v>
      </c>
    </row>
    <row r="24" spans="1:51" s="69" customFormat="1">
      <c r="A24" s="69" t="s">
        <v>2555</v>
      </c>
      <c r="C24" s="69" t="str">
        <f t="shared" ref="C24:AK24" si="5">IF(C21&lt;$B$6,"IO","P&amp;I")</f>
        <v>IO</v>
      </c>
      <c r="D24" s="69" t="str">
        <f t="shared" si="5"/>
        <v>IO</v>
      </c>
      <c r="E24" s="69" t="str">
        <f t="shared" si="5"/>
        <v>IO</v>
      </c>
      <c r="F24" s="69" t="str">
        <f t="shared" si="5"/>
        <v>IO</v>
      </c>
      <c r="G24" s="69" t="str">
        <f t="shared" si="5"/>
        <v>IO</v>
      </c>
      <c r="H24" s="69" t="str">
        <f t="shared" si="5"/>
        <v>IO</v>
      </c>
      <c r="I24" s="69" t="str">
        <f t="shared" si="5"/>
        <v>IO</v>
      </c>
      <c r="J24" s="69" t="str">
        <f t="shared" si="5"/>
        <v>IO</v>
      </c>
      <c r="K24" s="69" t="str">
        <f t="shared" si="5"/>
        <v>IO</v>
      </c>
      <c r="L24" s="69" t="str">
        <f t="shared" si="5"/>
        <v>IO</v>
      </c>
      <c r="M24" s="69" t="str">
        <f t="shared" si="5"/>
        <v>IO</v>
      </c>
      <c r="N24" s="69" t="str">
        <f t="shared" si="5"/>
        <v>IO</v>
      </c>
      <c r="O24" s="69" t="str">
        <f t="shared" si="5"/>
        <v>IO</v>
      </c>
      <c r="P24" s="69" t="str">
        <f t="shared" si="5"/>
        <v>IO</v>
      </c>
      <c r="Q24" s="69" t="str">
        <f t="shared" si="5"/>
        <v>IO</v>
      </c>
      <c r="R24" s="69" t="str">
        <f t="shared" si="5"/>
        <v>P&amp;I</v>
      </c>
      <c r="S24" s="69" t="str">
        <f t="shared" si="5"/>
        <v>P&amp;I</v>
      </c>
      <c r="T24" s="69" t="str">
        <f t="shared" si="5"/>
        <v>P&amp;I</v>
      </c>
      <c r="U24" s="69" t="str">
        <f t="shared" si="5"/>
        <v>P&amp;I</v>
      </c>
      <c r="V24" s="69" t="str">
        <f t="shared" si="5"/>
        <v>P&amp;I</v>
      </c>
      <c r="W24" s="69" t="str">
        <f t="shared" si="5"/>
        <v>P&amp;I</v>
      </c>
      <c r="X24" s="69" t="str">
        <f t="shared" si="5"/>
        <v>P&amp;I</v>
      </c>
      <c r="Y24" s="69" t="str">
        <f t="shared" si="5"/>
        <v>P&amp;I</v>
      </c>
      <c r="Z24" s="69" t="str">
        <f t="shared" si="5"/>
        <v>P&amp;I</v>
      </c>
      <c r="AA24" s="69" t="str">
        <f t="shared" si="5"/>
        <v>P&amp;I</v>
      </c>
      <c r="AB24" s="69" t="str">
        <f t="shared" si="5"/>
        <v>P&amp;I</v>
      </c>
      <c r="AC24" s="69" t="str">
        <f t="shared" si="5"/>
        <v>P&amp;I</v>
      </c>
      <c r="AD24" s="69" t="str">
        <f t="shared" si="5"/>
        <v>P&amp;I</v>
      </c>
      <c r="AE24" s="69" t="str">
        <f t="shared" si="5"/>
        <v>P&amp;I</v>
      </c>
      <c r="AF24" s="69" t="str">
        <f t="shared" si="5"/>
        <v>P&amp;I</v>
      </c>
      <c r="AG24" s="69" t="str">
        <f t="shared" si="5"/>
        <v>P&amp;I</v>
      </c>
      <c r="AH24" s="69" t="str">
        <f t="shared" si="5"/>
        <v>P&amp;I</v>
      </c>
      <c r="AI24" s="69" t="str">
        <f t="shared" si="5"/>
        <v>P&amp;I</v>
      </c>
      <c r="AJ24" s="69" t="str">
        <f t="shared" si="5"/>
        <v>P&amp;I</v>
      </c>
      <c r="AK24" s="69" t="str">
        <f t="shared" si="5"/>
        <v>P&amp;I</v>
      </c>
    </row>
    <row r="25" spans="1:51" s="70" customFormat="1">
      <c r="A25" s="70" t="s">
        <v>2556</v>
      </c>
      <c r="C25" s="70">
        <f t="shared" ref="C25:AK25" si="6">MAX(0,$B$7-(C21-$B$5))</f>
        <v>25</v>
      </c>
      <c r="D25" s="70">
        <f t="shared" si="6"/>
        <v>24</v>
      </c>
      <c r="E25" s="70">
        <f t="shared" si="6"/>
        <v>23</v>
      </c>
      <c r="F25" s="70">
        <f t="shared" si="6"/>
        <v>22</v>
      </c>
      <c r="G25" s="70">
        <f t="shared" si="6"/>
        <v>21</v>
      </c>
      <c r="H25" s="70">
        <f t="shared" si="6"/>
        <v>20</v>
      </c>
      <c r="I25" s="70">
        <f t="shared" si="6"/>
        <v>19</v>
      </c>
      <c r="J25" s="70">
        <f t="shared" si="6"/>
        <v>18</v>
      </c>
      <c r="K25" s="70">
        <f t="shared" si="6"/>
        <v>17</v>
      </c>
      <c r="L25" s="70">
        <f t="shared" si="6"/>
        <v>16</v>
      </c>
      <c r="M25" s="70">
        <f t="shared" si="6"/>
        <v>15</v>
      </c>
      <c r="N25" s="70">
        <f t="shared" si="6"/>
        <v>14</v>
      </c>
      <c r="O25" s="70">
        <f t="shared" si="6"/>
        <v>13</v>
      </c>
      <c r="P25" s="70">
        <f t="shared" si="6"/>
        <v>12</v>
      </c>
      <c r="Q25" s="70">
        <f t="shared" si="6"/>
        <v>11</v>
      </c>
      <c r="R25" s="70">
        <f t="shared" si="6"/>
        <v>10</v>
      </c>
      <c r="S25" s="70">
        <f t="shared" si="6"/>
        <v>9</v>
      </c>
      <c r="T25" s="70">
        <f t="shared" si="6"/>
        <v>8</v>
      </c>
      <c r="U25" s="70">
        <f t="shared" si="6"/>
        <v>7</v>
      </c>
      <c r="V25" s="70">
        <f t="shared" si="6"/>
        <v>6</v>
      </c>
      <c r="W25" s="70">
        <f t="shared" si="6"/>
        <v>5</v>
      </c>
      <c r="X25" s="70">
        <f t="shared" si="6"/>
        <v>4</v>
      </c>
      <c r="Y25" s="70">
        <f t="shared" si="6"/>
        <v>3</v>
      </c>
      <c r="Z25" s="70">
        <f t="shared" si="6"/>
        <v>2</v>
      </c>
      <c r="AA25" s="70">
        <f t="shared" si="6"/>
        <v>1</v>
      </c>
      <c r="AB25" s="70">
        <f t="shared" si="6"/>
        <v>0</v>
      </c>
      <c r="AC25" s="70">
        <f t="shared" si="6"/>
        <v>0</v>
      </c>
      <c r="AD25" s="70">
        <f t="shared" si="6"/>
        <v>0</v>
      </c>
      <c r="AE25" s="70">
        <f t="shared" si="6"/>
        <v>0</v>
      </c>
      <c r="AF25" s="70">
        <f t="shared" si="6"/>
        <v>0</v>
      </c>
      <c r="AG25" s="70">
        <f t="shared" si="6"/>
        <v>0</v>
      </c>
      <c r="AH25" s="70">
        <f t="shared" si="6"/>
        <v>0</v>
      </c>
      <c r="AI25" s="70">
        <f t="shared" si="6"/>
        <v>0</v>
      </c>
      <c r="AJ25" s="70">
        <f t="shared" si="6"/>
        <v>0</v>
      </c>
      <c r="AK25" s="70">
        <f t="shared" si="6"/>
        <v>0</v>
      </c>
    </row>
    <row r="26" spans="1:51" s="37" customFormat="1">
      <c r="A26" s="37" t="s">
        <v>2557</v>
      </c>
      <c r="C26" s="37">
        <f t="shared" ref="C26:AK26" si="7">C23*$B$4</f>
        <v>27444.211490999998</v>
      </c>
      <c r="D26" s="37">
        <f t="shared" si="7"/>
        <v>27444.211490999998</v>
      </c>
      <c r="E26" s="37">
        <f t="shared" si="7"/>
        <v>27444.211490999998</v>
      </c>
      <c r="F26" s="37">
        <f t="shared" si="7"/>
        <v>27444.211490999998</v>
      </c>
      <c r="G26" s="37">
        <f t="shared" si="7"/>
        <v>27444.211490999998</v>
      </c>
      <c r="H26" s="37">
        <f t="shared" si="7"/>
        <v>27444.211490999998</v>
      </c>
      <c r="I26" s="37">
        <f t="shared" si="7"/>
        <v>27444.211490999998</v>
      </c>
      <c r="J26" s="37">
        <f t="shared" si="7"/>
        <v>27444.211490999998</v>
      </c>
      <c r="K26" s="37">
        <f t="shared" si="7"/>
        <v>27444.211490999998</v>
      </c>
      <c r="L26" s="37">
        <f t="shared" si="7"/>
        <v>27444.211490999998</v>
      </c>
      <c r="M26" s="37">
        <f t="shared" si="7"/>
        <v>27444.211490999998</v>
      </c>
      <c r="N26" s="37">
        <f t="shared" si="7"/>
        <v>27444.211490999998</v>
      </c>
      <c r="O26" s="37">
        <f t="shared" si="7"/>
        <v>27444.211490999998</v>
      </c>
      <c r="P26" s="37">
        <f t="shared" si="7"/>
        <v>27444.211490999998</v>
      </c>
      <c r="Q26" s="37">
        <f t="shared" si="7"/>
        <v>27444.211490999998</v>
      </c>
      <c r="R26" s="37">
        <f t="shared" si="7"/>
        <v>27444.211490999998</v>
      </c>
      <c r="S26" s="37">
        <f t="shared" si="7"/>
        <v>25341.452433687944</v>
      </c>
      <c r="T26" s="37">
        <f t="shared" si="7"/>
        <v>23116.943626957524</v>
      </c>
      <c r="U26" s="37">
        <f t="shared" si="7"/>
        <v>20763.635760317407</v>
      </c>
      <c r="V26" s="37">
        <f t="shared" si="7"/>
        <v>18274.071368198831</v>
      </c>
      <c r="W26" s="37">
        <f t="shared" si="7"/>
        <v>15640.361197776592</v>
      </c>
      <c r="X26" s="37">
        <f t="shared" si="7"/>
        <v>12854.159208486903</v>
      </c>
      <c r="Y26" s="37">
        <f t="shared" si="7"/>
        <v>9906.636124017341</v>
      </c>
      <c r="Z26" s="37">
        <f t="shared" si="7"/>
        <v>6788.4514529569924</v>
      </c>
      <c r="AA26" s="37">
        <f t="shared" si="7"/>
        <v>3489.7238894422485</v>
      </c>
      <c r="AB26" s="37">
        <f t="shared" si="7"/>
        <v>0</v>
      </c>
      <c r="AC26" s="37">
        <f t="shared" si="7"/>
        <v>0</v>
      </c>
      <c r="AD26" s="37">
        <f t="shared" si="7"/>
        <v>0</v>
      </c>
      <c r="AE26" s="37">
        <f t="shared" si="7"/>
        <v>0</v>
      </c>
      <c r="AF26" s="37">
        <f t="shared" si="7"/>
        <v>0</v>
      </c>
      <c r="AG26" s="37">
        <f t="shared" si="7"/>
        <v>0</v>
      </c>
      <c r="AH26" s="37">
        <f t="shared" si="7"/>
        <v>0</v>
      </c>
      <c r="AI26" s="37">
        <f t="shared" si="7"/>
        <v>0</v>
      </c>
      <c r="AJ26" s="37">
        <f t="shared" si="7"/>
        <v>0</v>
      </c>
      <c r="AK26" s="37">
        <f t="shared" si="7"/>
        <v>0</v>
      </c>
    </row>
    <row r="27" spans="1:51" s="37" customFormat="1">
      <c r="A27" s="37" t="s">
        <v>2558</v>
      </c>
      <c r="C27" s="37">
        <f t="shared" ref="C27:AK27" si="8">IF(C25=0,0,IF(C24="IO",C26,PMT($B$4,C25,-C23)))</f>
        <v>27444.211490999998</v>
      </c>
      <c r="D27" s="37">
        <f t="shared" si="8"/>
        <v>27444.211490999998</v>
      </c>
      <c r="E27" s="37">
        <f t="shared" si="8"/>
        <v>27444.211490999998</v>
      </c>
      <c r="F27" s="37">
        <f t="shared" si="8"/>
        <v>27444.211490999998</v>
      </c>
      <c r="G27" s="37">
        <f t="shared" si="8"/>
        <v>27444.211490999998</v>
      </c>
      <c r="H27" s="37">
        <f t="shared" si="8"/>
        <v>27444.211490999998</v>
      </c>
      <c r="I27" s="37">
        <f t="shared" si="8"/>
        <v>27444.211490999998</v>
      </c>
      <c r="J27" s="37">
        <f t="shared" si="8"/>
        <v>27444.211490999998</v>
      </c>
      <c r="K27" s="37">
        <f t="shared" si="8"/>
        <v>27444.211490999998</v>
      </c>
      <c r="L27" s="37">
        <f t="shared" si="8"/>
        <v>27444.211490999998</v>
      </c>
      <c r="M27" s="37">
        <f t="shared" si="8"/>
        <v>27444.211490999998</v>
      </c>
      <c r="N27" s="37">
        <f t="shared" si="8"/>
        <v>27444.211490999998</v>
      </c>
      <c r="O27" s="37">
        <f t="shared" si="8"/>
        <v>27444.211490999998</v>
      </c>
      <c r="P27" s="37">
        <f t="shared" si="8"/>
        <v>27444.211490999998</v>
      </c>
      <c r="Q27" s="37">
        <f t="shared" si="8"/>
        <v>27444.211490999998</v>
      </c>
      <c r="R27" s="37">
        <f t="shared" si="8"/>
        <v>63761.293655284171</v>
      </c>
      <c r="S27" s="37">
        <f t="shared" si="8"/>
        <v>63761.293655284171</v>
      </c>
      <c r="T27" s="37">
        <f t="shared" si="8"/>
        <v>63761.293655284186</v>
      </c>
      <c r="U27" s="37">
        <f t="shared" si="8"/>
        <v>63761.293655284171</v>
      </c>
      <c r="V27" s="37">
        <f t="shared" si="8"/>
        <v>63761.293655284164</v>
      </c>
      <c r="W27" s="37">
        <f t="shared" si="8"/>
        <v>63761.293655284164</v>
      </c>
      <c r="X27" s="37">
        <f t="shared" si="8"/>
        <v>63761.293655284171</v>
      </c>
      <c r="Y27" s="37">
        <f t="shared" si="8"/>
        <v>63761.293655284171</v>
      </c>
      <c r="Z27" s="37">
        <f t="shared" si="8"/>
        <v>63761.293655284171</v>
      </c>
      <c r="AA27" s="37">
        <f t="shared" si="8"/>
        <v>63761.2936552842</v>
      </c>
      <c r="AB27" s="37">
        <f t="shared" si="8"/>
        <v>0</v>
      </c>
      <c r="AC27" s="37">
        <f t="shared" si="8"/>
        <v>0</v>
      </c>
      <c r="AD27" s="37">
        <f t="shared" si="8"/>
        <v>0</v>
      </c>
      <c r="AE27" s="37">
        <f t="shared" si="8"/>
        <v>0</v>
      </c>
      <c r="AF27" s="37">
        <f t="shared" si="8"/>
        <v>0</v>
      </c>
      <c r="AG27" s="37">
        <f t="shared" si="8"/>
        <v>0</v>
      </c>
      <c r="AH27" s="37">
        <f t="shared" si="8"/>
        <v>0</v>
      </c>
      <c r="AI27" s="37">
        <f t="shared" si="8"/>
        <v>0</v>
      </c>
      <c r="AJ27" s="37">
        <f t="shared" si="8"/>
        <v>0</v>
      </c>
      <c r="AK27" s="37">
        <f t="shared" si="8"/>
        <v>0</v>
      </c>
    </row>
    <row r="28" spans="1:51" s="37" customFormat="1">
      <c r="A28" s="37" t="s">
        <v>2559</v>
      </c>
      <c r="C28" s="37">
        <f t="shared" ref="C28:AK28" si="9">MAX(0,C27-C26)</f>
        <v>0</v>
      </c>
      <c r="D28" s="37">
        <f t="shared" si="9"/>
        <v>0</v>
      </c>
      <c r="E28" s="37">
        <f t="shared" si="9"/>
        <v>0</v>
      </c>
      <c r="F28" s="37">
        <f t="shared" si="9"/>
        <v>0</v>
      </c>
      <c r="G28" s="37">
        <f t="shared" si="9"/>
        <v>0</v>
      </c>
      <c r="H28" s="37">
        <f t="shared" si="9"/>
        <v>0</v>
      </c>
      <c r="I28" s="37">
        <f t="shared" si="9"/>
        <v>0</v>
      </c>
      <c r="J28" s="37">
        <f t="shared" si="9"/>
        <v>0</v>
      </c>
      <c r="K28" s="37">
        <f t="shared" si="9"/>
        <v>0</v>
      </c>
      <c r="L28" s="37">
        <f t="shared" si="9"/>
        <v>0</v>
      </c>
      <c r="M28" s="37">
        <f t="shared" si="9"/>
        <v>0</v>
      </c>
      <c r="N28" s="37">
        <f t="shared" si="9"/>
        <v>0</v>
      </c>
      <c r="O28" s="37">
        <f t="shared" si="9"/>
        <v>0</v>
      </c>
      <c r="P28" s="37">
        <f t="shared" si="9"/>
        <v>0</v>
      </c>
      <c r="Q28" s="37">
        <f t="shared" si="9"/>
        <v>0</v>
      </c>
      <c r="R28" s="37">
        <f t="shared" si="9"/>
        <v>36317.082164284177</v>
      </c>
      <c r="S28" s="37">
        <f t="shared" si="9"/>
        <v>38419.841221596231</v>
      </c>
      <c r="T28" s="37">
        <f t="shared" si="9"/>
        <v>40644.350028326662</v>
      </c>
      <c r="U28" s="37">
        <f t="shared" si="9"/>
        <v>42997.65789496676</v>
      </c>
      <c r="V28" s="37">
        <f t="shared" si="9"/>
        <v>45487.222287085329</v>
      </c>
      <c r="W28" s="37">
        <f t="shared" si="9"/>
        <v>48120.932457507573</v>
      </c>
      <c r="X28" s="37">
        <f t="shared" si="9"/>
        <v>50907.134446797267</v>
      </c>
      <c r="Y28" s="37">
        <f t="shared" si="9"/>
        <v>53854.657531266828</v>
      </c>
      <c r="Z28" s="37">
        <f t="shared" si="9"/>
        <v>56972.842202327178</v>
      </c>
      <c r="AA28" s="37">
        <f t="shared" si="9"/>
        <v>60271.569765841952</v>
      </c>
      <c r="AB28" s="37">
        <f t="shared" si="9"/>
        <v>0</v>
      </c>
      <c r="AC28" s="37">
        <f t="shared" si="9"/>
        <v>0</v>
      </c>
      <c r="AD28" s="37">
        <f t="shared" si="9"/>
        <v>0</v>
      </c>
      <c r="AE28" s="37">
        <f t="shared" si="9"/>
        <v>0</v>
      </c>
      <c r="AF28" s="37">
        <f t="shared" si="9"/>
        <v>0</v>
      </c>
      <c r="AG28" s="37">
        <f t="shared" si="9"/>
        <v>0</v>
      </c>
      <c r="AH28" s="37">
        <f t="shared" si="9"/>
        <v>0</v>
      </c>
      <c r="AI28" s="37">
        <f t="shared" si="9"/>
        <v>0</v>
      </c>
      <c r="AJ28" s="37">
        <f t="shared" si="9"/>
        <v>0</v>
      </c>
      <c r="AK28" s="37">
        <f t="shared" si="9"/>
        <v>0</v>
      </c>
    </row>
    <row r="29" spans="1:51" s="37" customFormat="1">
      <c r="A29" s="37" t="s">
        <v>2560</v>
      </c>
      <c r="C29" s="37">
        <f t="shared" ref="C29:AK29" si="10">MAX(0,C23-C28)</f>
        <v>473993.29</v>
      </c>
      <c r="D29" s="37">
        <f t="shared" si="10"/>
        <v>473993.29</v>
      </c>
      <c r="E29" s="37">
        <f t="shared" si="10"/>
        <v>473993.29</v>
      </c>
      <c r="F29" s="37">
        <f t="shared" si="10"/>
        <v>473993.29</v>
      </c>
      <c r="G29" s="37">
        <f t="shared" si="10"/>
        <v>473993.29</v>
      </c>
      <c r="H29" s="37">
        <f t="shared" si="10"/>
        <v>473993.29</v>
      </c>
      <c r="I29" s="37">
        <f t="shared" si="10"/>
        <v>473993.29</v>
      </c>
      <c r="J29" s="37">
        <f t="shared" si="10"/>
        <v>473993.29</v>
      </c>
      <c r="K29" s="37">
        <f t="shared" si="10"/>
        <v>473993.29</v>
      </c>
      <c r="L29" s="37">
        <f t="shared" si="10"/>
        <v>473993.29</v>
      </c>
      <c r="M29" s="37">
        <f t="shared" si="10"/>
        <v>473993.29</v>
      </c>
      <c r="N29" s="37">
        <f t="shared" si="10"/>
        <v>473993.29</v>
      </c>
      <c r="O29" s="37">
        <f t="shared" si="10"/>
        <v>473993.29</v>
      </c>
      <c r="P29" s="37">
        <f t="shared" si="10"/>
        <v>473993.29</v>
      </c>
      <c r="Q29" s="37">
        <f t="shared" si="10"/>
        <v>473993.29</v>
      </c>
      <c r="R29" s="37">
        <f t="shared" si="10"/>
        <v>437676.20783571579</v>
      </c>
      <c r="S29" s="37">
        <f t="shared" si="10"/>
        <v>399256.36661411956</v>
      </c>
      <c r="T29" s="37">
        <f t="shared" si="10"/>
        <v>358612.01658579288</v>
      </c>
      <c r="U29" s="37">
        <f t="shared" si="10"/>
        <v>315614.35869082611</v>
      </c>
      <c r="V29" s="37">
        <f t="shared" si="10"/>
        <v>270127.13640374079</v>
      </c>
      <c r="W29" s="37">
        <f t="shared" si="10"/>
        <v>222006.2039462332</v>
      </c>
      <c r="X29" s="37">
        <f t="shared" si="10"/>
        <v>171099.06949943595</v>
      </c>
      <c r="Y29" s="37">
        <f t="shared" si="10"/>
        <v>117244.41196816912</v>
      </c>
      <c r="Z29" s="37">
        <f t="shared" si="10"/>
        <v>60271.569765841945</v>
      </c>
      <c r="AA29" s="37">
        <f t="shared" si="10"/>
        <v>0</v>
      </c>
      <c r="AB29" s="37">
        <f t="shared" si="10"/>
        <v>0</v>
      </c>
      <c r="AC29" s="37">
        <f t="shared" si="10"/>
        <v>0</v>
      </c>
      <c r="AD29" s="37">
        <f t="shared" si="10"/>
        <v>0</v>
      </c>
      <c r="AE29" s="37">
        <f t="shared" si="10"/>
        <v>0</v>
      </c>
      <c r="AF29" s="37">
        <f t="shared" si="10"/>
        <v>0</v>
      </c>
      <c r="AG29" s="37">
        <f t="shared" si="10"/>
        <v>0</v>
      </c>
      <c r="AH29" s="37">
        <f t="shared" si="10"/>
        <v>0</v>
      </c>
      <c r="AI29" s="37">
        <f t="shared" si="10"/>
        <v>0</v>
      </c>
      <c r="AJ29" s="37">
        <f t="shared" si="10"/>
        <v>0</v>
      </c>
      <c r="AK29" s="37">
        <f t="shared" si="10"/>
        <v>0</v>
      </c>
    </row>
    <row r="31" spans="1:51">
      <c r="A31" s="22" t="s">
        <v>2561</v>
      </c>
      <c r="C31" s="22">
        <f>IF(
  AND(C$21 &gt;= $B$15, C$21 &lt; $B$15 + 5),
  -$B$10 / 5,
  0
)</f>
        <v>0</v>
      </c>
      <c r="D31" s="22">
        <f t="shared" ref="D31:AK31" si="11">IF(
  AND(D$21 &gt;= $B$15, D$21 &lt; $B$15 + 5),
  -$B$10 / 5,
  0
)</f>
        <v>0</v>
      </c>
      <c r="E31" s="22">
        <f t="shared" si="11"/>
        <v>0</v>
      </c>
      <c r="F31" s="22">
        <f t="shared" si="11"/>
        <v>0</v>
      </c>
      <c r="G31" s="22">
        <f t="shared" si="11"/>
        <v>0</v>
      </c>
      <c r="H31" s="22">
        <f t="shared" si="11"/>
        <v>-381.9</v>
      </c>
      <c r="I31" s="22">
        <f t="shared" si="11"/>
        <v>-381.9</v>
      </c>
      <c r="J31" s="22">
        <f t="shared" si="11"/>
        <v>-381.9</v>
      </c>
      <c r="K31" s="22">
        <f t="shared" si="11"/>
        <v>-381.9</v>
      </c>
      <c r="L31" s="22">
        <f t="shared" si="11"/>
        <v>-381.9</v>
      </c>
      <c r="M31" s="22">
        <f t="shared" si="11"/>
        <v>0</v>
      </c>
      <c r="N31" s="22">
        <f t="shared" si="11"/>
        <v>0</v>
      </c>
      <c r="O31" s="22">
        <f t="shared" si="11"/>
        <v>0</v>
      </c>
      <c r="P31" s="22">
        <f t="shared" si="11"/>
        <v>0</v>
      </c>
      <c r="Q31" s="22">
        <f t="shared" si="11"/>
        <v>0</v>
      </c>
      <c r="R31" s="22">
        <f t="shared" si="11"/>
        <v>0</v>
      </c>
      <c r="S31" s="22">
        <f t="shared" si="11"/>
        <v>0</v>
      </c>
      <c r="T31" s="22">
        <f t="shared" si="11"/>
        <v>0</v>
      </c>
      <c r="U31" s="22">
        <f t="shared" si="11"/>
        <v>0</v>
      </c>
      <c r="V31" s="22">
        <f t="shared" si="11"/>
        <v>0</v>
      </c>
      <c r="W31" s="22">
        <f t="shared" si="11"/>
        <v>0</v>
      </c>
      <c r="X31" s="22">
        <f t="shared" si="11"/>
        <v>0</v>
      </c>
      <c r="Y31" s="22">
        <f t="shared" si="11"/>
        <v>0</v>
      </c>
      <c r="Z31" s="22">
        <f t="shared" si="11"/>
        <v>0</v>
      </c>
      <c r="AA31" s="22">
        <f t="shared" si="11"/>
        <v>0</v>
      </c>
      <c r="AB31" s="22">
        <f t="shared" si="11"/>
        <v>0</v>
      </c>
      <c r="AC31" s="22">
        <f t="shared" si="11"/>
        <v>0</v>
      </c>
      <c r="AD31" s="22">
        <f t="shared" si="11"/>
        <v>0</v>
      </c>
      <c r="AE31" s="22">
        <f t="shared" si="11"/>
        <v>0</v>
      </c>
      <c r="AF31" s="22">
        <f t="shared" si="11"/>
        <v>0</v>
      </c>
      <c r="AG31" s="22">
        <f t="shared" si="11"/>
        <v>0</v>
      </c>
      <c r="AH31" s="22">
        <f t="shared" si="11"/>
        <v>0</v>
      </c>
      <c r="AI31" s="22">
        <f t="shared" si="11"/>
        <v>0</v>
      </c>
      <c r="AJ31" s="22">
        <f t="shared" si="11"/>
        <v>0</v>
      </c>
      <c r="AK31" s="22">
        <f t="shared" si="11"/>
        <v>0</v>
      </c>
    </row>
    <row r="33" spans="1:37" ht="9.25" customHeight="1">
      <c r="A33" s="105"/>
      <c r="B33" s="106"/>
      <c r="C33" s="106"/>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row>
    <row r="36" spans="1:37">
      <c r="A36" s="87" t="s">
        <v>236</v>
      </c>
    </row>
    <row r="37" spans="1:37">
      <c r="A37" s="22" t="s">
        <v>2539</v>
      </c>
      <c r="B37" s="22">
        <v>473993</v>
      </c>
    </row>
    <row r="38" spans="1:37">
      <c r="A38" s="22" t="s">
        <v>2540</v>
      </c>
      <c r="B38" s="22">
        <v>5.79E-2</v>
      </c>
    </row>
    <row r="39" spans="1:37">
      <c r="A39" s="22" t="s">
        <v>2541</v>
      </c>
      <c r="B39" s="22">
        <v>2015</v>
      </c>
    </row>
    <row r="40" spans="1:37">
      <c r="A40" s="22" t="s">
        <v>226</v>
      </c>
      <c r="B40" s="22">
        <v>2030</v>
      </c>
    </row>
    <row r="41" spans="1:37">
      <c r="A41" s="22" t="s">
        <v>2542</v>
      </c>
      <c r="B41" s="22">
        <v>25</v>
      </c>
    </row>
    <row r="43" spans="1:37">
      <c r="A43" s="87" t="s">
        <v>2544</v>
      </c>
      <c r="B43" s="97">
        <f>SUM(B44:B47)</f>
        <v>1909.5</v>
      </c>
    </row>
    <row r="44" spans="1:37">
      <c r="A44" s="93" t="s">
        <v>2545</v>
      </c>
      <c r="B44" s="37">
        <v>1200</v>
      </c>
      <c r="C44" s="37"/>
    </row>
    <row r="45" spans="1:37">
      <c r="A45" s="93" t="s">
        <v>2546</v>
      </c>
      <c r="B45" s="37">
        <v>600</v>
      </c>
      <c r="C45" s="37"/>
    </row>
    <row r="46" spans="1:37">
      <c r="A46" s="93" t="s">
        <v>2547</v>
      </c>
      <c r="B46" s="37">
        <v>109.5</v>
      </c>
      <c r="C46" s="37"/>
    </row>
    <row r="47" spans="1:37">
      <c r="A47" s="93" t="s">
        <v>2548</v>
      </c>
      <c r="B47" s="70" t="s">
        <v>2549</v>
      </c>
      <c r="C47" s="70"/>
    </row>
    <row r="48" spans="1:37" ht="20" customHeight="1">
      <c r="A48" s="98" t="s">
        <v>2550</v>
      </c>
      <c r="B48" s="70">
        <f>H55</f>
        <v>473993</v>
      </c>
      <c r="C48" s="70"/>
    </row>
    <row r="49" spans="1:51">
      <c r="A49" s="93" t="s">
        <v>2551</v>
      </c>
      <c r="B49" s="70">
        <f>MIN(5, H59)</f>
        <v>5</v>
      </c>
      <c r="C49" s="70"/>
    </row>
    <row r="50" spans="1:51">
      <c r="A50" s="93"/>
      <c r="B50" s="70"/>
      <c r="C50" s="70"/>
    </row>
    <row r="51" spans="1:51">
      <c r="A51" s="22" t="s">
        <v>2553</v>
      </c>
      <c r="H51" s="73"/>
      <c r="I51" s="73"/>
      <c r="J51" s="73"/>
      <c r="K51" s="73"/>
      <c r="L51" s="73"/>
    </row>
    <row r="53" spans="1:51" ht="17">
      <c r="A53" s="15" t="s">
        <v>37</v>
      </c>
      <c r="B53" s="15"/>
      <c r="C53" s="15">
        <f>$B$5 + 0</f>
        <v>2015</v>
      </c>
      <c r="D53" s="15">
        <f>$B$5 + 1</f>
        <v>2016</v>
      </c>
      <c r="E53" s="15">
        <f>$B$5 + 2</f>
        <v>2017</v>
      </c>
      <c r="F53" s="15">
        <f>$B$5 + 3</f>
        <v>2018</v>
      </c>
      <c r="G53" s="15">
        <f>$B$5 + 4</f>
        <v>2019</v>
      </c>
      <c r="H53" s="15">
        <f>$B$5 + 5</f>
        <v>2020</v>
      </c>
      <c r="I53" s="15">
        <f>$B$5 + 6</f>
        <v>2021</v>
      </c>
      <c r="J53" s="15">
        <f>$B$5 + 7</f>
        <v>2022</v>
      </c>
      <c r="K53" s="15">
        <f>$B$5 + 8</f>
        <v>2023</v>
      </c>
      <c r="L53" s="15">
        <f>$B$5 + 9</f>
        <v>2024</v>
      </c>
      <c r="M53" s="15">
        <f>$B$5 + 10</f>
        <v>2025</v>
      </c>
      <c r="N53" s="15">
        <f>$B$5 + 11</f>
        <v>2026</v>
      </c>
      <c r="O53" s="15">
        <f>$B$5 + 12</f>
        <v>2027</v>
      </c>
      <c r="P53" s="15">
        <f>$B$5 + 13</f>
        <v>2028</v>
      </c>
      <c r="Q53" s="15">
        <f>$B$5 + 14</f>
        <v>2029</v>
      </c>
      <c r="R53" s="15">
        <f>$B$5 + 15</f>
        <v>2030</v>
      </c>
      <c r="S53" s="15">
        <f>$B$5 + 16</f>
        <v>2031</v>
      </c>
      <c r="T53" s="15">
        <f>$B$5 + 17</f>
        <v>2032</v>
      </c>
      <c r="U53" s="15">
        <f>$B$5 + 18</f>
        <v>2033</v>
      </c>
      <c r="V53" s="15">
        <f>$B$5 + 19</f>
        <v>2034</v>
      </c>
      <c r="W53" s="15">
        <f>$B$5 + 20</f>
        <v>2035</v>
      </c>
      <c r="X53" s="15">
        <f>$B$5 + 21</f>
        <v>2036</v>
      </c>
      <c r="Y53" s="15">
        <f>$B$5 + 22</f>
        <v>2037</v>
      </c>
      <c r="Z53" s="15">
        <f>$B$5 + 23</f>
        <v>2038</v>
      </c>
      <c r="AA53" s="15">
        <f>$B$5 + 24</f>
        <v>2039</v>
      </c>
      <c r="AB53" s="15">
        <f>$B$5 + 25</f>
        <v>2040</v>
      </c>
      <c r="AC53" s="15">
        <f>$B$5 + 26</f>
        <v>2041</v>
      </c>
      <c r="AD53" s="15">
        <f>$B$5 + 27</f>
        <v>2042</v>
      </c>
      <c r="AE53" s="15">
        <f>$B$5 + 28</f>
        <v>2043</v>
      </c>
      <c r="AF53" s="15">
        <f>$B$5 + 29</f>
        <v>2044</v>
      </c>
      <c r="AG53" s="15">
        <f>$B$5 + 30</f>
        <v>2045</v>
      </c>
      <c r="AH53" s="15">
        <f>$B$5 + 31</f>
        <v>2046</v>
      </c>
      <c r="AI53" s="15">
        <f>$B$5 + 32</f>
        <v>2047</v>
      </c>
      <c r="AJ53" s="15">
        <f>$B$5 + 33</f>
        <v>2048</v>
      </c>
      <c r="AK53" s="15">
        <f>$B$5 + 34</f>
        <v>2049</v>
      </c>
      <c r="AL53" s="50"/>
      <c r="AM53" s="50"/>
      <c r="AN53" s="50"/>
      <c r="AO53" s="50"/>
      <c r="AP53" s="50"/>
      <c r="AQ53" s="50"/>
      <c r="AR53" s="50"/>
      <c r="AS53" s="50"/>
      <c r="AT53" s="50"/>
      <c r="AU53" s="50"/>
      <c r="AV53" s="50"/>
      <c r="AW53" s="50"/>
      <c r="AX53" s="50"/>
      <c r="AY53" s="50"/>
    </row>
    <row r="54" spans="1:51" s="37" customFormat="1">
      <c r="A54" s="104" t="s">
        <v>236</v>
      </c>
      <c r="C54" s="96">
        <v>1</v>
      </c>
      <c r="D54" s="96">
        <v>2</v>
      </c>
      <c r="E54" s="96">
        <v>3</v>
      </c>
      <c r="F54" s="96">
        <v>4</v>
      </c>
      <c r="G54" s="96">
        <v>5</v>
      </c>
      <c r="H54" s="96">
        <v>6</v>
      </c>
      <c r="I54" s="96">
        <v>7</v>
      </c>
      <c r="J54" s="96">
        <v>8</v>
      </c>
      <c r="K54" s="96">
        <v>9</v>
      </c>
      <c r="L54" s="96">
        <v>10</v>
      </c>
      <c r="M54" s="96">
        <v>11</v>
      </c>
      <c r="N54" s="96">
        <v>12</v>
      </c>
      <c r="O54" s="96">
        <v>13</v>
      </c>
      <c r="P54" s="96">
        <v>14</v>
      </c>
      <c r="Q54" s="96">
        <v>15</v>
      </c>
      <c r="R54" s="96">
        <v>16</v>
      </c>
      <c r="S54" s="96">
        <v>17</v>
      </c>
      <c r="T54" s="96">
        <v>18</v>
      </c>
      <c r="U54" s="96">
        <v>19</v>
      </c>
      <c r="V54" s="96">
        <v>20</v>
      </c>
      <c r="W54" s="96">
        <v>21</v>
      </c>
      <c r="X54" s="96">
        <v>22</v>
      </c>
      <c r="Y54" s="96">
        <v>23</v>
      </c>
      <c r="Z54" s="96">
        <v>24</v>
      </c>
      <c r="AA54" s="96">
        <v>25</v>
      </c>
      <c r="AB54" s="96">
        <v>26</v>
      </c>
      <c r="AC54" s="96">
        <v>27</v>
      </c>
      <c r="AD54" s="96">
        <v>28</v>
      </c>
      <c r="AE54" s="96">
        <v>29</v>
      </c>
      <c r="AF54" s="96">
        <v>30</v>
      </c>
      <c r="AG54" s="96">
        <v>31</v>
      </c>
      <c r="AH54" s="96">
        <v>32</v>
      </c>
      <c r="AI54" s="96">
        <v>33</v>
      </c>
      <c r="AJ54" s="96">
        <v>34</v>
      </c>
      <c r="AK54" s="96">
        <v>35</v>
      </c>
    </row>
    <row r="55" spans="1:51" s="37" customFormat="1">
      <c r="A55" s="37" t="s">
        <v>207</v>
      </c>
      <c r="C55" s="37">
        <f>$B$37</f>
        <v>473993</v>
      </c>
      <c r="D55" s="37">
        <f>C61</f>
        <v>473993</v>
      </c>
      <c r="E55" s="37">
        <f t="shared" ref="E55:AK55" si="12">D61</f>
        <v>473993</v>
      </c>
      <c r="F55" s="37">
        <f t="shared" si="12"/>
        <v>473993</v>
      </c>
      <c r="G55" s="37">
        <f t="shared" si="12"/>
        <v>473993</v>
      </c>
      <c r="H55" s="37">
        <f t="shared" si="12"/>
        <v>473993</v>
      </c>
      <c r="I55" s="37">
        <f t="shared" si="12"/>
        <v>473993</v>
      </c>
      <c r="J55" s="37">
        <f t="shared" si="12"/>
        <v>473993</v>
      </c>
      <c r="K55" s="37">
        <f t="shared" si="12"/>
        <v>473993</v>
      </c>
      <c r="L55" s="37">
        <f t="shared" si="12"/>
        <v>473993</v>
      </c>
      <c r="M55" s="37">
        <f t="shared" si="12"/>
        <v>473993</v>
      </c>
      <c r="N55" s="37">
        <f t="shared" si="12"/>
        <v>473993</v>
      </c>
      <c r="O55" s="37">
        <f t="shared" si="12"/>
        <v>473993</v>
      </c>
      <c r="P55" s="37">
        <f t="shared" si="12"/>
        <v>473993</v>
      </c>
      <c r="Q55" s="37">
        <f t="shared" si="12"/>
        <v>473993</v>
      </c>
      <c r="R55" s="37">
        <f t="shared" si="12"/>
        <v>473993</v>
      </c>
      <c r="S55" s="37">
        <f t="shared" si="12"/>
        <v>437675.94005534222</v>
      </c>
      <c r="T55" s="37">
        <f t="shared" si="12"/>
        <v>399256.12233988877</v>
      </c>
      <c r="U55" s="37">
        <f t="shared" si="12"/>
        <v>358611.79717871058</v>
      </c>
      <c r="V55" s="37">
        <f t="shared" si="12"/>
        <v>315614.16559070017</v>
      </c>
      <c r="W55" s="37">
        <f t="shared" si="12"/>
        <v>270126.97113374394</v>
      </c>
      <c r="X55" s="37">
        <f t="shared" si="12"/>
        <v>222006.06811772997</v>
      </c>
      <c r="Y55" s="37">
        <f t="shared" si="12"/>
        <v>171098.96481708877</v>
      </c>
      <c r="Z55" s="37">
        <f t="shared" si="12"/>
        <v>117244.34023534044</v>
      </c>
      <c r="AA55" s="37">
        <f t="shared" si="12"/>
        <v>60271.532890308888</v>
      </c>
      <c r="AB55" s="37">
        <f t="shared" si="12"/>
        <v>0</v>
      </c>
      <c r="AC55" s="37">
        <f t="shared" si="12"/>
        <v>0</v>
      </c>
      <c r="AD55" s="37">
        <f t="shared" si="12"/>
        <v>0</v>
      </c>
      <c r="AE55" s="37">
        <f t="shared" si="12"/>
        <v>0</v>
      </c>
      <c r="AF55" s="37">
        <f t="shared" si="12"/>
        <v>0</v>
      </c>
      <c r="AG55" s="37">
        <f t="shared" si="12"/>
        <v>0</v>
      </c>
      <c r="AH55" s="37">
        <f t="shared" si="12"/>
        <v>0</v>
      </c>
      <c r="AI55" s="37">
        <f t="shared" si="12"/>
        <v>0</v>
      </c>
      <c r="AJ55" s="37">
        <f t="shared" si="12"/>
        <v>0</v>
      </c>
      <c r="AK55" s="37">
        <f t="shared" si="12"/>
        <v>0</v>
      </c>
    </row>
    <row r="56" spans="1:51" s="69" customFormat="1">
      <c r="A56" s="69" t="s">
        <v>2555</v>
      </c>
      <c r="C56" s="69" t="str">
        <f>IF(C53&lt;$B$6,"IO","P&amp;I")</f>
        <v>IO</v>
      </c>
      <c r="D56" s="69" t="str">
        <f t="shared" ref="D56:AK56" si="13">IF(D53&lt;$B$6,"IO","P&amp;I")</f>
        <v>IO</v>
      </c>
      <c r="E56" s="69" t="str">
        <f t="shared" si="13"/>
        <v>IO</v>
      </c>
      <c r="F56" s="69" t="str">
        <f t="shared" si="13"/>
        <v>IO</v>
      </c>
      <c r="G56" s="69" t="str">
        <f t="shared" si="13"/>
        <v>IO</v>
      </c>
      <c r="H56" s="69" t="str">
        <f t="shared" si="13"/>
        <v>IO</v>
      </c>
      <c r="I56" s="69" t="str">
        <f t="shared" si="13"/>
        <v>IO</v>
      </c>
      <c r="J56" s="69" t="str">
        <f t="shared" si="13"/>
        <v>IO</v>
      </c>
      <c r="K56" s="69" t="str">
        <f t="shared" si="13"/>
        <v>IO</v>
      </c>
      <c r="L56" s="69" t="str">
        <f t="shared" si="13"/>
        <v>IO</v>
      </c>
      <c r="M56" s="69" t="str">
        <f t="shared" si="13"/>
        <v>IO</v>
      </c>
      <c r="N56" s="69" t="str">
        <f t="shared" si="13"/>
        <v>IO</v>
      </c>
      <c r="O56" s="69" t="str">
        <f t="shared" si="13"/>
        <v>IO</v>
      </c>
      <c r="P56" s="69" t="str">
        <f t="shared" si="13"/>
        <v>IO</v>
      </c>
      <c r="Q56" s="69" t="str">
        <f t="shared" si="13"/>
        <v>IO</v>
      </c>
      <c r="R56" s="69" t="str">
        <f t="shared" si="13"/>
        <v>P&amp;I</v>
      </c>
      <c r="S56" s="69" t="str">
        <f t="shared" si="13"/>
        <v>P&amp;I</v>
      </c>
      <c r="T56" s="69" t="str">
        <f t="shared" si="13"/>
        <v>P&amp;I</v>
      </c>
      <c r="U56" s="69" t="str">
        <f t="shared" si="13"/>
        <v>P&amp;I</v>
      </c>
      <c r="V56" s="69" t="str">
        <f t="shared" si="13"/>
        <v>P&amp;I</v>
      </c>
      <c r="W56" s="69" t="str">
        <f t="shared" si="13"/>
        <v>P&amp;I</v>
      </c>
      <c r="X56" s="69" t="str">
        <f t="shared" si="13"/>
        <v>P&amp;I</v>
      </c>
      <c r="Y56" s="69" t="str">
        <f t="shared" si="13"/>
        <v>P&amp;I</v>
      </c>
      <c r="Z56" s="69" t="str">
        <f t="shared" si="13"/>
        <v>P&amp;I</v>
      </c>
      <c r="AA56" s="69" t="str">
        <f t="shared" si="13"/>
        <v>P&amp;I</v>
      </c>
      <c r="AB56" s="69" t="str">
        <f t="shared" si="13"/>
        <v>P&amp;I</v>
      </c>
      <c r="AC56" s="69" t="str">
        <f t="shared" si="13"/>
        <v>P&amp;I</v>
      </c>
      <c r="AD56" s="69" t="str">
        <f t="shared" si="13"/>
        <v>P&amp;I</v>
      </c>
      <c r="AE56" s="69" t="str">
        <f t="shared" si="13"/>
        <v>P&amp;I</v>
      </c>
      <c r="AF56" s="69" t="str">
        <f t="shared" si="13"/>
        <v>P&amp;I</v>
      </c>
      <c r="AG56" s="69" t="str">
        <f t="shared" si="13"/>
        <v>P&amp;I</v>
      </c>
      <c r="AH56" s="69" t="str">
        <f t="shared" si="13"/>
        <v>P&amp;I</v>
      </c>
      <c r="AI56" s="69" t="str">
        <f t="shared" si="13"/>
        <v>P&amp;I</v>
      </c>
      <c r="AJ56" s="69" t="str">
        <f t="shared" si="13"/>
        <v>P&amp;I</v>
      </c>
      <c r="AK56" s="69" t="str">
        <f t="shared" si="13"/>
        <v>P&amp;I</v>
      </c>
    </row>
    <row r="57" spans="1:51" s="70" customFormat="1">
      <c r="A57" s="70" t="s">
        <v>2556</v>
      </c>
      <c r="C57" s="70">
        <f>MAX(0,$B$41-(C53-$B$39))</f>
        <v>25</v>
      </c>
      <c r="D57" s="70">
        <f t="shared" ref="D57:AK57" si="14">MAX(0,$B$41-(D53-$B$39))</f>
        <v>24</v>
      </c>
      <c r="E57" s="70">
        <f t="shared" si="14"/>
        <v>23</v>
      </c>
      <c r="F57" s="70">
        <f t="shared" si="14"/>
        <v>22</v>
      </c>
      <c r="G57" s="70">
        <f>MAX(0,$B$41-(G53-$B$39))</f>
        <v>21</v>
      </c>
      <c r="H57" s="70">
        <f t="shared" si="14"/>
        <v>20</v>
      </c>
      <c r="I57" s="70">
        <f t="shared" si="14"/>
        <v>19</v>
      </c>
      <c r="J57" s="70">
        <f t="shared" si="14"/>
        <v>18</v>
      </c>
      <c r="K57" s="70">
        <f t="shared" si="14"/>
        <v>17</v>
      </c>
      <c r="L57" s="70">
        <f t="shared" si="14"/>
        <v>16</v>
      </c>
      <c r="M57" s="70">
        <f t="shared" si="14"/>
        <v>15</v>
      </c>
      <c r="N57" s="70">
        <f t="shared" si="14"/>
        <v>14</v>
      </c>
      <c r="O57" s="70">
        <f t="shared" si="14"/>
        <v>13</v>
      </c>
      <c r="P57" s="70">
        <f t="shared" si="14"/>
        <v>12</v>
      </c>
      <c r="Q57" s="70">
        <f t="shared" si="14"/>
        <v>11</v>
      </c>
      <c r="R57" s="70">
        <f t="shared" si="14"/>
        <v>10</v>
      </c>
      <c r="S57" s="70">
        <f t="shared" si="14"/>
        <v>9</v>
      </c>
      <c r="T57" s="70">
        <f t="shared" si="14"/>
        <v>8</v>
      </c>
      <c r="U57" s="70">
        <f t="shared" si="14"/>
        <v>7</v>
      </c>
      <c r="V57" s="70">
        <f t="shared" si="14"/>
        <v>6</v>
      </c>
      <c r="W57" s="70">
        <f t="shared" si="14"/>
        <v>5</v>
      </c>
      <c r="X57" s="70">
        <f t="shared" si="14"/>
        <v>4</v>
      </c>
      <c r="Y57" s="70">
        <f t="shared" si="14"/>
        <v>3</v>
      </c>
      <c r="Z57" s="70">
        <f t="shared" si="14"/>
        <v>2</v>
      </c>
      <c r="AA57" s="70">
        <f t="shared" si="14"/>
        <v>1</v>
      </c>
      <c r="AB57" s="70">
        <f t="shared" si="14"/>
        <v>0</v>
      </c>
      <c r="AC57" s="70">
        <f t="shared" si="14"/>
        <v>0</v>
      </c>
      <c r="AD57" s="70">
        <f t="shared" si="14"/>
        <v>0</v>
      </c>
      <c r="AE57" s="70">
        <f t="shared" si="14"/>
        <v>0</v>
      </c>
      <c r="AF57" s="70">
        <f t="shared" si="14"/>
        <v>0</v>
      </c>
      <c r="AG57" s="70">
        <f t="shared" si="14"/>
        <v>0</v>
      </c>
      <c r="AH57" s="70">
        <f t="shared" si="14"/>
        <v>0</v>
      </c>
      <c r="AI57" s="70">
        <f t="shared" si="14"/>
        <v>0</v>
      </c>
      <c r="AJ57" s="70">
        <f t="shared" si="14"/>
        <v>0</v>
      </c>
      <c r="AK57" s="70">
        <f t="shared" si="14"/>
        <v>0</v>
      </c>
    </row>
    <row r="58" spans="1:51" s="37" customFormat="1">
      <c r="A58" s="37" t="s">
        <v>2557</v>
      </c>
      <c r="C58" s="37">
        <f>C55*$B$38</f>
        <v>27444.1947</v>
      </c>
      <c r="D58" s="37">
        <f t="shared" ref="D58:AK58" si="15">D55*$B$38</f>
        <v>27444.1947</v>
      </c>
      <c r="E58" s="37">
        <f t="shared" si="15"/>
        <v>27444.1947</v>
      </c>
      <c r="F58" s="37">
        <f t="shared" si="15"/>
        <v>27444.1947</v>
      </c>
      <c r="G58" s="37">
        <f t="shared" si="15"/>
        <v>27444.1947</v>
      </c>
      <c r="H58" s="37">
        <f>H55*$B$38</f>
        <v>27444.1947</v>
      </c>
      <c r="I58" s="37">
        <f t="shared" si="15"/>
        <v>27444.1947</v>
      </c>
      <c r="J58" s="37">
        <f t="shared" si="15"/>
        <v>27444.1947</v>
      </c>
      <c r="K58" s="37">
        <f t="shared" si="15"/>
        <v>27444.1947</v>
      </c>
      <c r="L58" s="37">
        <f t="shared" si="15"/>
        <v>27444.1947</v>
      </c>
      <c r="M58" s="37">
        <f t="shared" si="15"/>
        <v>27444.1947</v>
      </c>
      <c r="N58" s="37">
        <f t="shared" si="15"/>
        <v>27444.1947</v>
      </c>
      <c r="O58" s="37">
        <f t="shared" si="15"/>
        <v>27444.1947</v>
      </c>
      <c r="P58" s="37">
        <f t="shared" si="15"/>
        <v>27444.1947</v>
      </c>
      <c r="Q58" s="37">
        <f t="shared" si="15"/>
        <v>27444.1947</v>
      </c>
      <c r="R58" s="37">
        <f t="shared" si="15"/>
        <v>27444.1947</v>
      </c>
      <c r="S58" s="37">
        <f t="shared" si="15"/>
        <v>25341.436929204316</v>
      </c>
      <c r="T58" s="37">
        <f t="shared" si="15"/>
        <v>23116.929483479558</v>
      </c>
      <c r="U58" s="37">
        <f t="shared" si="15"/>
        <v>20763.623056647342</v>
      </c>
      <c r="V58" s="37">
        <f t="shared" si="15"/>
        <v>18274.06018770154</v>
      </c>
      <c r="W58" s="37">
        <f t="shared" si="15"/>
        <v>15640.351628643773</v>
      </c>
      <c r="X58" s="37">
        <f t="shared" si="15"/>
        <v>12854.151344016565</v>
      </c>
      <c r="Y58" s="37">
        <f t="shared" si="15"/>
        <v>9906.6300629094403</v>
      </c>
      <c r="Z58" s="37">
        <f t="shared" si="15"/>
        <v>6788.4472996262111</v>
      </c>
      <c r="AA58" s="37">
        <f t="shared" si="15"/>
        <v>3489.7217543488846</v>
      </c>
      <c r="AB58" s="37">
        <f>AB55*$B$38</f>
        <v>0</v>
      </c>
      <c r="AC58" s="37">
        <f t="shared" si="15"/>
        <v>0</v>
      </c>
      <c r="AD58" s="37">
        <f t="shared" si="15"/>
        <v>0</v>
      </c>
      <c r="AE58" s="37">
        <f t="shared" si="15"/>
        <v>0</v>
      </c>
      <c r="AF58" s="37">
        <f t="shared" si="15"/>
        <v>0</v>
      </c>
      <c r="AG58" s="37">
        <f t="shared" si="15"/>
        <v>0</v>
      </c>
      <c r="AH58" s="37">
        <f t="shared" si="15"/>
        <v>0</v>
      </c>
      <c r="AI58" s="37">
        <f t="shared" si="15"/>
        <v>0</v>
      </c>
      <c r="AJ58" s="37">
        <f t="shared" si="15"/>
        <v>0</v>
      </c>
      <c r="AK58" s="37">
        <f t="shared" si="15"/>
        <v>0</v>
      </c>
    </row>
    <row r="59" spans="1:51" s="37" customFormat="1">
      <c r="A59" s="37" t="s">
        <v>2558</v>
      </c>
      <c r="C59" s="37">
        <f>IF(C57=0,0,IF(C56="IO",C58,PMT($B$4,C57,-C55)))</f>
        <v>27444.1947</v>
      </c>
      <c r="D59" s="37">
        <f t="shared" ref="D59:AK59" si="16">IF(D57=0,0,IF(D56="IO",D58,PMT($B$4,D57,-D55)))</f>
        <v>27444.1947</v>
      </c>
      <c r="E59" s="37">
        <f t="shared" si="16"/>
        <v>27444.1947</v>
      </c>
      <c r="F59" s="37">
        <f t="shared" si="16"/>
        <v>27444.1947</v>
      </c>
      <c r="G59" s="37">
        <f t="shared" si="16"/>
        <v>27444.1947</v>
      </c>
      <c r="H59" s="37">
        <f t="shared" si="16"/>
        <v>27444.1947</v>
      </c>
      <c r="I59" s="37">
        <f t="shared" si="16"/>
        <v>27444.1947</v>
      </c>
      <c r="J59" s="37">
        <f t="shared" si="16"/>
        <v>27444.1947</v>
      </c>
      <c r="K59" s="37">
        <f t="shared" si="16"/>
        <v>27444.1947</v>
      </c>
      <c r="L59" s="37">
        <f t="shared" si="16"/>
        <v>27444.1947</v>
      </c>
      <c r="M59" s="37">
        <f t="shared" si="16"/>
        <v>27444.1947</v>
      </c>
      <c r="N59" s="37">
        <f t="shared" si="16"/>
        <v>27444.1947</v>
      </c>
      <c r="O59" s="37">
        <f t="shared" si="16"/>
        <v>27444.1947</v>
      </c>
      <c r="P59" s="37">
        <f t="shared" si="16"/>
        <v>27444.1947</v>
      </c>
      <c r="Q59" s="37">
        <f t="shared" si="16"/>
        <v>27444.1947</v>
      </c>
      <c r="R59" s="37">
        <f t="shared" si="16"/>
        <v>63761.254644657762</v>
      </c>
      <c r="S59" s="37">
        <f t="shared" si="16"/>
        <v>63761.254644657762</v>
      </c>
      <c r="T59" s="37">
        <f t="shared" si="16"/>
        <v>63761.254644657762</v>
      </c>
      <c r="U59" s="37">
        <f t="shared" si="16"/>
        <v>63761.254644657762</v>
      </c>
      <c r="V59" s="37">
        <f t="shared" si="16"/>
        <v>63761.254644657762</v>
      </c>
      <c r="W59" s="37">
        <f t="shared" si="16"/>
        <v>63761.254644657747</v>
      </c>
      <c r="X59" s="37">
        <f t="shared" si="16"/>
        <v>63761.254644657776</v>
      </c>
      <c r="Y59" s="37">
        <f t="shared" si="16"/>
        <v>63761.254644657762</v>
      </c>
      <c r="Z59" s="37">
        <f t="shared" si="16"/>
        <v>63761.254644657762</v>
      </c>
      <c r="AA59" s="37">
        <f t="shared" si="16"/>
        <v>63761.254644657776</v>
      </c>
      <c r="AB59" s="37">
        <f t="shared" si="16"/>
        <v>0</v>
      </c>
      <c r="AC59" s="37">
        <f t="shared" si="16"/>
        <v>0</v>
      </c>
      <c r="AD59" s="37">
        <f t="shared" si="16"/>
        <v>0</v>
      </c>
      <c r="AE59" s="37">
        <f t="shared" si="16"/>
        <v>0</v>
      </c>
      <c r="AF59" s="37">
        <f t="shared" si="16"/>
        <v>0</v>
      </c>
      <c r="AG59" s="37">
        <f t="shared" si="16"/>
        <v>0</v>
      </c>
      <c r="AH59" s="37">
        <f t="shared" si="16"/>
        <v>0</v>
      </c>
      <c r="AI59" s="37">
        <f t="shared" si="16"/>
        <v>0</v>
      </c>
      <c r="AJ59" s="37">
        <f t="shared" si="16"/>
        <v>0</v>
      </c>
      <c r="AK59" s="37">
        <f t="shared" si="16"/>
        <v>0</v>
      </c>
    </row>
    <row r="60" spans="1:51" s="37" customFormat="1">
      <c r="A60" s="37" t="s">
        <v>2559</v>
      </c>
      <c r="C60" s="37">
        <f>MAX(0,C59-C58)</f>
        <v>0</v>
      </c>
      <c r="D60" s="37">
        <f t="shared" ref="D60:AK60" si="17">MAX(0,D59-D58)</f>
        <v>0</v>
      </c>
      <c r="E60" s="37">
        <f t="shared" si="17"/>
        <v>0</v>
      </c>
      <c r="F60" s="37">
        <f t="shared" si="17"/>
        <v>0</v>
      </c>
      <c r="G60" s="37">
        <f t="shared" si="17"/>
        <v>0</v>
      </c>
      <c r="H60" s="37">
        <f t="shared" si="17"/>
        <v>0</v>
      </c>
      <c r="I60" s="37">
        <f t="shared" si="17"/>
        <v>0</v>
      </c>
      <c r="J60" s="37">
        <f t="shared" si="17"/>
        <v>0</v>
      </c>
      <c r="K60" s="37">
        <f t="shared" si="17"/>
        <v>0</v>
      </c>
      <c r="L60" s="37">
        <f t="shared" si="17"/>
        <v>0</v>
      </c>
      <c r="M60" s="37">
        <f t="shared" si="17"/>
        <v>0</v>
      </c>
      <c r="N60" s="37">
        <f t="shared" si="17"/>
        <v>0</v>
      </c>
      <c r="O60" s="37">
        <f t="shared" si="17"/>
        <v>0</v>
      </c>
      <c r="P60" s="37">
        <f t="shared" si="17"/>
        <v>0</v>
      </c>
      <c r="Q60" s="37">
        <f t="shared" si="17"/>
        <v>0</v>
      </c>
      <c r="R60" s="37">
        <f t="shared" si="17"/>
        <v>36317.059944657762</v>
      </c>
      <c r="S60" s="37">
        <f t="shared" si="17"/>
        <v>38419.81771545345</v>
      </c>
      <c r="T60" s="37">
        <f t="shared" si="17"/>
        <v>40644.325161178203</v>
      </c>
      <c r="U60" s="37">
        <f t="shared" si="17"/>
        <v>42997.631588010423</v>
      </c>
      <c r="V60" s="37">
        <f t="shared" si="17"/>
        <v>45487.194456956218</v>
      </c>
      <c r="W60" s="37">
        <f t="shared" si="17"/>
        <v>48120.903016013974</v>
      </c>
      <c r="X60" s="37">
        <f t="shared" si="17"/>
        <v>50907.103300641211</v>
      </c>
      <c r="Y60" s="37">
        <f t="shared" si="17"/>
        <v>53854.624581748321</v>
      </c>
      <c r="Z60" s="37">
        <f t="shared" si="17"/>
        <v>56972.80734503155</v>
      </c>
      <c r="AA60" s="37">
        <f t="shared" si="17"/>
        <v>60271.532890308888</v>
      </c>
      <c r="AB60" s="37">
        <f t="shared" si="17"/>
        <v>0</v>
      </c>
      <c r="AC60" s="37">
        <f t="shared" si="17"/>
        <v>0</v>
      </c>
      <c r="AD60" s="37">
        <f t="shared" si="17"/>
        <v>0</v>
      </c>
      <c r="AE60" s="37">
        <f t="shared" si="17"/>
        <v>0</v>
      </c>
      <c r="AF60" s="37">
        <f t="shared" si="17"/>
        <v>0</v>
      </c>
      <c r="AG60" s="37">
        <f t="shared" si="17"/>
        <v>0</v>
      </c>
      <c r="AH60" s="37">
        <f t="shared" si="17"/>
        <v>0</v>
      </c>
      <c r="AI60" s="37">
        <f t="shared" si="17"/>
        <v>0</v>
      </c>
      <c r="AJ60" s="37">
        <f t="shared" si="17"/>
        <v>0</v>
      </c>
      <c r="AK60" s="37">
        <f t="shared" si="17"/>
        <v>0</v>
      </c>
    </row>
    <row r="61" spans="1:51" s="37" customFormat="1">
      <c r="A61" s="37" t="s">
        <v>2560</v>
      </c>
      <c r="C61" s="37">
        <f>MAX(0,C55-C60)</f>
        <v>473993</v>
      </c>
      <c r="D61" s="37">
        <f t="shared" ref="D61:AK61" si="18">MAX(0,D55-D60)</f>
        <v>473993</v>
      </c>
      <c r="E61" s="37">
        <f t="shared" si="18"/>
        <v>473993</v>
      </c>
      <c r="F61" s="37">
        <f t="shared" si="18"/>
        <v>473993</v>
      </c>
      <c r="G61" s="37">
        <f t="shared" si="18"/>
        <v>473993</v>
      </c>
      <c r="H61" s="37">
        <f t="shared" si="18"/>
        <v>473993</v>
      </c>
      <c r="I61" s="37">
        <f t="shared" si="18"/>
        <v>473993</v>
      </c>
      <c r="J61" s="37">
        <f t="shared" si="18"/>
        <v>473993</v>
      </c>
      <c r="K61" s="37">
        <f t="shared" si="18"/>
        <v>473993</v>
      </c>
      <c r="L61" s="37">
        <f t="shared" si="18"/>
        <v>473993</v>
      </c>
      <c r="M61" s="37">
        <f t="shared" si="18"/>
        <v>473993</v>
      </c>
      <c r="N61" s="37">
        <f t="shared" si="18"/>
        <v>473993</v>
      </c>
      <c r="O61" s="37">
        <f t="shared" si="18"/>
        <v>473993</v>
      </c>
      <c r="P61" s="37">
        <f t="shared" si="18"/>
        <v>473993</v>
      </c>
      <c r="Q61" s="37">
        <f t="shared" si="18"/>
        <v>473993</v>
      </c>
      <c r="R61" s="37">
        <f t="shared" si="18"/>
        <v>437675.94005534222</v>
      </c>
      <c r="S61" s="37">
        <f t="shared" si="18"/>
        <v>399256.12233988877</v>
      </c>
      <c r="T61" s="37">
        <f t="shared" si="18"/>
        <v>358611.79717871058</v>
      </c>
      <c r="U61" s="37">
        <f t="shared" si="18"/>
        <v>315614.16559070017</v>
      </c>
      <c r="V61" s="37">
        <f t="shared" si="18"/>
        <v>270126.97113374394</v>
      </c>
      <c r="W61" s="37">
        <f t="shared" si="18"/>
        <v>222006.06811772997</v>
      </c>
      <c r="X61" s="37">
        <f t="shared" si="18"/>
        <v>171098.96481708877</v>
      </c>
      <c r="Y61" s="37">
        <f t="shared" si="18"/>
        <v>117244.34023534044</v>
      </c>
      <c r="Z61" s="37">
        <f t="shared" si="18"/>
        <v>60271.532890308888</v>
      </c>
      <c r="AA61" s="37">
        <f t="shared" si="18"/>
        <v>0</v>
      </c>
      <c r="AB61" s="37">
        <f t="shared" si="18"/>
        <v>0</v>
      </c>
      <c r="AC61" s="37">
        <f t="shared" si="18"/>
        <v>0</v>
      </c>
      <c r="AD61" s="37">
        <f t="shared" si="18"/>
        <v>0</v>
      </c>
      <c r="AE61" s="37">
        <f t="shared" si="18"/>
        <v>0</v>
      </c>
      <c r="AF61" s="37">
        <f t="shared" si="18"/>
        <v>0</v>
      </c>
      <c r="AG61" s="37">
        <f t="shared" si="18"/>
        <v>0</v>
      </c>
      <c r="AH61" s="37">
        <f t="shared" si="18"/>
        <v>0</v>
      </c>
      <c r="AI61" s="37">
        <f t="shared" si="18"/>
        <v>0</v>
      </c>
      <c r="AJ61" s="37">
        <f t="shared" si="18"/>
        <v>0</v>
      </c>
      <c r="AK61" s="37">
        <f t="shared" si="18"/>
        <v>0</v>
      </c>
    </row>
    <row r="63" spans="1:51">
      <c r="A63" s="22" t="s">
        <v>2561</v>
      </c>
      <c r="C63" s="22">
        <f>IF(
  AND(C$21 &gt;= $B$15, C$21 &lt; $B$15 + 5),
  -$B$10 / 5,
  0
)</f>
        <v>0</v>
      </c>
      <c r="D63" s="22">
        <f t="shared" ref="D63:AK63" si="19">IF(
  AND(D$21 &gt;= $B$15, D$21 &lt; $B$15 + 5),
  -$B$10 / 5,
  0
)</f>
        <v>0</v>
      </c>
      <c r="E63" s="22">
        <f t="shared" si="19"/>
        <v>0</v>
      </c>
      <c r="F63" s="22">
        <f t="shared" si="19"/>
        <v>0</v>
      </c>
      <c r="G63" s="22">
        <f t="shared" si="19"/>
        <v>0</v>
      </c>
      <c r="H63" s="22">
        <f t="shared" si="19"/>
        <v>-381.9</v>
      </c>
      <c r="I63" s="22">
        <f t="shared" si="19"/>
        <v>-381.9</v>
      </c>
      <c r="J63" s="22">
        <f t="shared" si="19"/>
        <v>-381.9</v>
      </c>
      <c r="K63" s="22">
        <f t="shared" si="19"/>
        <v>-381.9</v>
      </c>
      <c r="L63" s="22">
        <f t="shared" si="19"/>
        <v>-381.9</v>
      </c>
      <c r="M63" s="22">
        <f t="shared" si="19"/>
        <v>0</v>
      </c>
      <c r="N63" s="22">
        <f t="shared" si="19"/>
        <v>0</v>
      </c>
      <c r="O63" s="22">
        <f t="shared" si="19"/>
        <v>0</v>
      </c>
      <c r="P63" s="22">
        <f t="shared" si="19"/>
        <v>0</v>
      </c>
      <c r="Q63" s="22">
        <f t="shared" si="19"/>
        <v>0</v>
      </c>
      <c r="R63" s="22">
        <f t="shared" si="19"/>
        <v>0</v>
      </c>
      <c r="S63" s="22">
        <f t="shared" si="19"/>
        <v>0</v>
      </c>
      <c r="T63" s="22">
        <f t="shared" si="19"/>
        <v>0</v>
      </c>
      <c r="U63" s="22">
        <f t="shared" si="19"/>
        <v>0</v>
      </c>
      <c r="V63" s="22">
        <f t="shared" si="19"/>
        <v>0</v>
      </c>
      <c r="W63" s="22">
        <f t="shared" si="19"/>
        <v>0</v>
      </c>
      <c r="X63" s="22">
        <f t="shared" si="19"/>
        <v>0</v>
      </c>
      <c r="Y63" s="22">
        <f t="shared" si="19"/>
        <v>0</v>
      </c>
      <c r="Z63" s="22">
        <f t="shared" si="19"/>
        <v>0</v>
      </c>
      <c r="AA63" s="22">
        <f t="shared" si="19"/>
        <v>0</v>
      </c>
      <c r="AB63" s="22">
        <f t="shared" si="19"/>
        <v>0</v>
      </c>
      <c r="AC63" s="22">
        <f t="shared" si="19"/>
        <v>0</v>
      </c>
      <c r="AD63" s="22">
        <f t="shared" si="19"/>
        <v>0</v>
      </c>
      <c r="AE63" s="22">
        <f t="shared" si="19"/>
        <v>0</v>
      </c>
      <c r="AF63" s="22">
        <f t="shared" si="19"/>
        <v>0</v>
      </c>
      <c r="AG63" s="22">
        <f t="shared" si="19"/>
        <v>0</v>
      </c>
      <c r="AH63" s="22">
        <f t="shared" si="19"/>
        <v>0</v>
      </c>
      <c r="AI63" s="22">
        <f t="shared" si="19"/>
        <v>0</v>
      </c>
      <c r="AJ63" s="22">
        <f t="shared" si="19"/>
        <v>0</v>
      </c>
      <c r="AK63" s="22">
        <f t="shared" si="19"/>
        <v>0</v>
      </c>
    </row>
    <row r="65" spans="1:37" ht="9.25" customHeight="1">
      <c r="A65" s="105"/>
      <c r="B65" s="106"/>
      <c r="C65" s="106"/>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row>
    <row r="68" spans="1:37">
      <c r="A68" s="87" t="s">
        <v>238</v>
      </c>
    </row>
    <row r="69" spans="1:37">
      <c r="A69" s="22" t="s">
        <v>2539</v>
      </c>
      <c r="B69" s="22">
        <v>650000</v>
      </c>
    </row>
    <row r="70" spans="1:37">
      <c r="A70" s="22" t="s">
        <v>2540</v>
      </c>
      <c r="B70" s="22">
        <v>5.4399999999999997E-2</v>
      </c>
    </row>
    <row r="71" spans="1:37">
      <c r="A71" s="22" t="s">
        <v>2541</v>
      </c>
      <c r="B71" s="22">
        <v>2019</v>
      </c>
    </row>
    <row r="72" spans="1:37">
      <c r="A72" s="22" t="s">
        <v>226</v>
      </c>
      <c r="B72" s="22">
        <v>2018</v>
      </c>
    </row>
    <row r="73" spans="1:37">
      <c r="A73" s="22" t="s">
        <v>2542</v>
      </c>
      <c r="B73" s="22">
        <v>25</v>
      </c>
    </row>
    <row r="75" spans="1:37">
      <c r="A75" s="87" t="s">
        <v>2544</v>
      </c>
      <c r="B75" s="97">
        <f>SUM(B76:B79)</f>
        <v>1909.5</v>
      </c>
    </row>
    <row r="76" spans="1:37">
      <c r="A76" s="93" t="s">
        <v>2545</v>
      </c>
      <c r="B76" s="37">
        <v>1200</v>
      </c>
      <c r="C76" s="37"/>
    </row>
    <row r="77" spans="1:37">
      <c r="A77" s="93" t="s">
        <v>2546</v>
      </c>
      <c r="B77" s="37">
        <v>600</v>
      </c>
      <c r="C77" s="37"/>
    </row>
    <row r="78" spans="1:37">
      <c r="A78" s="93" t="s">
        <v>2547</v>
      </c>
      <c r="B78" s="37">
        <v>109.5</v>
      </c>
      <c r="C78" s="37"/>
    </row>
    <row r="79" spans="1:37">
      <c r="A79" s="93" t="s">
        <v>2548</v>
      </c>
      <c r="B79" s="70" t="s">
        <v>2549</v>
      </c>
      <c r="C79" s="70"/>
    </row>
    <row r="80" spans="1:37" ht="20" customHeight="1">
      <c r="A80" s="98" t="s">
        <v>2550</v>
      </c>
      <c r="B80" s="70">
        <f>H85</f>
        <v>2020</v>
      </c>
      <c r="C80" s="70"/>
    </row>
    <row r="81" spans="1:51">
      <c r="A81" s="93" t="s">
        <v>2551</v>
      </c>
      <c r="B81" s="70">
        <f>MIN(5, H89)</f>
        <v>5</v>
      </c>
      <c r="C81" s="70"/>
    </row>
    <row r="83" spans="1:51">
      <c r="A83" s="22" t="s">
        <v>2553</v>
      </c>
      <c r="H83" s="73"/>
      <c r="I83" s="73"/>
      <c r="J83" s="73"/>
      <c r="K83" s="73"/>
      <c r="L83" s="73"/>
    </row>
    <row r="84" spans="1:51">
      <c r="G84" s="108"/>
      <c r="H84" s="108">
        <v>3.6299999999999999E-2</v>
      </c>
    </row>
    <row r="85" spans="1:51" ht="17">
      <c r="A85" s="15" t="s">
        <v>37</v>
      </c>
      <c r="B85" s="15"/>
      <c r="C85" s="15">
        <f>$B$5 + 0</f>
        <v>2015</v>
      </c>
      <c r="D85" s="15">
        <f>$B$5 + 1</f>
        <v>2016</v>
      </c>
      <c r="E85" s="15">
        <f>$B$5 + 2</f>
        <v>2017</v>
      </c>
      <c r="F85" s="15">
        <f>$B$5 + 3</f>
        <v>2018</v>
      </c>
      <c r="G85" s="15">
        <f>$B$5 + 4</f>
        <v>2019</v>
      </c>
      <c r="H85" s="15">
        <f>$B$5 + 5</f>
        <v>2020</v>
      </c>
      <c r="I85" s="15">
        <f>$B$5 + 6</f>
        <v>2021</v>
      </c>
      <c r="J85" s="15">
        <f>$B$5 + 7</f>
        <v>2022</v>
      </c>
      <c r="K85" s="15">
        <f>$B$5 + 8</f>
        <v>2023</v>
      </c>
      <c r="L85" s="15">
        <f>$B$5 + 9</f>
        <v>2024</v>
      </c>
      <c r="M85" s="15">
        <f>$B$5 + 10</f>
        <v>2025</v>
      </c>
      <c r="N85" s="15">
        <f>$B$5 + 11</f>
        <v>2026</v>
      </c>
      <c r="O85" s="15">
        <f>$B$5 + 12</f>
        <v>2027</v>
      </c>
      <c r="P85" s="15">
        <f>$B$5 + 13</f>
        <v>2028</v>
      </c>
      <c r="Q85" s="15">
        <f>$B$5 + 14</f>
        <v>2029</v>
      </c>
      <c r="R85" s="15">
        <f>$B$5 + 15</f>
        <v>2030</v>
      </c>
      <c r="S85" s="15">
        <f>$B$5 + 16</f>
        <v>2031</v>
      </c>
      <c r="T85" s="15">
        <f>$B$5 + 17</f>
        <v>2032</v>
      </c>
      <c r="U85" s="15">
        <f>$B$5 + 18</f>
        <v>2033</v>
      </c>
      <c r="V85" s="15">
        <f>$B$5 + 19</f>
        <v>2034</v>
      </c>
      <c r="W85" s="15">
        <f>$B$5 + 20</f>
        <v>2035</v>
      </c>
      <c r="X85" s="15">
        <f>$B$5 + 21</f>
        <v>2036</v>
      </c>
      <c r="Y85" s="15">
        <f>$B$5 + 22</f>
        <v>2037</v>
      </c>
      <c r="Z85" s="15">
        <f>$B$5 + 23</f>
        <v>2038</v>
      </c>
      <c r="AA85" s="15">
        <f>$B$5 + 24</f>
        <v>2039</v>
      </c>
      <c r="AB85" s="15">
        <f>$B$5 + 25</f>
        <v>2040</v>
      </c>
      <c r="AC85" s="15">
        <f>$B$5 + 26</f>
        <v>2041</v>
      </c>
      <c r="AD85" s="15">
        <f>$B$5 + 27</f>
        <v>2042</v>
      </c>
      <c r="AE85" s="15">
        <f>$B$5 + 28</f>
        <v>2043</v>
      </c>
      <c r="AF85" s="15">
        <f>$B$5 + 29</f>
        <v>2044</v>
      </c>
      <c r="AG85" s="15">
        <f>$B$5 + 30</f>
        <v>2045</v>
      </c>
      <c r="AH85" s="15">
        <f>$B$5 + 31</f>
        <v>2046</v>
      </c>
      <c r="AI85" s="15">
        <f>$B$5 + 32</f>
        <v>2047</v>
      </c>
      <c r="AJ85" s="15">
        <f>$B$5 + 33</f>
        <v>2048</v>
      </c>
      <c r="AK85" s="15">
        <f>$B$5 + 34</f>
        <v>2049</v>
      </c>
      <c r="AL85" s="50"/>
      <c r="AM85" s="50"/>
      <c r="AN85" s="50"/>
      <c r="AO85" s="50"/>
      <c r="AP85" s="50"/>
      <c r="AQ85" s="50"/>
      <c r="AR85" s="50"/>
      <c r="AS85" s="50"/>
      <c r="AT85" s="50"/>
      <c r="AU85" s="50"/>
      <c r="AV85" s="50"/>
      <c r="AW85" s="50"/>
      <c r="AX85" s="50"/>
      <c r="AY85" s="50"/>
    </row>
    <row r="86" spans="1:51" s="37" customFormat="1">
      <c r="A86" s="104" t="s">
        <v>238</v>
      </c>
      <c r="C86" s="96">
        <v>1</v>
      </c>
      <c r="D86" s="96">
        <v>2</v>
      </c>
      <c r="E86" s="96">
        <v>3</v>
      </c>
      <c r="F86" s="96">
        <v>4</v>
      </c>
      <c r="G86" s="96">
        <v>5</v>
      </c>
      <c r="H86" s="96">
        <v>6</v>
      </c>
      <c r="I86" s="96">
        <v>7</v>
      </c>
      <c r="J86" s="96">
        <v>8</v>
      </c>
      <c r="K86" s="96">
        <v>9</v>
      </c>
      <c r="L86" s="96">
        <v>10</v>
      </c>
      <c r="M86" s="96">
        <v>11</v>
      </c>
      <c r="N86" s="96">
        <v>12</v>
      </c>
      <c r="O86" s="96">
        <v>13</v>
      </c>
      <c r="P86" s="96">
        <v>14</v>
      </c>
      <c r="Q86" s="96">
        <v>15</v>
      </c>
      <c r="R86" s="96">
        <v>16</v>
      </c>
      <c r="S86" s="96">
        <v>17</v>
      </c>
      <c r="T86" s="96">
        <v>18</v>
      </c>
      <c r="U86" s="96">
        <v>19</v>
      </c>
      <c r="V86" s="96">
        <v>20</v>
      </c>
      <c r="W86" s="96">
        <v>21</v>
      </c>
      <c r="X86" s="96">
        <v>22</v>
      </c>
      <c r="Y86" s="96">
        <v>23</v>
      </c>
      <c r="Z86" s="96">
        <v>24</v>
      </c>
      <c r="AA86" s="96">
        <v>25</v>
      </c>
      <c r="AB86" s="96">
        <v>26</v>
      </c>
      <c r="AC86" s="96">
        <v>27</v>
      </c>
      <c r="AD86" s="96">
        <v>28</v>
      </c>
      <c r="AE86" s="96">
        <v>29</v>
      </c>
      <c r="AF86" s="96">
        <v>30</v>
      </c>
      <c r="AG86" s="96">
        <v>31</v>
      </c>
      <c r="AH86" s="96">
        <v>32</v>
      </c>
      <c r="AI86" s="96">
        <v>33</v>
      </c>
      <c r="AJ86" s="96">
        <v>34</v>
      </c>
      <c r="AK86" s="96">
        <v>35</v>
      </c>
    </row>
    <row r="87" spans="1:51" s="37" customFormat="1">
      <c r="A87" s="37" t="s">
        <v>207</v>
      </c>
      <c r="C87" s="37">
        <f>B69</f>
        <v>650000</v>
      </c>
      <c r="D87" s="37">
        <f>C93</f>
        <v>650000</v>
      </c>
      <c r="E87" s="37">
        <f t="shared" ref="E87:AK87" si="20">D93</f>
        <v>650000</v>
      </c>
      <c r="F87" s="37">
        <f t="shared" si="20"/>
        <v>650000</v>
      </c>
      <c r="G87" s="37">
        <f t="shared" si="20"/>
        <v>650000</v>
      </c>
      <c r="H87" s="37">
        <f t="shared" si="20"/>
        <v>650000</v>
      </c>
      <c r="I87" s="37">
        <f t="shared" si="20"/>
        <v>650000</v>
      </c>
      <c r="J87" s="37">
        <f t="shared" si="20"/>
        <v>650000</v>
      </c>
      <c r="K87" s="37">
        <f t="shared" si="20"/>
        <v>650000</v>
      </c>
      <c r="L87" s="37">
        <f t="shared" si="20"/>
        <v>650000</v>
      </c>
      <c r="M87" s="37">
        <f t="shared" si="20"/>
        <v>650000</v>
      </c>
      <c r="N87" s="37">
        <f t="shared" si="20"/>
        <v>650000</v>
      </c>
      <c r="O87" s="37">
        <f t="shared" si="20"/>
        <v>650000</v>
      </c>
      <c r="P87" s="37">
        <f t="shared" si="20"/>
        <v>650000</v>
      </c>
      <c r="Q87" s="37">
        <f t="shared" si="20"/>
        <v>650000</v>
      </c>
      <c r="R87" s="37">
        <f t="shared" si="20"/>
        <v>650000</v>
      </c>
      <c r="S87" s="37">
        <f t="shared" si="20"/>
        <v>597922.38906686904</v>
      </c>
      <c r="T87" s="37">
        <f t="shared" si="20"/>
        <v>543343.1813408985</v>
      </c>
      <c r="U87" s="37">
        <f t="shared" si="20"/>
        <v>486129.07370607805</v>
      </c>
      <c r="V87" s="37">
        <f t="shared" si="20"/>
        <v>426140.64148656267</v>
      </c>
      <c r="W87" s="37">
        <f t="shared" si="20"/>
        <v>363232.57058738021</v>
      </c>
      <c r="X87" s="37">
        <f t="shared" si="20"/>
        <v>297254.35513530963</v>
      </c>
      <c r="Y87" s="37">
        <f t="shared" si="20"/>
        <v>228052.05250977003</v>
      </c>
      <c r="Z87" s="37">
        <f t="shared" si="20"/>
        <v>155472.85349668839</v>
      </c>
      <c r="AA87" s="37">
        <f t="shared" si="20"/>
        <v>79379.423279026552</v>
      </c>
      <c r="AB87" s="37">
        <f t="shared" si="20"/>
        <v>0</v>
      </c>
      <c r="AC87" s="37">
        <f t="shared" si="20"/>
        <v>0</v>
      </c>
      <c r="AD87" s="37">
        <f t="shared" si="20"/>
        <v>0</v>
      </c>
      <c r="AE87" s="37">
        <f t="shared" si="20"/>
        <v>0</v>
      </c>
      <c r="AF87" s="37">
        <f t="shared" si="20"/>
        <v>0</v>
      </c>
      <c r="AG87" s="37">
        <f t="shared" si="20"/>
        <v>0</v>
      </c>
      <c r="AH87" s="37">
        <f t="shared" si="20"/>
        <v>0</v>
      </c>
      <c r="AI87" s="37">
        <f t="shared" si="20"/>
        <v>0</v>
      </c>
      <c r="AJ87" s="37">
        <f t="shared" si="20"/>
        <v>0</v>
      </c>
      <c r="AK87" s="37">
        <f t="shared" si="20"/>
        <v>0</v>
      </c>
    </row>
    <row r="88" spans="1:51" s="69" customFormat="1">
      <c r="A88" s="69" t="s">
        <v>2555</v>
      </c>
      <c r="C88" s="69" t="str">
        <f>IF(C85&lt;$B$6,"IO","P&amp;I")</f>
        <v>IO</v>
      </c>
      <c r="D88" s="69" t="str">
        <f t="shared" ref="D88:AK88" si="21">IF(D85&lt;$B$6,"IO","P&amp;I")</f>
        <v>IO</v>
      </c>
      <c r="E88" s="69" t="str">
        <f t="shared" si="21"/>
        <v>IO</v>
      </c>
      <c r="F88" s="69" t="str">
        <f t="shared" si="21"/>
        <v>IO</v>
      </c>
      <c r="G88" s="69" t="str">
        <f t="shared" si="21"/>
        <v>IO</v>
      </c>
      <c r="H88" s="69" t="str">
        <f t="shared" si="21"/>
        <v>IO</v>
      </c>
      <c r="I88" s="69" t="str">
        <f t="shared" si="21"/>
        <v>IO</v>
      </c>
      <c r="J88" s="69" t="str">
        <f t="shared" si="21"/>
        <v>IO</v>
      </c>
      <c r="K88" s="69" t="str">
        <f t="shared" si="21"/>
        <v>IO</v>
      </c>
      <c r="L88" s="69" t="str">
        <f t="shared" si="21"/>
        <v>IO</v>
      </c>
      <c r="M88" s="69" t="str">
        <f t="shared" si="21"/>
        <v>IO</v>
      </c>
      <c r="N88" s="69" t="str">
        <f t="shared" si="21"/>
        <v>IO</v>
      </c>
      <c r="O88" s="69" t="str">
        <f t="shared" si="21"/>
        <v>IO</v>
      </c>
      <c r="P88" s="69" t="str">
        <f t="shared" si="21"/>
        <v>IO</v>
      </c>
      <c r="Q88" s="69" t="str">
        <f t="shared" si="21"/>
        <v>IO</v>
      </c>
      <c r="R88" s="69" t="str">
        <f t="shared" si="21"/>
        <v>P&amp;I</v>
      </c>
      <c r="S88" s="69" t="str">
        <f t="shared" si="21"/>
        <v>P&amp;I</v>
      </c>
      <c r="T88" s="69" t="str">
        <f t="shared" si="21"/>
        <v>P&amp;I</v>
      </c>
      <c r="U88" s="69" t="str">
        <f t="shared" si="21"/>
        <v>P&amp;I</v>
      </c>
      <c r="V88" s="69" t="str">
        <f t="shared" si="21"/>
        <v>P&amp;I</v>
      </c>
      <c r="W88" s="69" t="str">
        <f t="shared" si="21"/>
        <v>P&amp;I</v>
      </c>
      <c r="X88" s="69" t="str">
        <f t="shared" si="21"/>
        <v>P&amp;I</v>
      </c>
      <c r="Y88" s="69" t="str">
        <f t="shared" si="21"/>
        <v>P&amp;I</v>
      </c>
      <c r="Z88" s="69" t="str">
        <f t="shared" si="21"/>
        <v>P&amp;I</v>
      </c>
      <c r="AA88" s="69" t="str">
        <f t="shared" si="21"/>
        <v>P&amp;I</v>
      </c>
      <c r="AB88" s="69" t="str">
        <f t="shared" si="21"/>
        <v>P&amp;I</v>
      </c>
      <c r="AC88" s="69" t="str">
        <f t="shared" si="21"/>
        <v>P&amp;I</v>
      </c>
      <c r="AD88" s="69" t="str">
        <f t="shared" si="21"/>
        <v>P&amp;I</v>
      </c>
      <c r="AE88" s="69" t="str">
        <f t="shared" si="21"/>
        <v>P&amp;I</v>
      </c>
      <c r="AF88" s="69" t="str">
        <f t="shared" si="21"/>
        <v>P&amp;I</v>
      </c>
      <c r="AG88" s="69" t="str">
        <f t="shared" si="21"/>
        <v>P&amp;I</v>
      </c>
      <c r="AH88" s="69" t="str">
        <f t="shared" si="21"/>
        <v>P&amp;I</v>
      </c>
      <c r="AI88" s="69" t="str">
        <f t="shared" si="21"/>
        <v>P&amp;I</v>
      </c>
      <c r="AJ88" s="69" t="str">
        <f t="shared" si="21"/>
        <v>P&amp;I</v>
      </c>
      <c r="AK88" s="69" t="str">
        <f t="shared" si="21"/>
        <v>P&amp;I</v>
      </c>
    </row>
    <row r="89" spans="1:51" s="70" customFormat="1">
      <c r="A89" s="70" t="s">
        <v>2556</v>
      </c>
      <c r="C89" s="70">
        <f>MAX(0,$B$41-(C85-$B$39))</f>
        <v>25</v>
      </c>
      <c r="D89" s="70">
        <f t="shared" ref="D89:F89" si="22">MAX(0,$B$41-(D85-$B$39))</f>
        <v>24</v>
      </c>
      <c r="E89" s="70">
        <f t="shared" si="22"/>
        <v>23</v>
      </c>
      <c r="F89" s="70">
        <f t="shared" si="22"/>
        <v>22</v>
      </c>
      <c r="G89" s="70">
        <f>MAX(0,$B$41-(G85-$B$39))</f>
        <v>21</v>
      </c>
      <c r="H89" s="70">
        <f t="shared" ref="H89:AK89" si="23">MAX(0,$B$41-(H85-$B$39))</f>
        <v>20</v>
      </c>
      <c r="I89" s="70">
        <f t="shared" si="23"/>
        <v>19</v>
      </c>
      <c r="J89" s="70">
        <f t="shared" si="23"/>
        <v>18</v>
      </c>
      <c r="K89" s="70">
        <f t="shared" si="23"/>
        <v>17</v>
      </c>
      <c r="L89" s="70">
        <f t="shared" si="23"/>
        <v>16</v>
      </c>
      <c r="M89" s="70">
        <f t="shared" si="23"/>
        <v>15</v>
      </c>
      <c r="N89" s="70">
        <f t="shared" si="23"/>
        <v>14</v>
      </c>
      <c r="O89" s="70">
        <f t="shared" si="23"/>
        <v>13</v>
      </c>
      <c r="P89" s="70">
        <f t="shared" si="23"/>
        <v>12</v>
      </c>
      <c r="Q89" s="70">
        <f t="shared" si="23"/>
        <v>11</v>
      </c>
      <c r="R89" s="70">
        <f t="shared" si="23"/>
        <v>10</v>
      </c>
      <c r="S89" s="70">
        <f t="shared" si="23"/>
        <v>9</v>
      </c>
      <c r="T89" s="70">
        <f t="shared" si="23"/>
        <v>8</v>
      </c>
      <c r="U89" s="70">
        <f t="shared" si="23"/>
        <v>7</v>
      </c>
      <c r="V89" s="70">
        <f t="shared" si="23"/>
        <v>6</v>
      </c>
      <c r="W89" s="70">
        <f t="shared" si="23"/>
        <v>5</v>
      </c>
      <c r="X89" s="70">
        <f t="shared" si="23"/>
        <v>4</v>
      </c>
      <c r="Y89" s="70">
        <f t="shared" si="23"/>
        <v>3</v>
      </c>
      <c r="Z89" s="70">
        <f t="shared" si="23"/>
        <v>2</v>
      </c>
      <c r="AA89" s="70">
        <f t="shared" si="23"/>
        <v>1</v>
      </c>
      <c r="AB89" s="70">
        <f t="shared" si="23"/>
        <v>0</v>
      </c>
      <c r="AC89" s="70">
        <f t="shared" si="23"/>
        <v>0</v>
      </c>
      <c r="AD89" s="70">
        <f t="shared" si="23"/>
        <v>0</v>
      </c>
      <c r="AE89" s="70">
        <f t="shared" si="23"/>
        <v>0</v>
      </c>
      <c r="AF89" s="70">
        <f t="shared" si="23"/>
        <v>0</v>
      </c>
      <c r="AG89" s="70">
        <f t="shared" si="23"/>
        <v>0</v>
      </c>
      <c r="AH89" s="70">
        <f t="shared" si="23"/>
        <v>0</v>
      </c>
      <c r="AI89" s="70">
        <f t="shared" si="23"/>
        <v>0</v>
      </c>
      <c r="AJ89" s="70">
        <f t="shared" si="23"/>
        <v>0</v>
      </c>
      <c r="AK89" s="70">
        <f t="shared" si="23"/>
        <v>0</v>
      </c>
    </row>
    <row r="90" spans="1:51" s="37" customFormat="1">
      <c r="A90" s="37" t="s">
        <v>2557</v>
      </c>
      <c r="C90" s="37">
        <f>C87*$B$70</f>
        <v>35360</v>
      </c>
      <c r="D90" s="37">
        <f t="shared" ref="D90:AK90" si="24">D87*$B$70</f>
        <v>35360</v>
      </c>
      <c r="E90" s="37">
        <f t="shared" si="24"/>
        <v>35360</v>
      </c>
      <c r="F90" s="37">
        <f t="shared" si="24"/>
        <v>35360</v>
      </c>
      <c r="G90" s="37">
        <f t="shared" si="24"/>
        <v>35360</v>
      </c>
      <c r="H90" s="37">
        <f t="shared" si="24"/>
        <v>35360</v>
      </c>
      <c r="I90" s="37">
        <f t="shared" si="24"/>
        <v>35360</v>
      </c>
      <c r="J90" s="37">
        <f t="shared" si="24"/>
        <v>35360</v>
      </c>
      <c r="K90" s="37">
        <f t="shared" si="24"/>
        <v>35360</v>
      </c>
      <c r="L90" s="37">
        <f t="shared" si="24"/>
        <v>35360</v>
      </c>
      <c r="M90" s="37">
        <f t="shared" si="24"/>
        <v>35360</v>
      </c>
      <c r="N90" s="37">
        <f t="shared" si="24"/>
        <v>35360</v>
      </c>
      <c r="O90" s="37">
        <f t="shared" si="24"/>
        <v>35360</v>
      </c>
      <c r="P90" s="37">
        <f t="shared" si="24"/>
        <v>35360</v>
      </c>
      <c r="Q90" s="37">
        <f t="shared" si="24"/>
        <v>35360</v>
      </c>
      <c r="R90" s="37">
        <f t="shared" si="24"/>
        <v>35360</v>
      </c>
      <c r="S90" s="37">
        <f t="shared" si="24"/>
        <v>32526.977965237675</v>
      </c>
      <c r="T90" s="37">
        <f t="shared" si="24"/>
        <v>29557.869064944876</v>
      </c>
      <c r="U90" s="37">
        <f t="shared" si="24"/>
        <v>26445.421609610643</v>
      </c>
      <c r="V90" s="37">
        <f t="shared" si="24"/>
        <v>23182.050896869008</v>
      </c>
      <c r="W90" s="37">
        <f t="shared" si="24"/>
        <v>19759.851839953481</v>
      </c>
      <c r="X90" s="37">
        <f t="shared" si="24"/>
        <v>16170.636919360843</v>
      </c>
      <c r="Y90" s="37">
        <f t="shared" si="24"/>
        <v>12406.03165653149</v>
      </c>
      <c r="Z90" s="37">
        <f t="shared" si="24"/>
        <v>8457.7232302198481</v>
      </c>
      <c r="AA90" s="37">
        <f t="shared" si="24"/>
        <v>4318.2406263790444</v>
      </c>
      <c r="AB90" s="37">
        <f t="shared" si="24"/>
        <v>0</v>
      </c>
      <c r="AC90" s="37">
        <f t="shared" si="24"/>
        <v>0</v>
      </c>
      <c r="AD90" s="37">
        <f t="shared" si="24"/>
        <v>0</v>
      </c>
      <c r="AE90" s="37">
        <f t="shared" si="24"/>
        <v>0</v>
      </c>
      <c r="AF90" s="37">
        <f t="shared" si="24"/>
        <v>0</v>
      </c>
      <c r="AG90" s="37">
        <f t="shared" si="24"/>
        <v>0</v>
      </c>
      <c r="AH90" s="37">
        <f t="shared" si="24"/>
        <v>0</v>
      </c>
      <c r="AI90" s="37">
        <f t="shared" si="24"/>
        <v>0</v>
      </c>
      <c r="AJ90" s="37">
        <f t="shared" si="24"/>
        <v>0</v>
      </c>
      <c r="AK90" s="37">
        <f t="shared" si="24"/>
        <v>0</v>
      </c>
    </row>
    <row r="91" spans="1:51" s="37" customFormat="1">
      <c r="A91" s="37" t="s">
        <v>2558</v>
      </c>
      <c r="C91" s="37">
        <f>IF(C89=0,0,IF(C88="IO",C90,PMT($B$4,C89,-C87)))</f>
        <v>35360</v>
      </c>
      <c r="D91" s="37">
        <f t="shared" ref="D91" si="25">IF(D89=0,0,IF(D88="IO",D90,PMT($B$4,D89,-D87)))</f>
        <v>35360</v>
      </c>
      <c r="E91" s="37">
        <f t="shared" ref="E91" si="26">IF(E89=0,0,IF(E88="IO",E90,PMT($B$4,E89,-E87)))</f>
        <v>35360</v>
      </c>
      <c r="F91" s="37">
        <f t="shared" ref="F91" si="27">IF(F89=0,0,IF(F88="IO",F90,PMT($B$4,F89,-F87)))</f>
        <v>35360</v>
      </c>
      <c r="G91" s="37">
        <f t="shared" ref="G91" si="28">IF(G89=0,0,IF(G88="IO",G90,PMT($B$4,G89,-G87)))</f>
        <v>35360</v>
      </c>
      <c r="H91" s="37">
        <f t="shared" ref="H91" si="29">IF(H89=0,0,IF(H88="IO",H90,PMT($B$4,H89,-H87)))</f>
        <v>35360</v>
      </c>
      <c r="I91" s="37">
        <f t="shared" ref="I91" si="30">IF(I89=0,0,IF(I88="IO",I90,PMT($B$4,I89,-I87)))</f>
        <v>35360</v>
      </c>
      <c r="J91" s="37">
        <f t="shared" ref="J91" si="31">IF(J89=0,0,IF(J88="IO",J90,PMT($B$4,J89,-J87)))</f>
        <v>35360</v>
      </c>
      <c r="K91" s="37">
        <f t="shared" ref="K91" si="32">IF(K89=0,0,IF(K88="IO",K90,PMT($B$4,K89,-K87)))</f>
        <v>35360</v>
      </c>
      <c r="L91" s="37">
        <f t="shared" ref="L91" si="33">IF(L89=0,0,IF(L88="IO",L90,PMT($B$4,L89,-L87)))</f>
        <v>35360</v>
      </c>
      <c r="M91" s="37">
        <f t="shared" ref="M91" si="34">IF(M89=0,0,IF(M88="IO",M90,PMT($B$4,M89,-M87)))</f>
        <v>35360</v>
      </c>
      <c r="N91" s="37">
        <f t="shared" ref="N91" si="35">IF(N89=0,0,IF(N88="IO",N90,PMT($B$4,N89,-N87)))</f>
        <v>35360</v>
      </c>
      <c r="O91" s="37">
        <f t="shared" ref="O91" si="36">IF(O89=0,0,IF(O88="IO",O90,PMT($B$4,O89,-O87)))</f>
        <v>35360</v>
      </c>
      <c r="P91" s="37">
        <f t="shared" ref="P91" si="37">IF(P89=0,0,IF(P88="IO",P90,PMT($B$4,P89,-P87)))</f>
        <v>35360</v>
      </c>
      <c r="Q91" s="37">
        <f t="shared" ref="Q91" si="38">IF(Q89=0,0,IF(Q88="IO",Q90,PMT($B$4,Q89,-Q87)))</f>
        <v>35360</v>
      </c>
      <c r="R91" s="37">
        <f t="shared" ref="R91" si="39">IF(R89=0,0,IF(R88="IO",R90,PMT($B$4,R89,-R87)))</f>
        <v>87437.610933130971</v>
      </c>
      <c r="S91" s="37">
        <f t="shared" ref="S91" si="40">IF(S89=0,0,IF(S88="IO",S90,PMT($B$4,S89,-S87)))</f>
        <v>87106.185691208244</v>
      </c>
      <c r="T91" s="37">
        <f t="shared" ref="T91" si="41">IF(T89=0,0,IF(T88="IO",T90,PMT($B$4,T89,-T87)))</f>
        <v>86771.97669976535</v>
      </c>
      <c r="U91" s="37">
        <f t="shared" ref="U91" si="42">IF(U89=0,0,IF(U88="IO",U90,PMT($B$4,U89,-U87)))</f>
        <v>86433.85382912599</v>
      </c>
      <c r="V91" s="37">
        <f t="shared" ref="V91" si="43">IF(V89=0,0,IF(V88="IO",V90,PMT($B$4,V89,-V87)))</f>
        <v>86090.121796051462</v>
      </c>
      <c r="W91" s="37">
        <f t="shared" ref="W91" si="44">IF(W89=0,0,IF(W88="IO",W90,PMT($B$4,W89,-W87)))</f>
        <v>85738.067292024032</v>
      </c>
      <c r="X91" s="37">
        <f t="shared" ref="X91" si="45">IF(X89=0,0,IF(X88="IO",X90,PMT($B$4,X89,-X87)))</f>
        <v>85372.939544900451</v>
      </c>
      <c r="Y91" s="37">
        <f t="shared" ref="Y91" si="46">IF(Y89=0,0,IF(Y88="IO",Y90,PMT($B$4,Y89,-Y87)))</f>
        <v>84985.230669613127</v>
      </c>
      <c r="Z91" s="37">
        <f t="shared" ref="Z91" si="47">IF(Z89=0,0,IF(Z88="IO",Z90,PMT($B$4,Z89,-Z87)))</f>
        <v>84551.15344788169</v>
      </c>
      <c r="AA91" s="37">
        <f t="shared" ref="AA91" si="48">IF(AA89=0,0,IF(AA88="IO",AA90,PMT($B$4,AA89,-AA87)))</f>
        <v>83975.491886882199</v>
      </c>
      <c r="AB91" s="37">
        <f t="shared" ref="AB91" si="49">IF(AB89=0,0,IF(AB88="IO",AB90,PMT($B$4,AB89,-AB87)))</f>
        <v>0</v>
      </c>
      <c r="AC91" s="37">
        <f t="shared" ref="AC91" si="50">IF(AC89=0,0,IF(AC88="IO",AC90,PMT($B$4,AC89,-AC87)))</f>
        <v>0</v>
      </c>
      <c r="AD91" s="37">
        <f t="shared" ref="AD91" si="51">IF(AD89=0,0,IF(AD88="IO",AD90,PMT($B$4,AD89,-AD87)))</f>
        <v>0</v>
      </c>
      <c r="AE91" s="37">
        <f t="shared" ref="AE91" si="52">IF(AE89=0,0,IF(AE88="IO",AE90,PMT($B$4,AE89,-AE87)))</f>
        <v>0</v>
      </c>
      <c r="AF91" s="37">
        <f t="shared" ref="AF91" si="53">IF(AF89=0,0,IF(AF88="IO",AF90,PMT($B$4,AF89,-AF87)))</f>
        <v>0</v>
      </c>
      <c r="AG91" s="37">
        <f t="shared" ref="AG91" si="54">IF(AG89=0,0,IF(AG88="IO",AG90,PMT($B$4,AG89,-AG87)))</f>
        <v>0</v>
      </c>
      <c r="AH91" s="37">
        <f t="shared" ref="AH91" si="55">IF(AH89=0,0,IF(AH88="IO",AH90,PMT($B$4,AH89,-AH87)))</f>
        <v>0</v>
      </c>
      <c r="AI91" s="37">
        <f t="shared" ref="AI91" si="56">IF(AI89=0,0,IF(AI88="IO",AI90,PMT($B$4,AI89,-AI87)))</f>
        <v>0</v>
      </c>
      <c r="AJ91" s="37">
        <f t="shared" ref="AJ91" si="57">IF(AJ89=0,0,IF(AJ88="IO",AJ90,PMT($B$4,AJ89,-AJ87)))</f>
        <v>0</v>
      </c>
      <c r="AK91" s="37">
        <f t="shared" ref="AK91" si="58">IF(AK89=0,0,IF(AK88="IO",AK90,PMT($B$4,AK89,-AK87)))</f>
        <v>0</v>
      </c>
    </row>
    <row r="92" spans="1:51" s="37" customFormat="1">
      <c r="A92" s="37" t="s">
        <v>2559</v>
      </c>
      <c r="C92" s="37">
        <f>MAX(0,C91-C90)</f>
        <v>0</v>
      </c>
      <c r="D92" s="37">
        <f t="shared" ref="D92" si="59">MAX(0,D91-D90)</f>
        <v>0</v>
      </c>
      <c r="E92" s="37">
        <f t="shared" ref="E92" si="60">MAX(0,E91-E90)</f>
        <v>0</v>
      </c>
      <c r="F92" s="37">
        <f t="shared" ref="F92" si="61">MAX(0,F91-F90)</f>
        <v>0</v>
      </c>
      <c r="G92" s="37">
        <f t="shared" ref="G92" si="62">MAX(0,G91-G90)</f>
        <v>0</v>
      </c>
      <c r="H92" s="37">
        <f t="shared" ref="H92" si="63">MAX(0,H91-H90)</f>
        <v>0</v>
      </c>
      <c r="I92" s="37">
        <f t="shared" ref="I92" si="64">MAX(0,I91-I90)</f>
        <v>0</v>
      </c>
      <c r="J92" s="37">
        <f t="shared" ref="J92" si="65">MAX(0,J91-J90)</f>
        <v>0</v>
      </c>
      <c r="K92" s="37">
        <f t="shared" ref="K92" si="66">MAX(0,K91-K90)</f>
        <v>0</v>
      </c>
      <c r="L92" s="37">
        <f t="shared" ref="L92" si="67">MAX(0,L91-L90)</f>
        <v>0</v>
      </c>
      <c r="M92" s="37">
        <f t="shared" ref="M92" si="68">MAX(0,M91-M90)</f>
        <v>0</v>
      </c>
      <c r="N92" s="37">
        <f t="shared" ref="N92" si="69">MAX(0,N91-N90)</f>
        <v>0</v>
      </c>
      <c r="O92" s="37">
        <f t="shared" ref="O92" si="70">MAX(0,O91-O90)</f>
        <v>0</v>
      </c>
      <c r="P92" s="37">
        <f t="shared" ref="P92" si="71">MAX(0,P91-P90)</f>
        <v>0</v>
      </c>
      <c r="Q92" s="37">
        <f t="shared" ref="Q92" si="72">MAX(0,Q91-Q90)</f>
        <v>0</v>
      </c>
      <c r="R92" s="37">
        <f t="shared" ref="R92" si="73">MAX(0,R91-R90)</f>
        <v>52077.610933130971</v>
      </c>
      <c r="S92" s="37">
        <f t="shared" ref="S92" si="74">MAX(0,S91-S90)</f>
        <v>54579.207725970569</v>
      </c>
      <c r="T92" s="37">
        <f t="shared" ref="T92" si="75">MAX(0,T91-T90)</f>
        <v>57214.107634820473</v>
      </c>
      <c r="U92" s="37">
        <f t="shared" ref="U92" si="76">MAX(0,U91-U90)</f>
        <v>59988.432219515351</v>
      </c>
      <c r="V92" s="37">
        <f t="shared" ref="V92" si="77">MAX(0,V91-V90)</f>
        <v>62908.07089918245</v>
      </c>
      <c r="W92" s="37">
        <f t="shared" ref="W92" si="78">MAX(0,W91-W90)</f>
        <v>65978.215452070552</v>
      </c>
      <c r="X92" s="37">
        <f t="shared" ref="X92" si="79">MAX(0,X91-X90)</f>
        <v>69202.302625539611</v>
      </c>
      <c r="Y92" s="37">
        <f t="shared" ref="Y92" si="80">MAX(0,Y91-Y90)</f>
        <v>72579.199013081641</v>
      </c>
      <c r="Z92" s="37">
        <f t="shared" ref="Z92" si="81">MAX(0,Z91-Z90)</f>
        <v>76093.430217661837</v>
      </c>
      <c r="AA92" s="37">
        <f t="shared" ref="AA92" si="82">MAX(0,AA91-AA90)</f>
        <v>79657.251260503152</v>
      </c>
      <c r="AB92" s="37">
        <f t="shared" ref="AB92" si="83">MAX(0,AB91-AB90)</f>
        <v>0</v>
      </c>
      <c r="AC92" s="37">
        <f t="shared" ref="AC92" si="84">MAX(0,AC91-AC90)</f>
        <v>0</v>
      </c>
      <c r="AD92" s="37">
        <f t="shared" ref="AD92" si="85">MAX(0,AD91-AD90)</f>
        <v>0</v>
      </c>
      <c r="AE92" s="37">
        <f t="shared" ref="AE92" si="86">MAX(0,AE91-AE90)</f>
        <v>0</v>
      </c>
      <c r="AF92" s="37">
        <f t="shared" ref="AF92" si="87">MAX(0,AF91-AF90)</f>
        <v>0</v>
      </c>
      <c r="AG92" s="37">
        <f t="shared" ref="AG92" si="88">MAX(0,AG91-AG90)</f>
        <v>0</v>
      </c>
      <c r="AH92" s="37">
        <f t="shared" ref="AH92" si="89">MAX(0,AH91-AH90)</f>
        <v>0</v>
      </c>
      <c r="AI92" s="37">
        <f t="shared" ref="AI92" si="90">MAX(0,AI91-AI90)</f>
        <v>0</v>
      </c>
      <c r="AJ92" s="37">
        <f t="shared" ref="AJ92" si="91">MAX(0,AJ91-AJ90)</f>
        <v>0</v>
      </c>
      <c r="AK92" s="37">
        <f t="shared" ref="AK92" si="92">MAX(0,AK91-AK90)</f>
        <v>0</v>
      </c>
    </row>
    <row r="93" spans="1:51" s="37" customFormat="1">
      <c r="A93" s="37" t="s">
        <v>2560</v>
      </c>
      <c r="C93" s="37">
        <f>MAX(0,C87-C92)</f>
        <v>650000</v>
      </c>
      <c r="D93" s="37">
        <f t="shared" ref="D93" si="93">MAX(0,D87-D92)</f>
        <v>650000</v>
      </c>
      <c r="E93" s="37">
        <f t="shared" ref="E93" si="94">MAX(0,E87-E92)</f>
        <v>650000</v>
      </c>
      <c r="F93" s="37">
        <f t="shared" ref="F93" si="95">MAX(0,F87-F92)</f>
        <v>650000</v>
      </c>
      <c r="G93" s="37">
        <f t="shared" ref="G93" si="96">MAX(0,G87-G92)</f>
        <v>650000</v>
      </c>
      <c r="H93" s="37">
        <f t="shared" ref="H93" si="97">MAX(0,H87-H92)</f>
        <v>650000</v>
      </c>
      <c r="I93" s="37">
        <f t="shared" ref="I93" si="98">MAX(0,I87-I92)</f>
        <v>650000</v>
      </c>
      <c r="J93" s="37">
        <f t="shared" ref="J93" si="99">MAX(0,J87-J92)</f>
        <v>650000</v>
      </c>
      <c r="K93" s="37">
        <f t="shared" ref="K93" si="100">MAX(0,K87-K92)</f>
        <v>650000</v>
      </c>
      <c r="L93" s="37">
        <f t="shared" ref="L93" si="101">MAX(0,L87-L92)</f>
        <v>650000</v>
      </c>
      <c r="M93" s="37">
        <f t="shared" ref="M93" si="102">MAX(0,M87-M92)</f>
        <v>650000</v>
      </c>
      <c r="N93" s="37">
        <f t="shared" ref="N93" si="103">MAX(0,N87-N92)</f>
        <v>650000</v>
      </c>
      <c r="O93" s="37">
        <f t="shared" ref="O93" si="104">MAX(0,O87-O92)</f>
        <v>650000</v>
      </c>
      <c r="P93" s="37">
        <f t="shared" ref="P93" si="105">MAX(0,P87-P92)</f>
        <v>650000</v>
      </c>
      <c r="Q93" s="37">
        <f t="shared" ref="Q93" si="106">MAX(0,Q87-Q92)</f>
        <v>650000</v>
      </c>
      <c r="R93" s="37">
        <f t="shared" ref="R93" si="107">MAX(0,R87-R92)</f>
        <v>597922.38906686904</v>
      </c>
      <c r="S93" s="37">
        <f t="shared" ref="S93" si="108">MAX(0,S87-S92)</f>
        <v>543343.1813408985</v>
      </c>
      <c r="T93" s="37">
        <f t="shared" ref="T93" si="109">MAX(0,T87-T92)</f>
        <v>486129.07370607805</v>
      </c>
      <c r="U93" s="37">
        <f t="shared" ref="U93" si="110">MAX(0,U87-U92)</f>
        <v>426140.64148656267</v>
      </c>
      <c r="V93" s="37">
        <f t="shared" ref="V93" si="111">MAX(0,V87-V92)</f>
        <v>363232.57058738021</v>
      </c>
      <c r="W93" s="37">
        <f t="shared" ref="W93" si="112">MAX(0,W87-W92)</f>
        <v>297254.35513530963</v>
      </c>
      <c r="X93" s="37">
        <f t="shared" ref="X93" si="113">MAX(0,X87-X92)</f>
        <v>228052.05250977003</v>
      </c>
      <c r="Y93" s="37">
        <f t="shared" ref="Y93" si="114">MAX(0,Y87-Y92)</f>
        <v>155472.85349668839</v>
      </c>
      <c r="Z93" s="37">
        <f t="shared" ref="Z93" si="115">MAX(0,Z87-Z92)</f>
        <v>79379.423279026552</v>
      </c>
      <c r="AA93" s="37">
        <f t="shared" ref="AA93" si="116">MAX(0,AA87-AA92)</f>
        <v>0</v>
      </c>
      <c r="AB93" s="37">
        <f t="shared" ref="AB93" si="117">MAX(0,AB87-AB92)</f>
        <v>0</v>
      </c>
      <c r="AC93" s="37">
        <f t="shared" ref="AC93" si="118">MAX(0,AC87-AC92)</f>
        <v>0</v>
      </c>
      <c r="AD93" s="37">
        <f t="shared" ref="AD93" si="119">MAX(0,AD87-AD92)</f>
        <v>0</v>
      </c>
      <c r="AE93" s="37">
        <f t="shared" ref="AE93" si="120">MAX(0,AE87-AE92)</f>
        <v>0</v>
      </c>
      <c r="AF93" s="37">
        <f t="shared" ref="AF93" si="121">MAX(0,AF87-AF92)</f>
        <v>0</v>
      </c>
      <c r="AG93" s="37">
        <f t="shared" ref="AG93" si="122">MAX(0,AG87-AG92)</f>
        <v>0</v>
      </c>
      <c r="AH93" s="37">
        <f t="shared" ref="AH93" si="123">MAX(0,AH87-AH92)</f>
        <v>0</v>
      </c>
      <c r="AI93" s="37">
        <f t="shared" ref="AI93" si="124">MAX(0,AI87-AI92)</f>
        <v>0</v>
      </c>
      <c r="AJ93" s="37">
        <f t="shared" ref="AJ93" si="125">MAX(0,AJ87-AJ92)</f>
        <v>0</v>
      </c>
      <c r="AK93" s="37">
        <f t="shared" ref="AK93" si="126">MAX(0,AK87-AK92)</f>
        <v>0</v>
      </c>
    </row>
    <row r="95" spans="1:51">
      <c r="A95" s="22" t="s">
        <v>2561</v>
      </c>
      <c r="C95" s="22">
        <f>IF(
  AND(C$21 &gt;= $B$15, C$21 &lt; $B$15 + 5),
  -$B$10 / 5,
  0
)</f>
        <v>0</v>
      </c>
      <c r="D95" s="22">
        <f t="shared" ref="D95:AK95" si="127">IF(
  AND(D$21 &gt;= $B$15, D$21 &lt; $B$15 + 5),
  -$B$10 / 5,
  0
)</f>
        <v>0</v>
      </c>
      <c r="E95" s="22">
        <f t="shared" si="127"/>
        <v>0</v>
      </c>
      <c r="F95" s="22">
        <f t="shared" si="127"/>
        <v>0</v>
      </c>
      <c r="G95" s="22">
        <f t="shared" si="127"/>
        <v>0</v>
      </c>
      <c r="H95" s="22">
        <f t="shared" si="127"/>
        <v>-381.9</v>
      </c>
      <c r="I95" s="22">
        <f t="shared" si="127"/>
        <v>-381.9</v>
      </c>
      <c r="J95" s="22">
        <f t="shared" si="127"/>
        <v>-381.9</v>
      </c>
      <c r="K95" s="22">
        <f t="shared" si="127"/>
        <v>-381.9</v>
      </c>
      <c r="L95" s="22">
        <f t="shared" si="127"/>
        <v>-381.9</v>
      </c>
      <c r="M95" s="22">
        <f t="shared" si="127"/>
        <v>0</v>
      </c>
      <c r="N95" s="22">
        <f t="shared" si="127"/>
        <v>0</v>
      </c>
      <c r="O95" s="22">
        <f t="shared" si="127"/>
        <v>0</v>
      </c>
      <c r="P95" s="22">
        <f t="shared" si="127"/>
        <v>0</v>
      </c>
      <c r="Q95" s="22">
        <f t="shared" si="127"/>
        <v>0</v>
      </c>
      <c r="R95" s="22">
        <f t="shared" si="127"/>
        <v>0</v>
      </c>
      <c r="S95" s="22">
        <f t="shared" si="127"/>
        <v>0</v>
      </c>
      <c r="T95" s="22">
        <f t="shared" si="127"/>
        <v>0</v>
      </c>
      <c r="U95" s="22">
        <f t="shared" si="127"/>
        <v>0</v>
      </c>
      <c r="V95" s="22">
        <f t="shared" si="127"/>
        <v>0</v>
      </c>
      <c r="W95" s="22">
        <f t="shared" si="127"/>
        <v>0</v>
      </c>
      <c r="X95" s="22">
        <f t="shared" si="127"/>
        <v>0</v>
      </c>
      <c r="Y95" s="22">
        <f t="shared" si="127"/>
        <v>0</v>
      </c>
      <c r="Z95" s="22">
        <f t="shared" si="127"/>
        <v>0</v>
      </c>
      <c r="AA95" s="22">
        <f t="shared" si="127"/>
        <v>0</v>
      </c>
      <c r="AB95" s="22">
        <f t="shared" si="127"/>
        <v>0</v>
      </c>
      <c r="AC95" s="22">
        <f t="shared" si="127"/>
        <v>0</v>
      </c>
      <c r="AD95" s="22">
        <f t="shared" si="127"/>
        <v>0</v>
      </c>
      <c r="AE95" s="22">
        <f t="shared" si="127"/>
        <v>0</v>
      </c>
      <c r="AF95" s="22">
        <f t="shared" si="127"/>
        <v>0</v>
      </c>
      <c r="AG95" s="22">
        <f t="shared" si="127"/>
        <v>0</v>
      </c>
      <c r="AH95" s="22">
        <f t="shared" si="127"/>
        <v>0</v>
      </c>
      <c r="AI95" s="22">
        <f t="shared" si="127"/>
        <v>0</v>
      </c>
      <c r="AJ95" s="22">
        <f t="shared" si="127"/>
        <v>0</v>
      </c>
      <c r="AK95" s="22">
        <f t="shared" si="127"/>
        <v>0</v>
      </c>
    </row>
    <row r="97" spans="1:37" ht="9.25" customHeight="1">
      <c r="A97" s="105"/>
      <c r="B97" s="106"/>
      <c r="C97" s="106"/>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row>
    <row r="100" spans="1:37">
      <c r="A100" s="22" t="s">
        <v>2562</v>
      </c>
    </row>
    <row r="101" spans="1:37">
      <c r="A101" s="22" t="s">
        <v>2539</v>
      </c>
      <c r="B101" s="22">
        <f>Properties!D100</f>
        <v>0</v>
      </c>
    </row>
    <row r="102" spans="1:37">
      <c r="A102" s="22" t="s">
        <v>2540</v>
      </c>
      <c r="B102" s="22">
        <f>Properties!E100</f>
        <v>0</v>
      </c>
    </row>
    <row r="103" spans="1:37">
      <c r="A103" s="22" t="s">
        <v>2541</v>
      </c>
      <c r="B103" s="22">
        <v>2019</v>
      </c>
    </row>
    <row r="104" spans="1:37">
      <c r="A104" s="22" t="s">
        <v>226</v>
      </c>
    </row>
    <row r="105" spans="1:37">
      <c r="A105" s="22" t="s">
        <v>2542</v>
      </c>
      <c r="B105" s="22">
        <v>25</v>
      </c>
    </row>
    <row r="106" spans="1:37">
      <c r="A106" s="22" t="s">
        <v>2543</v>
      </c>
      <c r="B106" s="22">
        <v>650</v>
      </c>
    </row>
    <row r="108" spans="1:37">
      <c r="A108" s="87" t="s">
        <v>2544</v>
      </c>
      <c r="B108" s="97">
        <f>SUM(B109:B115)</f>
        <v>66708</v>
      </c>
    </row>
    <row r="109" spans="1:37">
      <c r="A109" s="93" t="s">
        <v>2545</v>
      </c>
      <c r="B109" s="103">
        <v>695</v>
      </c>
      <c r="C109" s="37"/>
    </row>
    <row r="110" spans="1:37">
      <c r="A110" s="93" t="s">
        <v>2546</v>
      </c>
      <c r="B110" s="103">
        <v>300</v>
      </c>
      <c r="C110" s="37"/>
    </row>
    <row r="111" spans="1:37">
      <c r="A111" s="93" t="s">
        <v>2563</v>
      </c>
      <c r="B111" s="103">
        <v>9635</v>
      </c>
      <c r="C111" s="37"/>
    </row>
    <row r="112" spans="1:37">
      <c r="A112" s="93" t="s">
        <v>2548</v>
      </c>
      <c r="B112" s="103">
        <v>55705</v>
      </c>
      <c r="C112" s="70"/>
    </row>
    <row r="113" spans="1:51">
      <c r="A113" s="22" t="s">
        <v>2564</v>
      </c>
      <c r="B113" s="103">
        <v>115</v>
      </c>
    </row>
    <row r="114" spans="1:51">
      <c r="A114" s="93" t="s">
        <v>2565</v>
      </c>
      <c r="B114" s="103">
        <f>59*2</f>
        <v>118</v>
      </c>
      <c r="C114" s="70"/>
    </row>
    <row r="115" spans="1:51" ht="20" customHeight="1">
      <c r="A115" s="98" t="s">
        <v>2566</v>
      </c>
      <c r="B115" s="103">
        <v>140</v>
      </c>
      <c r="C115" s="70"/>
    </row>
    <row r="116" spans="1:51" ht="20" customHeight="1">
      <c r="A116" s="98" t="s">
        <v>2550</v>
      </c>
      <c r="B116" s="70" t="s">
        <v>2567</v>
      </c>
      <c r="C116" s="70"/>
    </row>
    <row r="117" spans="1:51">
      <c r="A117" s="93" t="s">
        <v>2551</v>
      </c>
      <c r="B117" s="70" t="s">
        <v>2567</v>
      </c>
      <c r="C117" s="70"/>
    </row>
    <row r="118" spans="1:51">
      <c r="A118" s="93"/>
      <c r="B118" s="70"/>
      <c r="C118" s="70"/>
    </row>
    <row r="119" spans="1:51">
      <c r="A119" s="22" t="s">
        <v>2553</v>
      </c>
      <c r="H119" s="73"/>
      <c r="I119" s="73"/>
      <c r="J119" s="73"/>
      <c r="K119" s="73"/>
      <c r="L119" s="73"/>
    </row>
    <row r="120" spans="1:51">
      <c r="H120" s="150">
        <v>2.7300000000000001E-2</v>
      </c>
      <c r="I120" s="150">
        <v>2.5499999999999998E-2</v>
      </c>
      <c r="J120" s="150">
        <v>1.9699999999999999E-2</v>
      </c>
      <c r="K120" s="150">
        <v>1.9699999999999999E-2</v>
      </c>
      <c r="L120" s="150">
        <v>1.9699999999999999E-2</v>
      </c>
      <c r="M120" s="150">
        <v>6.3899999999999998E-2</v>
      </c>
      <c r="N120" s="150">
        <v>5.4399999999999997E-2</v>
      </c>
      <c r="O120" s="73">
        <v>0.06</v>
      </c>
      <c r="P120" s="73">
        <v>0.06</v>
      </c>
      <c r="Q120" s="73">
        <v>0.06</v>
      </c>
      <c r="R120" s="73">
        <v>0.06</v>
      </c>
    </row>
    <row r="121" spans="1:51" ht="17">
      <c r="A121" s="15" t="s">
        <v>37</v>
      </c>
      <c r="B121" s="15"/>
      <c r="C121" s="15">
        <f>$B$5 + 0</f>
        <v>2015</v>
      </c>
      <c r="D121" s="15">
        <f>$B$5 + 1</f>
        <v>2016</v>
      </c>
      <c r="E121" s="15">
        <f>$B$5 + 2</f>
        <v>2017</v>
      </c>
      <c r="F121" s="15">
        <f>$B$5 + 3</f>
        <v>2018</v>
      </c>
      <c r="G121" s="15">
        <f>$B$5 + 4</f>
        <v>2019</v>
      </c>
      <c r="H121" s="15">
        <f>$B$5 + 5</f>
        <v>2020</v>
      </c>
      <c r="I121" s="15">
        <f>$B$5 + 6</f>
        <v>2021</v>
      </c>
      <c r="J121" s="15">
        <f>$B$5 + 7</f>
        <v>2022</v>
      </c>
      <c r="K121" s="15">
        <f>$B$5 + 8</f>
        <v>2023</v>
      </c>
      <c r="L121" s="15">
        <f>$B$5 + 9</f>
        <v>2024</v>
      </c>
      <c r="M121" s="15">
        <f>$B$5 + 10</f>
        <v>2025</v>
      </c>
      <c r="N121" s="15">
        <f>$B$5 + 11</f>
        <v>2026</v>
      </c>
      <c r="O121" s="15">
        <f>$B$5 + 12</f>
        <v>2027</v>
      </c>
      <c r="P121" s="15">
        <f>$B$5 + 13</f>
        <v>2028</v>
      </c>
      <c r="Q121" s="15">
        <f>$B$5 + 14</f>
        <v>2029</v>
      </c>
      <c r="R121" s="15">
        <f>$B$5 + 15</f>
        <v>2030</v>
      </c>
      <c r="S121" s="15">
        <f>$B$5 + 16</f>
        <v>2031</v>
      </c>
      <c r="T121" s="15">
        <f>$B$5 + 17</f>
        <v>2032</v>
      </c>
      <c r="U121" s="15">
        <f>$B$5 + 18</f>
        <v>2033</v>
      </c>
      <c r="V121" s="15">
        <f>$B$5 + 19</f>
        <v>2034</v>
      </c>
      <c r="W121" s="15">
        <f>$B$5 + 20</f>
        <v>2035</v>
      </c>
      <c r="X121" s="15">
        <f>$B$5 + 21</f>
        <v>2036</v>
      </c>
      <c r="Y121" s="15">
        <f>$B$5 + 22</f>
        <v>2037</v>
      </c>
      <c r="Z121" s="15">
        <f>$B$5 + 23</f>
        <v>2038</v>
      </c>
      <c r="AA121" s="15">
        <f>$B$5 + 24</f>
        <v>2039</v>
      </c>
      <c r="AB121" s="15">
        <f>$B$5 + 25</f>
        <v>2040</v>
      </c>
      <c r="AC121" s="15">
        <f>$B$5 + 26</f>
        <v>2041</v>
      </c>
      <c r="AD121" s="15">
        <f>$B$5 + 27</f>
        <v>2042</v>
      </c>
      <c r="AE121" s="15">
        <f>$B$5 + 28</f>
        <v>2043</v>
      </c>
      <c r="AF121" s="15">
        <f>$B$5 + 29</f>
        <v>2044</v>
      </c>
      <c r="AG121" s="15">
        <f>$B$5 + 30</f>
        <v>2045</v>
      </c>
      <c r="AH121" s="15">
        <f>$B$5 + 31</f>
        <v>2046</v>
      </c>
      <c r="AI121" s="15">
        <f>$B$5 + 32</f>
        <v>2047</v>
      </c>
      <c r="AJ121" s="15">
        <f>$B$5 + 33</f>
        <v>2048</v>
      </c>
      <c r="AK121" s="15">
        <f>$B$5 + 34</f>
        <v>2049</v>
      </c>
      <c r="AL121" s="50"/>
      <c r="AM121" s="50"/>
      <c r="AN121" s="50"/>
      <c r="AO121" s="50"/>
      <c r="AP121" s="50"/>
      <c r="AQ121" s="50"/>
      <c r="AR121" s="50"/>
      <c r="AS121" s="50"/>
      <c r="AT121" s="50"/>
      <c r="AU121" s="50"/>
      <c r="AV121" s="50"/>
      <c r="AW121" s="50"/>
      <c r="AX121" s="50"/>
      <c r="AY121" s="50"/>
    </row>
    <row r="122" spans="1:51" s="37" customFormat="1">
      <c r="A122" s="37" t="s">
        <v>2562</v>
      </c>
      <c r="C122" s="96">
        <v>1</v>
      </c>
      <c r="D122" s="96">
        <v>2</v>
      </c>
      <c r="E122" s="96">
        <v>3</v>
      </c>
      <c r="F122" s="96">
        <v>4</v>
      </c>
      <c r="G122" s="96">
        <v>5</v>
      </c>
      <c r="H122" s="96">
        <v>6</v>
      </c>
      <c r="I122" s="96">
        <v>7</v>
      </c>
      <c r="J122" s="96">
        <v>8</v>
      </c>
      <c r="K122" s="96">
        <v>9</v>
      </c>
      <c r="L122" s="96">
        <v>10</v>
      </c>
      <c r="M122" s="96">
        <v>11</v>
      </c>
      <c r="N122" s="96">
        <v>12</v>
      </c>
      <c r="O122" s="96">
        <v>13</v>
      </c>
      <c r="P122" s="96">
        <v>14</v>
      </c>
      <c r="Q122" s="96">
        <v>15</v>
      </c>
      <c r="R122" s="96">
        <v>16</v>
      </c>
      <c r="S122" s="96">
        <v>17</v>
      </c>
      <c r="T122" s="96">
        <v>18</v>
      </c>
      <c r="U122" s="96">
        <v>19</v>
      </c>
      <c r="V122" s="96">
        <v>20</v>
      </c>
      <c r="W122" s="96">
        <v>21</v>
      </c>
      <c r="X122" s="96">
        <v>22</v>
      </c>
      <c r="Y122" s="96">
        <v>23</v>
      </c>
      <c r="Z122" s="96">
        <v>24</v>
      </c>
      <c r="AA122" s="96">
        <v>25</v>
      </c>
      <c r="AB122" s="96">
        <v>26</v>
      </c>
      <c r="AC122" s="96">
        <v>27</v>
      </c>
      <c r="AD122" s="96">
        <v>28</v>
      </c>
      <c r="AE122" s="96">
        <v>29</v>
      </c>
      <c r="AF122" s="96">
        <v>30</v>
      </c>
      <c r="AG122" s="96">
        <v>31</v>
      </c>
      <c r="AH122" s="96">
        <v>32</v>
      </c>
      <c r="AI122" s="96">
        <v>33</v>
      </c>
      <c r="AJ122" s="96">
        <v>34</v>
      </c>
      <c r="AK122" s="96">
        <v>35</v>
      </c>
    </row>
    <row r="123" spans="1:51" s="37" customFormat="1">
      <c r="A123" s="37" t="s">
        <v>207</v>
      </c>
      <c r="C123" s="37">
        <f>B101</f>
        <v>0</v>
      </c>
      <c r="D123" s="37">
        <f>C129</f>
        <v>0</v>
      </c>
      <c r="E123" s="37">
        <f t="shared" ref="E123:AK123" si="128">D129</f>
        <v>0</v>
      </c>
      <c r="F123" s="37">
        <f t="shared" si="128"/>
        <v>0</v>
      </c>
      <c r="G123" s="37">
        <f t="shared" si="128"/>
        <v>0</v>
      </c>
      <c r="H123" s="37">
        <f t="shared" si="128"/>
        <v>892852.37</v>
      </c>
      <c r="I123" s="37">
        <f t="shared" si="128"/>
        <v>872968.04</v>
      </c>
      <c r="J123" s="37">
        <f t="shared" si="128"/>
        <v>835062.74</v>
      </c>
      <c r="K123" s="37">
        <f t="shared" si="128"/>
        <v>807792.75</v>
      </c>
      <c r="L123" s="37">
        <f t="shared" si="128"/>
        <v>783378.36</v>
      </c>
      <c r="M123" s="37">
        <f t="shared" si="128"/>
        <v>759431.52</v>
      </c>
      <c r="N123" s="37">
        <f t="shared" si="128"/>
        <v>732934.8</v>
      </c>
      <c r="O123" s="37">
        <f t="shared" si="128"/>
        <v>708743.85615836247</v>
      </c>
      <c r="P123" s="37">
        <f t="shared" si="128"/>
        <v>683152.25666829408</v>
      </c>
      <c r="Q123" s="37">
        <f t="shared" si="128"/>
        <v>656078.90356775071</v>
      </c>
      <c r="R123" s="37">
        <f t="shared" si="128"/>
        <v>627438.00332268595</v>
      </c>
      <c r="S123" s="37">
        <f t="shared" si="128"/>
        <v>597138.79495343193</v>
      </c>
      <c r="T123" s="37">
        <f t="shared" si="128"/>
        <v>565085.26241959806</v>
      </c>
      <c r="U123" s="37">
        <f t="shared" si="128"/>
        <v>531175.83035205526</v>
      </c>
      <c r="V123" s="37">
        <f t="shared" si="128"/>
        <v>495303.0421678017</v>
      </c>
      <c r="W123" s="37">
        <f t="shared" si="128"/>
        <v>457353.21954767988</v>
      </c>
      <c r="X123" s="37">
        <f t="shared" si="128"/>
        <v>417206.10219785298</v>
      </c>
      <c r="Y123" s="37">
        <f t="shared" si="128"/>
        <v>374734.46675347112</v>
      </c>
      <c r="Z123" s="37">
        <f t="shared" si="128"/>
        <v>329803.72361685953</v>
      </c>
      <c r="AA123" s="37">
        <f t="shared" si="128"/>
        <v>282271.49045263813</v>
      </c>
      <c r="AB123" s="37">
        <f t="shared" si="128"/>
        <v>231987.14098820835</v>
      </c>
      <c r="AC123" s="37">
        <f t="shared" si="128"/>
        <v>178791.32768978807</v>
      </c>
      <c r="AD123" s="37">
        <f t="shared" si="128"/>
        <v>122515.47680138926</v>
      </c>
      <c r="AE123" s="37">
        <f t="shared" si="128"/>
        <v>62981.254146552157</v>
      </c>
      <c r="AF123" s="37">
        <f t="shared" si="128"/>
        <v>0</v>
      </c>
      <c r="AG123" s="37">
        <f t="shared" si="128"/>
        <v>0</v>
      </c>
      <c r="AH123" s="37">
        <f t="shared" si="128"/>
        <v>0</v>
      </c>
      <c r="AI123" s="37">
        <f t="shared" si="128"/>
        <v>0</v>
      </c>
      <c r="AJ123" s="37">
        <f t="shared" si="128"/>
        <v>0</v>
      </c>
      <c r="AK123" s="37">
        <f t="shared" si="128"/>
        <v>0</v>
      </c>
    </row>
    <row r="124" spans="1:51" s="69" customFormat="1">
      <c r="A124" s="69" t="s">
        <v>2555</v>
      </c>
      <c r="C124" s="69" t="str">
        <f t="shared" ref="C124:F124" si="129">IF(C121&lt;$B$104,"IO","P&amp;I")</f>
        <v>P&amp;I</v>
      </c>
      <c r="D124" s="69" t="str">
        <f t="shared" si="129"/>
        <v>P&amp;I</v>
      </c>
      <c r="E124" s="69" t="str">
        <f t="shared" si="129"/>
        <v>P&amp;I</v>
      </c>
      <c r="F124" s="69" t="str">
        <f t="shared" si="129"/>
        <v>P&amp;I</v>
      </c>
      <c r="G124" s="69" t="str">
        <f>IF(G121&lt;$B$104,"IO","P&amp;I")</f>
        <v>P&amp;I</v>
      </c>
      <c r="H124" s="69" t="str">
        <f t="shared" ref="H124:AK124" si="130">IF(H121&lt;$B$104,"IO","P&amp;I")</f>
        <v>P&amp;I</v>
      </c>
      <c r="I124" s="69" t="str">
        <f t="shared" si="130"/>
        <v>P&amp;I</v>
      </c>
      <c r="J124" s="69" t="str">
        <f t="shared" si="130"/>
        <v>P&amp;I</v>
      </c>
      <c r="K124" s="69" t="str">
        <f t="shared" si="130"/>
        <v>P&amp;I</v>
      </c>
      <c r="L124" s="69" t="str">
        <f t="shared" si="130"/>
        <v>P&amp;I</v>
      </c>
      <c r="M124" s="69" t="str">
        <f t="shared" si="130"/>
        <v>P&amp;I</v>
      </c>
      <c r="N124" s="69" t="str">
        <f t="shared" si="130"/>
        <v>P&amp;I</v>
      </c>
      <c r="O124" s="69" t="str">
        <f t="shared" si="130"/>
        <v>P&amp;I</v>
      </c>
      <c r="P124" s="69" t="str">
        <f t="shared" si="130"/>
        <v>P&amp;I</v>
      </c>
      <c r="Q124" s="69" t="str">
        <f t="shared" si="130"/>
        <v>P&amp;I</v>
      </c>
      <c r="R124" s="69" t="str">
        <f t="shared" si="130"/>
        <v>P&amp;I</v>
      </c>
      <c r="S124" s="69" t="str">
        <f t="shared" si="130"/>
        <v>P&amp;I</v>
      </c>
      <c r="T124" s="69" t="str">
        <f t="shared" si="130"/>
        <v>P&amp;I</v>
      </c>
      <c r="U124" s="69" t="str">
        <f t="shared" si="130"/>
        <v>P&amp;I</v>
      </c>
      <c r="V124" s="69" t="str">
        <f t="shared" si="130"/>
        <v>P&amp;I</v>
      </c>
      <c r="W124" s="69" t="str">
        <f t="shared" si="130"/>
        <v>P&amp;I</v>
      </c>
      <c r="X124" s="69" t="str">
        <f t="shared" si="130"/>
        <v>P&amp;I</v>
      </c>
      <c r="Y124" s="69" t="str">
        <f t="shared" si="130"/>
        <v>P&amp;I</v>
      </c>
      <c r="Z124" s="69" t="str">
        <f t="shared" si="130"/>
        <v>P&amp;I</v>
      </c>
      <c r="AA124" s="69" t="str">
        <f t="shared" si="130"/>
        <v>P&amp;I</v>
      </c>
      <c r="AB124" s="69" t="str">
        <f t="shared" si="130"/>
        <v>P&amp;I</v>
      </c>
      <c r="AC124" s="69" t="str">
        <f t="shared" si="130"/>
        <v>P&amp;I</v>
      </c>
      <c r="AD124" s="69" t="str">
        <f t="shared" si="130"/>
        <v>P&amp;I</v>
      </c>
      <c r="AE124" s="69" t="str">
        <f t="shared" si="130"/>
        <v>P&amp;I</v>
      </c>
      <c r="AF124" s="69" t="str">
        <f t="shared" si="130"/>
        <v>P&amp;I</v>
      </c>
      <c r="AG124" s="69" t="str">
        <f t="shared" si="130"/>
        <v>P&amp;I</v>
      </c>
      <c r="AH124" s="69" t="str">
        <f t="shared" si="130"/>
        <v>P&amp;I</v>
      </c>
      <c r="AI124" s="69" t="str">
        <f t="shared" si="130"/>
        <v>P&amp;I</v>
      </c>
      <c r="AJ124" s="69" t="str">
        <f t="shared" si="130"/>
        <v>P&amp;I</v>
      </c>
      <c r="AK124" s="69" t="str">
        <f t="shared" si="130"/>
        <v>P&amp;I</v>
      </c>
    </row>
    <row r="125" spans="1:51" s="70" customFormat="1">
      <c r="A125" s="70" t="s">
        <v>2556</v>
      </c>
      <c r="G125" s="70">
        <f>MAX(0,$B$105-(G121-$B$103))</f>
        <v>25</v>
      </c>
      <c r="H125" s="70">
        <f>MAX(0,$B$105-(H121-$B$103))</f>
        <v>24</v>
      </c>
      <c r="I125" s="70">
        <f t="shared" ref="I125:AF125" si="131">MAX(0,$B$105-(I121-$B$103))</f>
        <v>23</v>
      </c>
      <c r="J125" s="70">
        <f t="shared" si="131"/>
        <v>22</v>
      </c>
      <c r="K125" s="70">
        <f t="shared" si="131"/>
        <v>21</v>
      </c>
      <c r="L125" s="70">
        <f t="shared" si="131"/>
        <v>20</v>
      </c>
      <c r="M125" s="70">
        <f t="shared" si="131"/>
        <v>19</v>
      </c>
      <c r="N125" s="70">
        <f t="shared" si="131"/>
        <v>18</v>
      </c>
      <c r="O125" s="70">
        <f t="shared" si="131"/>
        <v>17</v>
      </c>
      <c r="P125" s="70">
        <f t="shared" si="131"/>
        <v>16</v>
      </c>
      <c r="Q125" s="70">
        <f t="shared" si="131"/>
        <v>15</v>
      </c>
      <c r="R125" s="70">
        <f t="shared" si="131"/>
        <v>14</v>
      </c>
      <c r="S125" s="70">
        <f t="shared" si="131"/>
        <v>13</v>
      </c>
      <c r="T125" s="70">
        <f t="shared" si="131"/>
        <v>12</v>
      </c>
      <c r="U125" s="70">
        <f t="shared" si="131"/>
        <v>11</v>
      </c>
      <c r="V125" s="70">
        <f t="shared" si="131"/>
        <v>10</v>
      </c>
      <c r="W125" s="70">
        <f t="shared" si="131"/>
        <v>9</v>
      </c>
      <c r="X125" s="70">
        <f t="shared" si="131"/>
        <v>8</v>
      </c>
      <c r="Y125" s="70">
        <f t="shared" si="131"/>
        <v>7</v>
      </c>
      <c r="Z125" s="70">
        <f t="shared" si="131"/>
        <v>6</v>
      </c>
      <c r="AA125" s="70">
        <f t="shared" si="131"/>
        <v>5</v>
      </c>
      <c r="AB125" s="70">
        <f t="shared" si="131"/>
        <v>4</v>
      </c>
      <c r="AC125" s="70">
        <f t="shared" si="131"/>
        <v>3</v>
      </c>
      <c r="AD125" s="70">
        <f t="shared" si="131"/>
        <v>2</v>
      </c>
      <c r="AE125" s="70">
        <f t="shared" si="131"/>
        <v>1</v>
      </c>
      <c r="AF125" s="70">
        <f t="shared" si="131"/>
        <v>0</v>
      </c>
      <c r="AG125" s="70">
        <f t="shared" ref="AG125:AK125" si="132">MAX(0,$B$41-(AG121-$B$39))</f>
        <v>0</v>
      </c>
      <c r="AH125" s="70">
        <f t="shared" si="132"/>
        <v>0</v>
      </c>
      <c r="AI125" s="70">
        <f t="shared" si="132"/>
        <v>0</v>
      </c>
      <c r="AJ125" s="70">
        <f t="shared" si="132"/>
        <v>0</v>
      </c>
      <c r="AK125" s="70">
        <f t="shared" si="132"/>
        <v>0</v>
      </c>
    </row>
    <row r="126" spans="1:51" s="37" customFormat="1">
      <c r="A126" s="37" t="s">
        <v>2557</v>
      </c>
      <c r="C126" s="37">
        <f>C123*$B$38</f>
        <v>0</v>
      </c>
      <c r="D126" s="37">
        <f t="shared" ref="D126:F126" si="133">D123*$B$38</f>
        <v>0</v>
      </c>
      <c r="E126" s="37">
        <f t="shared" si="133"/>
        <v>0</v>
      </c>
      <c r="F126" s="37">
        <f t="shared" si="133"/>
        <v>0</v>
      </c>
      <c r="G126" s="37">
        <v>13560.39</v>
      </c>
      <c r="H126" s="37">
        <f>2746.79+2565.74+2333.46+1955.92+2017.1+1949.59+2013.67+2011.34+1947.6+2008.82+1933.75+1881.33</f>
        <v>25365.11</v>
      </c>
      <c r="I126" s="37">
        <f>1868.47+1685.13+1850.87+1784.94+1839.78+1775.93+1830.51+1825.92+1762.74+1817.57+1401.58</f>
        <v>19443.440000000002</v>
      </c>
      <c r="J126" s="37">
        <f>1397.91+1259.76+1391.18+1343.17+1384.58+1336.78+1375.06+1371.09+1322.67+1362.32+1315.17+1355.6</f>
        <v>16215.29</v>
      </c>
      <c r="K126" s="37">
        <f>1352.28+1218.48+1345.41+1298.57+1331.46+1285.29+1324.67+1321.3+1275.43+1314.47+1269.51+1314.82</f>
        <v>15651.689999999999</v>
      </c>
      <c r="L126" s="37">
        <f>1307.85+1220.35+1300.92+1255.69+1294.05+1249.03+1287.15+1283.73+1239.02+1276.79+3147.14+4093.9</f>
        <v>19955.62</v>
      </c>
      <c r="M126" s="37">
        <f>4074.04+3626+387.69+3598.57+3690.06+2860.95+2222.75+2224.04+2130.72+2161.41+1997.62+2044.71</f>
        <v>31018.559999999998</v>
      </c>
      <c r="N126" s="37">
        <f t="shared" ref="N126:AA126" si="134">N123*$B$38</f>
        <v>42436.924920000005</v>
      </c>
      <c r="O126" s="37">
        <f t="shared" si="134"/>
        <v>41036.269271569188</v>
      </c>
      <c r="P126" s="37">
        <f t="shared" si="134"/>
        <v>39554.515661094229</v>
      </c>
      <c r="Q126" s="37">
        <f t="shared" si="134"/>
        <v>37986.968516572764</v>
      </c>
      <c r="R126" s="37">
        <f t="shared" si="134"/>
        <v>36328.660392383514</v>
      </c>
      <c r="S126" s="37">
        <f t="shared" si="134"/>
        <v>34574.336227803709</v>
      </c>
      <c r="T126" s="37">
        <f t="shared" si="134"/>
        <v>32718.436694094729</v>
      </c>
      <c r="U126" s="37">
        <f t="shared" si="134"/>
        <v>30755.080577384</v>
      </c>
      <c r="V126" s="37">
        <f t="shared" si="134"/>
        <v>28678.046141515719</v>
      </c>
      <c r="W126" s="37">
        <f t="shared" si="134"/>
        <v>26480.751411810666</v>
      </c>
      <c r="X126" s="37">
        <f t="shared" si="134"/>
        <v>24156.233317255686</v>
      </c>
      <c r="Y126" s="37">
        <f t="shared" si="134"/>
        <v>21697.125625025979</v>
      </c>
      <c r="Z126" s="37">
        <f t="shared" si="134"/>
        <v>19095.635597416167</v>
      </c>
      <c r="AA126" s="37">
        <f t="shared" si="134"/>
        <v>16343.519297207748</v>
      </c>
      <c r="AB126" s="37">
        <f>AB123*$B$38</f>
        <v>13432.055463217264</v>
      </c>
      <c r="AC126" s="37">
        <f t="shared" ref="AC126:AK126" si="135">AC123*$B$38</f>
        <v>10352.017873238728</v>
      </c>
      <c r="AD126" s="37">
        <f t="shared" si="135"/>
        <v>7093.6461068004382</v>
      </c>
      <c r="AE126" s="37">
        <f t="shared" si="135"/>
        <v>3646.6146150853701</v>
      </c>
      <c r="AF126" s="37">
        <f t="shared" si="135"/>
        <v>0</v>
      </c>
      <c r="AG126" s="37">
        <f t="shared" si="135"/>
        <v>0</v>
      </c>
      <c r="AH126" s="37">
        <f t="shared" si="135"/>
        <v>0</v>
      </c>
      <c r="AI126" s="37">
        <f t="shared" si="135"/>
        <v>0</v>
      </c>
      <c r="AJ126" s="37">
        <f t="shared" si="135"/>
        <v>0</v>
      </c>
      <c r="AK126" s="37">
        <f t="shared" si="135"/>
        <v>0</v>
      </c>
    </row>
    <row r="127" spans="1:51" s="37" customFormat="1">
      <c r="A127" s="37" t="s">
        <v>2558</v>
      </c>
      <c r="C127" s="37">
        <f>IF(C125=0,0,IF(C124="IO",C126,PMT($B$4,C125,-C123)))</f>
        <v>0</v>
      </c>
      <c r="D127" s="37">
        <f t="shared" ref="D127" si="136">IF(D125=0,0,IF(D124="IO",D126,PMT($B$4,D125,-D123)))</f>
        <v>0</v>
      </c>
      <c r="E127" s="37">
        <f t="shared" ref="E127" si="137">IF(E125=0,0,IF(E124="IO",E126,PMT($B$4,E125,-E123)))</f>
        <v>0</v>
      </c>
      <c r="F127" s="37">
        <f t="shared" ref="F127" si="138">IF(F125=0,0,IF(F124="IO",F126,PMT($B$4,F125,-F123)))</f>
        <v>0</v>
      </c>
      <c r="G127" s="37">
        <f>4173.15+4182.61+4117.42+4117.42+4117.42</f>
        <v>20708.019999999997</v>
      </c>
      <c r="H127" s="37">
        <f>4117.42+4117.42+3677.59+3677.59+3677.59+3677.59+3677.59+3677.59+400+3677.59+3677.59+3677.59+3677.59</f>
        <v>45410.739999999991</v>
      </c>
      <c r="I127" s="37">
        <f>3596.94+3596.94+463.17+1800+1800+1800+1800+1800+1800+1800+1800+1800+1800+1800+1800+1800+1800+1800+1800+1800+10000+1000+1000+752.85+3338.84+539.5+20+580.8+3338.84</f>
        <v>58827.880000000005</v>
      </c>
      <c r="J127" s="37">
        <f>3338.84+3338.84+3338.84+3338.84+3338.84+3338.84+1143.08+1000+3338.84+3338.84+1000+276.12+3338.84+3338.84+3338.84+3338.84</f>
        <v>43485.279999999999</v>
      </c>
      <c r="K127" s="37">
        <f>3338.84+3338.84+3338.84+4300+3338.84+3338.84+3338.84+3338.84+3338.84+3338.84+3338.84-4300+3338.84+3338.84</f>
        <v>40066.079999999987</v>
      </c>
      <c r="L127" s="37">
        <f>3338.84+3338.84+3338.84+3338.84+3338.84+3338.84+3338.84+3338.84+3338.84+3338.84+1918.19+5257.03</f>
        <v>40563.620000000003</v>
      </c>
      <c r="M127" s="37">
        <f>5257.03+5257.03+5257.03+5257.03+5257.03+5257.03+5257.03+4880.65+4880.65+4880.65+4757.06+4757.06</f>
        <v>60955.28</v>
      </c>
      <c r="N127" s="37">
        <f t="shared" ref="N127" si="139">IF(N125=0,0,IF(N124="IO",N126,PMT($B$4,N125,-N123)))</f>
        <v>66627.868761637554</v>
      </c>
      <c r="O127" s="37">
        <f t="shared" ref="O127" si="140">IF(O125=0,0,IF(O124="IO",O126,PMT($B$4,O125,-O123)))</f>
        <v>66627.868761637554</v>
      </c>
      <c r="P127" s="37">
        <f t="shared" ref="P127" si="141">IF(P125=0,0,IF(P124="IO",P126,PMT($B$4,P125,-P123)))</f>
        <v>66627.868761637554</v>
      </c>
      <c r="Q127" s="37">
        <f t="shared" ref="Q127" si="142">IF(Q125=0,0,IF(Q124="IO",Q126,PMT($B$4,Q125,-Q123)))</f>
        <v>66627.868761637554</v>
      </c>
      <c r="R127" s="37">
        <f t="shared" ref="R127" si="143">IF(R125=0,0,IF(R124="IO",R126,PMT($B$4,R125,-R123)))</f>
        <v>66627.868761637554</v>
      </c>
      <c r="S127" s="37">
        <f t="shared" ref="S127" si="144">IF(S125=0,0,IF(S124="IO",S126,PMT($B$4,S125,-S123)))</f>
        <v>66627.868761637554</v>
      </c>
      <c r="T127" s="37">
        <f t="shared" ref="T127" si="145">IF(T125=0,0,IF(T124="IO",T126,PMT($B$4,T125,-T123)))</f>
        <v>66627.868761637539</v>
      </c>
      <c r="U127" s="37">
        <f t="shared" ref="U127" si="146">IF(U125=0,0,IF(U124="IO",U126,PMT($B$4,U125,-U123)))</f>
        <v>66627.868761637554</v>
      </c>
      <c r="V127" s="37">
        <f t="shared" ref="V127" si="147">IF(V125=0,0,IF(V124="IO",V126,PMT($B$4,V125,-V123)))</f>
        <v>66627.868761637554</v>
      </c>
      <c r="W127" s="37">
        <f t="shared" ref="W127" si="148">IF(W125=0,0,IF(W124="IO",W126,PMT($B$4,W125,-W123)))</f>
        <v>66627.868761637554</v>
      </c>
      <c r="X127" s="37">
        <f t="shared" ref="X127" si="149">IF(X125=0,0,IF(X124="IO",X126,PMT($B$4,X125,-X123)))</f>
        <v>66627.868761637554</v>
      </c>
      <c r="Y127" s="37">
        <f t="shared" ref="Y127" si="150">IF(Y125=0,0,IF(Y124="IO",Y126,PMT($B$4,Y125,-Y123)))</f>
        <v>66627.868761637554</v>
      </c>
      <c r="Z127" s="37">
        <f t="shared" ref="Z127" si="151">IF(Z125=0,0,IF(Z124="IO",Z126,PMT($B$4,Z125,-Z123)))</f>
        <v>66627.868761637539</v>
      </c>
      <c r="AA127" s="37">
        <f t="shared" ref="AA127" si="152">IF(AA125=0,0,IF(AA124="IO",AA126,PMT($B$4,AA125,-AA123)))</f>
        <v>66627.868761637525</v>
      </c>
      <c r="AB127" s="37">
        <f t="shared" ref="AB127" si="153">IF(AB125=0,0,IF(AB124="IO",AB126,PMT($B$4,AB125,-AB123)))</f>
        <v>66627.868761637554</v>
      </c>
      <c r="AC127" s="37">
        <f t="shared" ref="AC127" si="154">IF(AC125=0,0,IF(AC124="IO",AC126,PMT($B$4,AC125,-AC123)))</f>
        <v>66627.868761637539</v>
      </c>
      <c r="AD127" s="37">
        <f t="shared" ref="AD127" si="155">IF(AD125=0,0,IF(AD124="IO",AD126,PMT($B$4,AD125,-AD123)))</f>
        <v>66627.868761637539</v>
      </c>
      <c r="AE127" s="37">
        <f t="shared" ref="AE127" si="156">IF(AE125=0,0,IF(AE124="IO",AE126,PMT($B$4,AE125,-AE123)))</f>
        <v>66627.868761637539</v>
      </c>
      <c r="AF127" s="37">
        <f t="shared" ref="AF127" si="157">IF(AF125=0,0,IF(AF124="IO",AF126,PMT($B$4,AF125,-AF123)))</f>
        <v>0</v>
      </c>
      <c r="AG127" s="37">
        <f t="shared" ref="AG127" si="158">IF(AG125=0,0,IF(AG124="IO",AG126,PMT($B$4,AG125,-AG123)))</f>
        <v>0</v>
      </c>
      <c r="AH127" s="37">
        <f t="shared" ref="AH127" si="159">IF(AH125=0,0,IF(AH124="IO",AH126,PMT($B$4,AH125,-AH123)))</f>
        <v>0</v>
      </c>
      <c r="AI127" s="37">
        <f t="shared" ref="AI127" si="160">IF(AI125=0,0,IF(AI124="IO",AI126,PMT($B$4,AI125,-AI123)))</f>
        <v>0</v>
      </c>
      <c r="AJ127" s="37">
        <f t="shared" ref="AJ127" si="161">IF(AJ125=0,0,IF(AJ124="IO",AJ126,PMT($B$4,AJ125,-AJ123)))</f>
        <v>0</v>
      </c>
      <c r="AK127" s="37">
        <f t="shared" ref="AK127" si="162">IF(AK125=0,0,IF(AK124="IO",AK126,PMT($B$4,AK125,-AK123)))</f>
        <v>0</v>
      </c>
    </row>
    <row r="128" spans="1:51" s="37" customFormat="1">
      <c r="A128" s="37" t="s">
        <v>2559</v>
      </c>
      <c r="C128" s="37">
        <f>MAX(0,C127-C126)</f>
        <v>0</v>
      </c>
      <c r="D128" s="37">
        <f t="shared" ref="D128" si="163">MAX(0,D127-D126)</f>
        <v>0</v>
      </c>
      <c r="E128" s="37">
        <f t="shared" ref="E128" si="164">MAX(0,E127-E126)</f>
        <v>0</v>
      </c>
      <c r="F128" s="37">
        <f t="shared" ref="F128" si="165">MAX(0,F127-F126)</f>
        <v>0</v>
      </c>
      <c r="G128" s="37">
        <f>MAX(0,G127-G126)</f>
        <v>7147.6299999999974</v>
      </c>
      <c r="H128" s="37">
        <f>MAX(0,H127-H126)</f>
        <v>20045.62999999999</v>
      </c>
      <c r="I128" s="37">
        <f t="shared" ref="I128" si="166">MAX(0,I127-I126)</f>
        <v>39384.44</v>
      </c>
      <c r="J128" s="37">
        <f t="shared" ref="J128" si="167">MAX(0,J127-J126)</f>
        <v>27269.989999999998</v>
      </c>
      <c r="K128" s="37">
        <f>MAX(0,K127-K126)</f>
        <v>24414.389999999989</v>
      </c>
      <c r="L128" s="37">
        <f t="shared" ref="L128" si="168">MAX(0,L127-L126)</f>
        <v>20608.000000000004</v>
      </c>
      <c r="M128" s="37">
        <f>MAX(0,M127-M126)</f>
        <v>29936.720000000001</v>
      </c>
      <c r="N128" s="37">
        <f t="shared" ref="N128" si="169">MAX(0,N127-N126)</f>
        <v>24190.943841637549</v>
      </c>
      <c r="O128" s="37">
        <f t="shared" ref="O128" si="170">MAX(0,O127-O126)</f>
        <v>25591.599490068365</v>
      </c>
      <c r="P128" s="37">
        <f t="shared" ref="P128" si="171">MAX(0,P127-P126)</f>
        <v>27073.353100543325</v>
      </c>
      <c r="Q128" s="37">
        <f t="shared" ref="Q128" si="172">MAX(0,Q127-Q126)</f>
        <v>28640.900245064789</v>
      </c>
      <c r="R128" s="37">
        <f t="shared" ref="R128" si="173">MAX(0,R127-R126)</f>
        <v>30299.20836925404</v>
      </c>
      <c r="S128" s="37">
        <f t="shared" ref="S128" si="174">MAX(0,S127-S126)</f>
        <v>32053.532533833844</v>
      </c>
      <c r="T128" s="37">
        <f t="shared" ref="T128" si="175">MAX(0,T127-T126)</f>
        <v>33909.43206754281</v>
      </c>
      <c r="U128" s="37">
        <f t="shared" ref="U128" si="176">MAX(0,U127-U126)</f>
        <v>35872.788184253557</v>
      </c>
      <c r="V128" s="37">
        <f t="shared" ref="V128" si="177">MAX(0,V127-V126)</f>
        <v>37949.822620121835</v>
      </c>
      <c r="W128" s="37">
        <f t="shared" ref="W128" si="178">MAX(0,W127-W126)</f>
        <v>40147.117349826891</v>
      </c>
      <c r="X128" s="37">
        <f t="shared" ref="X128" si="179">MAX(0,X127-X126)</f>
        <v>42471.635444381871</v>
      </c>
      <c r="Y128" s="37">
        <f t="shared" ref="Y128" si="180">MAX(0,Y127-Y126)</f>
        <v>44930.743136611578</v>
      </c>
      <c r="Z128" s="37">
        <f t="shared" ref="Z128" si="181">MAX(0,Z127-Z126)</f>
        <v>47532.233164221368</v>
      </c>
      <c r="AA128" s="37">
        <f t="shared" ref="AA128" si="182">MAX(0,AA127-AA126)</f>
        <v>50284.349464429775</v>
      </c>
      <c r="AB128" s="37">
        <f t="shared" ref="AB128" si="183">MAX(0,AB127-AB126)</f>
        <v>53195.813298420289</v>
      </c>
      <c r="AC128" s="37">
        <f t="shared" ref="AC128" si="184">MAX(0,AC127-AC126)</f>
        <v>56275.850888398811</v>
      </c>
      <c r="AD128" s="37">
        <f t="shared" ref="AD128" si="185">MAX(0,AD127-AD126)</f>
        <v>59534.222654837104</v>
      </c>
      <c r="AE128" s="37">
        <f t="shared" ref="AE128" si="186">MAX(0,AE127-AE126)</f>
        <v>62981.254146552172</v>
      </c>
      <c r="AF128" s="37">
        <f t="shared" ref="AF128" si="187">MAX(0,AF127-AF126)</f>
        <v>0</v>
      </c>
      <c r="AG128" s="37">
        <f t="shared" ref="AG128" si="188">MAX(0,AG127-AG126)</f>
        <v>0</v>
      </c>
      <c r="AH128" s="37">
        <f t="shared" ref="AH128" si="189">MAX(0,AH127-AH126)</f>
        <v>0</v>
      </c>
      <c r="AI128" s="37">
        <f t="shared" ref="AI128" si="190">MAX(0,AI127-AI126)</f>
        <v>0</v>
      </c>
      <c r="AJ128" s="37">
        <f t="shared" ref="AJ128" si="191">MAX(0,AJ127-AJ126)</f>
        <v>0</v>
      </c>
      <c r="AK128" s="37">
        <f t="shared" ref="AK128" si="192">MAX(0,AK127-AK126)</f>
        <v>0</v>
      </c>
    </row>
    <row r="129" spans="1:37" s="37" customFormat="1">
      <c r="A129" s="37" t="s">
        <v>2560</v>
      </c>
      <c r="C129" s="37">
        <f>MAX(0,C123-C128)</f>
        <v>0</v>
      </c>
      <c r="D129" s="37">
        <f t="shared" ref="D129" si="193">MAX(0,D123-D128)</f>
        <v>0</v>
      </c>
      <c r="E129" s="37">
        <f t="shared" ref="E129" si="194">MAX(0,E123-E128)</f>
        <v>0</v>
      </c>
      <c r="F129" s="37">
        <f t="shared" ref="F129" si="195">MAX(0,F123-F128)</f>
        <v>0</v>
      </c>
      <c r="G129" s="37">
        <v>892852.37</v>
      </c>
      <c r="H129" s="37">
        <v>872968.04</v>
      </c>
      <c r="I129" s="37">
        <v>835062.74</v>
      </c>
      <c r="J129" s="37">
        <f t="shared" ref="J129" si="196">MAX(0,J123-J128)</f>
        <v>807792.75</v>
      </c>
      <c r="K129" s="37">
        <f t="shared" ref="K129" si="197">MAX(0,K123-K128)</f>
        <v>783378.36</v>
      </c>
      <c r="L129" s="37">
        <v>759431.52</v>
      </c>
      <c r="M129" s="37">
        <v>732934.8</v>
      </c>
      <c r="N129" s="37">
        <f t="shared" ref="N129" si="198">MAX(0,N123-N128)</f>
        <v>708743.85615836247</v>
      </c>
      <c r="O129" s="37">
        <f t="shared" ref="O129" si="199">MAX(0,O123-O128)</f>
        <v>683152.25666829408</v>
      </c>
      <c r="P129" s="37">
        <f t="shared" ref="P129" si="200">MAX(0,P123-P128)</f>
        <v>656078.90356775071</v>
      </c>
      <c r="Q129" s="37">
        <f t="shared" ref="Q129" si="201">MAX(0,Q123-Q128)</f>
        <v>627438.00332268595</v>
      </c>
      <c r="R129" s="37">
        <f t="shared" ref="R129" si="202">MAX(0,R123-R128)</f>
        <v>597138.79495343193</v>
      </c>
      <c r="S129" s="37">
        <f t="shared" ref="S129" si="203">MAX(0,S123-S128)</f>
        <v>565085.26241959806</v>
      </c>
      <c r="T129" s="37">
        <f t="shared" ref="T129" si="204">MAX(0,T123-T128)</f>
        <v>531175.83035205526</v>
      </c>
      <c r="U129" s="37">
        <f t="shared" ref="U129" si="205">MAX(0,U123-U128)</f>
        <v>495303.0421678017</v>
      </c>
      <c r="V129" s="37">
        <f t="shared" ref="V129" si="206">MAX(0,V123-V128)</f>
        <v>457353.21954767988</v>
      </c>
      <c r="W129" s="37">
        <f t="shared" ref="W129" si="207">MAX(0,W123-W128)</f>
        <v>417206.10219785298</v>
      </c>
      <c r="X129" s="37">
        <f t="shared" ref="X129" si="208">MAX(0,X123-X128)</f>
        <v>374734.46675347112</v>
      </c>
      <c r="Y129" s="37">
        <f t="shared" ref="Y129" si="209">MAX(0,Y123-Y128)</f>
        <v>329803.72361685953</v>
      </c>
      <c r="Z129" s="37">
        <f t="shared" ref="Z129" si="210">MAX(0,Z123-Z128)</f>
        <v>282271.49045263813</v>
      </c>
      <c r="AA129" s="37">
        <f t="shared" ref="AA129" si="211">MAX(0,AA123-AA128)</f>
        <v>231987.14098820835</v>
      </c>
      <c r="AB129" s="37">
        <f t="shared" ref="AB129" si="212">MAX(0,AB123-AB128)</f>
        <v>178791.32768978807</v>
      </c>
      <c r="AC129" s="37">
        <f t="shared" ref="AC129" si="213">MAX(0,AC123-AC128)</f>
        <v>122515.47680138926</v>
      </c>
      <c r="AD129" s="37">
        <f t="shared" ref="AD129" si="214">MAX(0,AD123-AD128)</f>
        <v>62981.254146552157</v>
      </c>
      <c r="AE129" s="37">
        <f t="shared" ref="AE129" si="215">MAX(0,AE123-AE128)</f>
        <v>0</v>
      </c>
      <c r="AF129" s="37">
        <f t="shared" ref="AF129" si="216">MAX(0,AF123-AF128)</f>
        <v>0</v>
      </c>
      <c r="AG129" s="37">
        <f t="shared" ref="AG129" si="217">MAX(0,AG123-AG128)</f>
        <v>0</v>
      </c>
      <c r="AH129" s="37">
        <f t="shared" ref="AH129" si="218">MAX(0,AH123-AH128)</f>
        <v>0</v>
      </c>
      <c r="AI129" s="37">
        <f t="shared" ref="AI129" si="219">MAX(0,AI123-AI128)</f>
        <v>0</v>
      </c>
      <c r="AJ129" s="37">
        <f t="shared" ref="AJ129" si="220">MAX(0,AJ123-AJ128)</f>
        <v>0</v>
      </c>
      <c r="AK129" s="37">
        <f t="shared" ref="AK129" si="221">MAX(0,AK123-AK128)</f>
        <v>0</v>
      </c>
    </row>
    <row r="130" spans="1:37" s="37" customFormat="1"/>
    <row r="131" spans="1:37" s="37" customFormat="1">
      <c r="A131" s="37" t="s">
        <v>2568</v>
      </c>
      <c r="H131" s="37">
        <f>MAX(0, (H$123 * H$120) - H134)</f>
        <v>24374.869701</v>
      </c>
      <c r="I131" s="37">
        <f>MAX(0, (I$123 * I$120) - I134)</f>
        <v>22260.685020000001</v>
      </c>
      <c r="J131" s="37">
        <f t="shared" ref="J131:AK131" si="222">MAX(0, (J$123 * J$120) - J134)</f>
        <v>16450.735977999997</v>
      </c>
      <c r="K131" s="37">
        <f t="shared" si="222"/>
        <v>15913.517174999999</v>
      </c>
      <c r="L131" s="37">
        <f t="shared" si="222"/>
        <v>15432.553692</v>
      </c>
      <c r="M131" s="37">
        <f>1530.32+1483.18+1320.62+1391.7+1355.54+1357.02</f>
        <v>8438.3799999999992</v>
      </c>
      <c r="N131" s="37">
        <f>MAX(0, (N$123 * N$120) - N134)</f>
        <v>15232</v>
      </c>
      <c r="O131" s="37">
        <f>MAX(0, (O$123 * O$120) - O134)</f>
        <v>16799.999999999996</v>
      </c>
      <c r="P131" s="37">
        <f t="shared" ref="P131:R131" si="223">MAX(0, (P$123 * P$120) - P134)</f>
        <v>16800</v>
      </c>
      <c r="Q131" s="37">
        <f t="shared" si="223"/>
        <v>16800.000000000004</v>
      </c>
      <c r="R131" s="37">
        <f t="shared" si="223"/>
        <v>16800</v>
      </c>
      <c r="S131" s="37">
        <f t="shared" si="222"/>
        <v>0</v>
      </c>
      <c r="T131" s="37">
        <f t="shared" si="222"/>
        <v>0</v>
      </c>
      <c r="U131" s="37">
        <f t="shared" si="222"/>
        <v>0</v>
      </c>
      <c r="V131" s="37">
        <f t="shared" si="222"/>
        <v>0</v>
      </c>
      <c r="W131" s="37">
        <f t="shared" si="222"/>
        <v>0</v>
      </c>
      <c r="X131" s="37">
        <f t="shared" si="222"/>
        <v>0</v>
      </c>
      <c r="Y131" s="37">
        <f t="shared" si="222"/>
        <v>0</v>
      </c>
      <c r="Z131" s="37">
        <f t="shared" si="222"/>
        <v>0</v>
      </c>
      <c r="AA131" s="37">
        <f t="shared" si="222"/>
        <v>0</v>
      </c>
      <c r="AB131" s="37">
        <f t="shared" si="222"/>
        <v>0</v>
      </c>
      <c r="AC131" s="37">
        <f t="shared" si="222"/>
        <v>0</v>
      </c>
      <c r="AD131" s="37">
        <f t="shared" si="222"/>
        <v>0</v>
      </c>
      <c r="AE131" s="37">
        <f t="shared" si="222"/>
        <v>0</v>
      </c>
      <c r="AF131" s="37">
        <f t="shared" si="222"/>
        <v>0</v>
      </c>
      <c r="AG131" s="37">
        <f t="shared" si="222"/>
        <v>0</v>
      </c>
      <c r="AH131" s="37">
        <f t="shared" si="222"/>
        <v>0</v>
      </c>
      <c r="AI131" s="37">
        <f t="shared" si="222"/>
        <v>0</v>
      </c>
      <c r="AJ131" s="37">
        <f t="shared" si="222"/>
        <v>0</v>
      </c>
      <c r="AK131" s="37">
        <f t="shared" si="222"/>
        <v>0</v>
      </c>
    </row>
    <row r="132" spans="1:37" s="37" customFormat="1">
      <c r="A132" s="41" t="s">
        <v>2569</v>
      </c>
      <c r="C132" s="37">
        <v>0</v>
      </c>
      <c r="D132" s="37">
        <v>0</v>
      </c>
      <c r="E132" s="37">
        <v>0</v>
      </c>
      <c r="F132" s="37">
        <v>0</v>
      </c>
      <c r="G132" s="37">
        <v>0</v>
      </c>
      <c r="H132" s="37">
        <v>0</v>
      </c>
      <c r="I132" s="37">
        <v>0</v>
      </c>
      <c r="J132" s="37">
        <v>0</v>
      </c>
      <c r="K132" s="37">
        <v>0</v>
      </c>
      <c r="L132" s="37">
        <v>0</v>
      </c>
      <c r="M132" s="37">
        <v>280000</v>
      </c>
      <c r="N132" s="37">
        <f>M132</f>
        <v>280000</v>
      </c>
      <c r="O132" s="37">
        <f>N132</f>
        <v>280000</v>
      </c>
      <c r="P132" s="37">
        <f>O132</f>
        <v>280000</v>
      </c>
      <c r="Q132" s="37">
        <f t="shared" ref="Q132:R132" si="224">P132</f>
        <v>280000</v>
      </c>
      <c r="R132" s="37">
        <f t="shared" si="224"/>
        <v>280000</v>
      </c>
    </row>
    <row r="133" spans="1:37" s="37" customFormat="1">
      <c r="A133" s="41" t="s">
        <v>2570</v>
      </c>
      <c r="M133" s="37">
        <f>MAX(0, M$123 - M$132)</f>
        <v>479431.52</v>
      </c>
      <c r="N133" s="37">
        <f>MAX(0, N$123 - N$132)</f>
        <v>452934.80000000005</v>
      </c>
      <c r="O133" s="37">
        <f>MAX(0, O$123 - O$132)</f>
        <v>428743.85615836247</v>
      </c>
      <c r="P133" s="37">
        <f>MAX(0, P$123 - P$132)</f>
        <v>403152.25666829408</v>
      </c>
      <c r="Q133" s="37">
        <f t="shared" ref="Q133:R133" si="225">MAX(0, Q$123 - Q$132)</f>
        <v>376078.90356775071</v>
      </c>
      <c r="R133" s="37">
        <f t="shared" si="225"/>
        <v>347438.00332268595</v>
      </c>
    </row>
    <row r="134" spans="1:37" s="37" customFormat="1">
      <c r="A134" s="41" t="s">
        <v>2571</v>
      </c>
      <c r="C134" s="37">
        <f t="shared" ref="C134:G134" si="226">C133 * C$120</f>
        <v>0</v>
      </c>
      <c r="D134" s="37">
        <f t="shared" si="226"/>
        <v>0</v>
      </c>
      <c r="E134" s="37">
        <f t="shared" si="226"/>
        <v>0</v>
      </c>
      <c r="F134" s="37">
        <f t="shared" si="226"/>
        <v>0</v>
      </c>
      <c r="G134" s="37">
        <f t="shared" si="226"/>
        <v>0</v>
      </c>
      <c r="H134" s="37">
        <f>H133 * H$120</f>
        <v>0</v>
      </c>
      <c r="I134" s="37">
        <f t="shared" ref="I134:P134" si="227">I133 * I$120</f>
        <v>0</v>
      </c>
      <c r="J134" s="37">
        <f t="shared" si="227"/>
        <v>0</v>
      </c>
      <c r="K134" s="37">
        <f t="shared" si="227"/>
        <v>0</v>
      </c>
      <c r="L134" s="37">
        <f t="shared" si="227"/>
        <v>0</v>
      </c>
      <c r="M134" s="37">
        <f>M133 * M$120</f>
        <v>30635.674127999999</v>
      </c>
      <c r="N134" s="37">
        <f t="shared" si="227"/>
        <v>24639.653120000003</v>
      </c>
      <c r="O134" s="37">
        <f t="shared" si="227"/>
        <v>25724.631369501749</v>
      </c>
      <c r="P134" s="37">
        <f t="shared" si="227"/>
        <v>24189.135400097643</v>
      </c>
      <c r="Q134" s="37">
        <f t="shared" ref="Q134" si="228">Q133 * Q$120</f>
        <v>22564.73421406504</v>
      </c>
      <c r="R134" s="37">
        <f t="shared" ref="R134" si="229">R133 * R$120</f>
        <v>20846.280199361157</v>
      </c>
    </row>
    <row r="136" spans="1:37">
      <c r="A136" s="22" t="s">
        <v>2561</v>
      </c>
      <c r="C136" s="22">
        <f>IF(
  AND(C$21 &gt;= $B$15, C$21 &lt; $B$15 + 5),
  -$B$10 / 5,
  0
)</f>
        <v>0</v>
      </c>
      <c r="D136" s="22">
        <f t="shared" ref="D136:AK136" si="230">IF(
  AND(D$21 &gt;= $B$15, D$21 &lt; $B$15 + 5),
  -$B$10 / 5,
  0
)</f>
        <v>0</v>
      </c>
      <c r="E136" s="22">
        <f t="shared" si="230"/>
        <v>0</v>
      </c>
      <c r="F136" s="22">
        <f t="shared" si="230"/>
        <v>0</v>
      </c>
      <c r="G136" s="22">
        <f t="shared" si="230"/>
        <v>0</v>
      </c>
      <c r="H136" s="22">
        <f>IF(
  AND(H$21 &gt;= $B$15, H$21 &lt; $B$15 + 5),
  -$B$10 / 5,
  0
)</f>
        <v>-381.9</v>
      </c>
      <c r="I136" s="22">
        <f t="shared" si="230"/>
        <v>-381.9</v>
      </c>
      <c r="J136" s="22">
        <f t="shared" si="230"/>
        <v>-381.9</v>
      </c>
      <c r="K136" s="22">
        <f t="shared" si="230"/>
        <v>-381.9</v>
      </c>
      <c r="L136" s="22">
        <f t="shared" si="230"/>
        <v>-381.9</v>
      </c>
      <c r="M136" s="22">
        <f t="shared" si="230"/>
        <v>0</v>
      </c>
      <c r="N136" s="22">
        <f t="shared" si="230"/>
        <v>0</v>
      </c>
      <c r="O136" s="22">
        <f t="shared" si="230"/>
        <v>0</v>
      </c>
      <c r="P136" s="22">
        <f t="shared" si="230"/>
        <v>0</v>
      </c>
      <c r="Q136" s="22">
        <f t="shared" si="230"/>
        <v>0</v>
      </c>
      <c r="R136" s="22">
        <f t="shared" si="230"/>
        <v>0</v>
      </c>
      <c r="S136" s="22">
        <f t="shared" si="230"/>
        <v>0</v>
      </c>
      <c r="T136" s="22">
        <f t="shared" si="230"/>
        <v>0</v>
      </c>
      <c r="U136" s="22">
        <f t="shared" si="230"/>
        <v>0</v>
      </c>
      <c r="V136" s="22">
        <f t="shared" si="230"/>
        <v>0</v>
      </c>
      <c r="W136" s="22">
        <f t="shared" si="230"/>
        <v>0</v>
      </c>
      <c r="X136" s="22">
        <f t="shared" si="230"/>
        <v>0</v>
      </c>
      <c r="Y136" s="22">
        <f t="shared" si="230"/>
        <v>0</v>
      </c>
      <c r="Z136" s="22">
        <f t="shared" si="230"/>
        <v>0</v>
      </c>
      <c r="AA136" s="22">
        <f t="shared" si="230"/>
        <v>0</v>
      </c>
      <c r="AB136" s="22">
        <f t="shared" si="230"/>
        <v>0</v>
      </c>
      <c r="AC136" s="22">
        <f t="shared" si="230"/>
        <v>0</v>
      </c>
      <c r="AD136" s="22">
        <f t="shared" si="230"/>
        <v>0</v>
      </c>
      <c r="AE136" s="22">
        <f t="shared" si="230"/>
        <v>0</v>
      </c>
      <c r="AF136" s="22">
        <f t="shared" si="230"/>
        <v>0</v>
      </c>
      <c r="AG136" s="22">
        <f t="shared" si="230"/>
        <v>0</v>
      </c>
      <c r="AH136" s="22">
        <f t="shared" si="230"/>
        <v>0</v>
      </c>
      <c r="AI136" s="22">
        <f t="shared" si="230"/>
        <v>0</v>
      </c>
      <c r="AJ136" s="22">
        <f t="shared" si="230"/>
        <v>0</v>
      </c>
      <c r="AK136" s="22">
        <f t="shared" si="230"/>
        <v>0</v>
      </c>
    </row>
    <row r="138" spans="1:37" ht="9.25" customHeight="1">
      <c r="A138" s="105"/>
      <c r="B138" s="106"/>
      <c r="C138" s="106"/>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row>
    <row r="142" spans="1:37">
      <c r="H142" s="71">
        <f>H123+H126</f>
        <v>918217.48</v>
      </c>
      <c r="I142" s="71">
        <f>I123+I126</f>
        <v>892411.48</v>
      </c>
      <c r="J142" s="71">
        <f>J123+J126</f>
        <v>851278.03</v>
      </c>
    </row>
    <row r="143" spans="1:37">
      <c r="A143" s="87" t="s">
        <v>2572</v>
      </c>
      <c r="H143" s="71">
        <f>H142-H127</f>
        <v>872806.74</v>
      </c>
      <c r="I143" s="71">
        <f>I142-I127</f>
        <v>833583.6</v>
      </c>
      <c r="J143" s="71">
        <f>J142-J127</f>
        <v>807792.75</v>
      </c>
    </row>
    <row r="144" spans="1:37">
      <c r="A144" s="99" t="s">
        <v>2573</v>
      </c>
    </row>
    <row r="145" spans="1:1">
      <c r="A145" s="99" t="s">
        <v>2574</v>
      </c>
    </row>
    <row r="146" spans="1:1">
      <c r="A146" s="99" t="s">
        <v>2575</v>
      </c>
    </row>
    <row r="147" spans="1:1">
      <c r="A147" s="99" t="s">
        <v>2576</v>
      </c>
    </row>
    <row r="148" spans="1:1">
      <c r="A148" s="99" t="s">
        <v>2577</v>
      </c>
    </row>
    <row r="149" spans="1:1">
      <c r="A149" s="99" t="s">
        <v>2578</v>
      </c>
    </row>
    <row r="150" spans="1:1">
      <c r="A150" s="99" t="s">
        <v>2579</v>
      </c>
    </row>
    <row r="151" spans="1:1">
      <c r="A151" s="99" t="s">
        <v>2580</v>
      </c>
    </row>
  </sheetData>
  <mergeCells count="1">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1"/>
  <sheetViews>
    <sheetView workbookViewId="0">
      <selection sqref="A1:K1"/>
    </sheetView>
  </sheetViews>
  <sheetFormatPr baseColWidth="10" defaultColWidth="8.83203125" defaultRowHeight="15"/>
  <cols>
    <col min="1" max="1" width="22.33203125" customWidth="1"/>
    <col min="2" max="2" width="10.83203125" customWidth="1"/>
    <col min="3" max="3" width="16.83203125" customWidth="1"/>
    <col min="4" max="4" width="15.1640625" customWidth="1"/>
    <col min="5" max="5" width="15.83203125" customWidth="1"/>
    <col min="6" max="6" width="11" customWidth="1"/>
    <col min="7" max="7" width="16.83203125" customWidth="1"/>
    <col min="8" max="8" width="11.5" customWidth="1"/>
    <col min="9" max="10" width="9" customWidth="1"/>
    <col min="11" max="11" width="10.1640625" customWidth="1"/>
  </cols>
  <sheetData>
    <row r="1" spans="1:12" ht="24">
      <c r="A1" s="202" t="s">
        <v>2581</v>
      </c>
      <c r="B1" s="203"/>
      <c r="C1" s="203"/>
      <c r="D1" s="203"/>
      <c r="E1" s="203"/>
      <c r="F1" s="203"/>
      <c r="G1" s="203"/>
      <c r="H1" s="203"/>
      <c r="I1" s="203"/>
      <c r="J1" s="203"/>
      <c r="K1" s="203"/>
    </row>
    <row r="3" spans="1:12">
      <c r="A3" s="16" t="s">
        <v>2582</v>
      </c>
    </row>
    <row r="5" spans="1:12" ht="34">
      <c r="A5" s="17" t="s">
        <v>222</v>
      </c>
      <c r="B5" s="17" t="s">
        <v>2583</v>
      </c>
      <c r="C5" s="17" t="s">
        <v>2584</v>
      </c>
      <c r="D5" s="17" t="s">
        <v>2585</v>
      </c>
      <c r="E5" s="17" t="s">
        <v>2586</v>
      </c>
      <c r="F5" s="17" t="s">
        <v>2587</v>
      </c>
      <c r="G5" s="17" t="s">
        <v>2588</v>
      </c>
      <c r="H5" s="17" t="s">
        <v>2589</v>
      </c>
      <c r="I5" s="17" t="s">
        <v>2590</v>
      </c>
      <c r="J5" s="17" t="s">
        <v>172</v>
      </c>
      <c r="K5" s="17" t="s">
        <v>174</v>
      </c>
    </row>
    <row r="6" spans="1:12" s="18" customFormat="1">
      <c r="B6" s="40" t="s">
        <v>2591</v>
      </c>
      <c r="C6" s="40"/>
      <c r="D6" s="40" t="s">
        <v>2592</v>
      </c>
      <c r="E6" s="40" t="s">
        <v>2593</v>
      </c>
      <c r="F6" s="40" t="s">
        <v>2594</v>
      </c>
      <c r="G6" s="40" t="s">
        <v>2594</v>
      </c>
      <c r="H6" s="40" t="s">
        <v>2595</v>
      </c>
      <c r="I6" s="40" t="s">
        <v>2596</v>
      </c>
      <c r="J6" s="40"/>
      <c r="K6" s="40"/>
      <c r="L6" s="40" t="s">
        <v>2597</v>
      </c>
    </row>
    <row r="7" spans="1:12">
      <c r="A7" t="s">
        <v>2598</v>
      </c>
      <c r="B7" s="36">
        <v>700</v>
      </c>
      <c r="C7" s="74">
        <f>D7/Property_CF!C54</f>
        <v>6.5993902439024393E-2</v>
      </c>
      <c r="D7" s="36">
        <f>108.23*26</f>
        <v>2813.98</v>
      </c>
      <c r="E7" s="36">
        <v>500</v>
      </c>
      <c r="F7" s="36">
        <v>922.72</v>
      </c>
      <c r="G7" s="36">
        <v>1000</v>
      </c>
      <c r="H7" s="36">
        <v>1320</v>
      </c>
      <c r="I7" s="36">
        <v>750</v>
      </c>
      <c r="J7" s="36">
        <v>0</v>
      </c>
      <c r="K7" s="36">
        <f>SUM(B7:J7)</f>
        <v>8006.7659939024388</v>
      </c>
    </row>
    <row r="8" spans="1:12" s="18" customFormat="1">
      <c r="B8" s="40"/>
      <c r="C8" s="40"/>
      <c r="D8" s="40"/>
      <c r="E8" s="40"/>
      <c r="F8" s="40"/>
      <c r="G8" s="40"/>
      <c r="H8" s="40"/>
      <c r="I8" s="40"/>
      <c r="J8" s="40"/>
      <c r="K8" s="40"/>
      <c r="L8" s="40" t="s">
        <v>2597</v>
      </c>
    </row>
    <row r="9" spans="1:12">
      <c r="A9" t="s">
        <v>236</v>
      </c>
      <c r="B9" s="36">
        <v>700</v>
      </c>
      <c r="C9" s="36"/>
      <c r="D9" s="36">
        <f>6%*Properties!H8</f>
        <v>1716</v>
      </c>
      <c r="E9" s="36">
        <v>1500</v>
      </c>
      <c r="F9" s="36"/>
      <c r="G9" s="36"/>
      <c r="H9" s="36">
        <v>1900</v>
      </c>
      <c r="I9" s="36">
        <v>830</v>
      </c>
      <c r="J9" s="36">
        <v>0</v>
      </c>
      <c r="K9" s="36">
        <f>SUM(B9:J9)</f>
        <v>6646</v>
      </c>
    </row>
    <row r="10" spans="1:12" s="18" customFormat="1">
      <c r="B10" s="40"/>
      <c r="C10" s="40"/>
      <c r="D10" s="40"/>
      <c r="E10" s="40"/>
      <c r="F10" s="40"/>
      <c r="G10" s="40"/>
      <c r="H10" s="40"/>
      <c r="I10" s="40"/>
      <c r="J10" s="40"/>
      <c r="K10" s="40"/>
      <c r="L10" s="40" t="s">
        <v>2597</v>
      </c>
    </row>
    <row r="11" spans="1:12">
      <c r="A11" t="s">
        <v>238</v>
      </c>
      <c r="B11" s="36">
        <v>700</v>
      </c>
      <c r="C11" s="36"/>
      <c r="D11" s="36">
        <f>6%*Properties!H9</f>
        <v>1794</v>
      </c>
      <c r="E11" s="36">
        <v>1500</v>
      </c>
      <c r="F11" s="36"/>
      <c r="G11" s="36"/>
      <c r="H11" s="36">
        <v>2200</v>
      </c>
      <c r="I11" s="36">
        <v>890</v>
      </c>
      <c r="J11" s="36">
        <v>0</v>
      </c>
      <c r="K11" s="36">
        <f>SUM(B11:J11)</f>
        <v>7084</v>
      </c>
    </row>
  </sheetData>
  <mergeCells count="1">
    <mergeCell ref="A1:K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8"/>
  <sheetViews>
    <sheetView workbookViewId="0">
      <selection sqref="A1:I1"/>
    </sheetView>
  </sheetViews>
  <sheetFormatPr baseColWidth="10" defaultColWidth="8.83203125" defaultRowHeight="15"/>
  <cols>
    <col min="2" max="2" width="13.6640625" customWidth="1"/>
    <col min="3" max="3" width="19.5" customWidth="1"/>
    <col min="4" max="4" width="12.5" customWidth="1"/>
    <col min="5" max="5" width="26.6640625" customWidth="1"/>
    <col min="6" max="6" width="16.6640625" customWidth="1"/>
    <col min="7" max="7" width="22.6640625" customWidth="1"/>
    <col min="8" max="8" width="12.1640625" customWidth="1"/>
  </cols>
  <sheetData>
    <row r="1" spans="1:9" ht="24">
      <c r="A1" s="202" t="s">
        <v>2599</v>
      </c>
      <c r="B1" s="203"/>
      <c r="C1" s="203"/>
      <c r="D1" s="203"/>
      <c r="E1" s="203"/>
      <c r="F1" s="203"/>
      <c r="G1" s="203"/>
      <c r="H1" s="203"/>
      <c r="I1" s="203"/>
    </row>
    <row r="3" spans="1:9">
      <c r="A3" s="16" t="s">
        <v>2600</v>
      </c>
    </row>
    <row r="5" spans="1:9" ht="34">
      <c r="A5" s="17" t="s">
        <v>222</v>
      </c>
      <c r="B5" s="17" t="s">
        <v>2601</v>
      </c>
      <c r="C5" s="17" t="s">
        <v>2602</v>
      </c>
      <c r="D5" s="17" t="s">
        <v>2603</v>
      </c>
      <c r="E5" s="17" t="s">
        <v>2604</v>
      </c>
      <c r="F5" s="17" t="s">
        <v>2605</v>
      </c>
      <c r="G5" s="17" t="s">
        <v>2606</v>
      </c>
      <c r="H5" s="17" t="s">
        <v>2607</v>
      </c>
    </row>
    <row r="6" spans="1:9">
      <c r="A6" s="22" t="str">
        <f>Properties!A7</f>
        <v>IP1 - Albany St Crows Nest</v>
      </c>
      <c r="B6" s="37">
        <f>Properties!H7</f>
        <v>42640</v>
      </c>
      <c r="C6" s="37">
        <f>'Property Expenses (Detail)'!K7</f>
        <v>8006.7659939024388</v>
      </c>
      <c r="D6" s="37">
        <f>'Loan Amortisation retired'!F6</f>
        <v>27444.211490999998</v>
      </c>
      <c r="E6" s="37">
        <f>B6-C6-D6</f>
        <v>7189.0225150975639</v>
      </c>
      <c r="F6" s="22">
        <v>0.45</v>
      </c>
      <c r="G6" s="37">
        <f>-E6*F6</f>
        <v>-3235.060131793904</v>
      </c>
      <c r="H6" s="37">
        <f>E6+G6</f>
        <v>3953.9623833036599</v>
      </c>
    </row>
    <row r="7" spans="1:9">
      <c r="A7" s="22" t="str">
        <f>Properties!A9</f>
        <v>IP3</v>
      </c>
      <c r="B7" s="37">
        <f>Properties!H8</f>
        <v>28600</v>
      </c>
      <c r="C7" s="37">
        <f>'Property Expenses (Detail)'!K9</f>
        <v>6646</v>
      </c>
      <c r="D7" s="37">
        <f>'Loan Amortisation retired'!F7</f>
        <v>34740</v>
      </c>
      <c r="E7" s="37">
        <f>B7-C7-D7</f>
        <v>-12786</v>
      </c>
      <c r="F7" s="22">
        <v>0.45</v>
      </c>
      <c r="G7" s="37">
        <f>-E7*F7</f>
        <v>5753.7</v>
      </c>
      <c r="H7" s="37">
        <f>E7+G7</f>
        <v>-7032.3</v>
      </c>
    </row>
    <row r="8" spans="1:9">
      <c r="A8" s="22" t="str">
        <f>Properties!A11</f>
        <v>Capital Works Fund Plan</v>
      </c>
      <c r="B8" s="37">
        <f>Properties!H9</f>
        <v>29900</v>
      </c>
      <c r="C8" s="37">
        <f>'Property Expenses (Detail)'!K11</f>
        <v>7084</v>
      </c>
      <c r="D8" s="37">
        <f>'Loan Amortisation retired'!F8</f>
        <v>37635</v>
      </c>
      <c r="E8" s="37">
        <f>B8-C8-D8</f>
        <v>-14819</v>
      </c>
      <c r="F8" s="22">
        <v>0.45</v>
      </c>
      <c r="G8" s="37">
        <f>-E8*F8</f>
        <v>6668.55</v>
      </c>
      <c r="H8" s="37">
        <f>E8+G8</f>
        <v>-8150.45</v>
      </c>
    </row>
  </sheetData>
  <mergeCells count="1">
    <mergeCell ref="A1:I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3"/>
  <sheetViews>
    <sheetView workbookViewId="0">
      <selection sqref="A1:H1"/>
    </sheetView>
  </sheetViews>
  <sheetFormatPr baseColWidth="10" defaultColWidth="8.83203125" defaultRowHeight="15"/>
  <cols>
    <col min="1" max="1" width="24" customWidth="1"/>
    <col min="2" max="2" width="18" customWidth="1"/>
    <col min="3" max="3" width="50" customWidth="1"/>
    <col min="4" max="4" width="2" customWidth="1"/>
    <col min="5" max="8" width="18" customWidth="1"/>
  </cols>
  <sheetData>
    <row r="1" spans="1:8" ht="24">
      <c r="A1" s="202" t="s">
        <v>2608</v>
      </c>
      <c r="B1" s="203"/>
      <c r="C1" s="203"/>
      <c r="D1" s="203"/>
      <c r="E1" s="203"/>
      <c r="F1" s="203"/>
      <c r="G1" s="203"/>
      <c r="H1" s="203"/>
    </row>
    <row r="3" spans="1:8">
      <c r="A3" s="19" t="s">
        <v>2609</v>
      </c>
    </row>
    <row r="5" spans="1:8" ht="17">
      <c r="A5" s="3" t="s">
        <v>2610</v>
      </c>
      <c r="B5" s="3" t="s">
        <v>64</v>
      </c>
      <c r="C5" s="3" t="s">
        <v>14</v>
      </c>
    </row>
    <row r="6" spans="1:8">
      <c r="A6" s="4" t="s">
        <v>9</v>
      </c>
      <c r="B6" s="4">
        <f>Scenarios!K10</f>
        <v>2.5000000000000001E-2</v>
      </c>
      <c r="C6" s="4" t="s">
        <v>2611</v>
      </c>
    </row>
    <row r="7" spans="1:8">
      <c r="A7" s="4" t="s">
        <v>7</v>
      </c>
      <c r="B7" s="4">
        <f>Scenarios!K8</f>
        <v>6.5000000000000002E-2</v>
      </c>
      <c r="C7" s="4" t="s">
        <v>2611</v>
      </c>
    </row>
    <row r="8" spans="1:8">
      <c r="A8" s="4" t="s">
        <v>8</v>
      </c>
      <c r="B8" s="4">
        <f>Scenarios!K9</f>
        <v>0.11</v>
      </c>
      <c r="C8" s="4" t="s">
        <v>2611</v>
      </c>
    </row>
    <row r="9" spans="1:8">
      <c r="A9" s="4" t="s">
        <v>10</v>
      </c>
      <c r="B9" s="4">
        <f>Scenarios!K11</f>
        <v>4.4999999999999998E-2</v>
      </c>
      <c r="C9" s="4" t="s">
        <v>2611</v>
      </c>
    </row>
    <row r="10" spans="1:8">
      <c r="A10" s="4" t="s">
        <v>11</v>
      </c>
      <c r="B10" s="4">
        <f>Scenarios!K12</f>
        <v>5.0164705882352945E-2</v>
      </c>
      <c r="C10" s="4" t="s">
        <v>2611</v>
      </c>
    </row>
    <row r="11" spans="1:8">
      <c r="A11" s="4" t="s">
        <v>2612</v>
      </c>
      <c r="B11" s="4">
        <v>0.25</v>
      </c>
      <c r="C11" s="4" t="s">
        <v>2613</v>
      </c>
    </row>
    <row r="12" spans="1:8">
      <c r="A12" s="4" t="s">
        <v>2614</v>
      </c>
      <c r="B12" s="4">
        <v>2000</v>
      </c>
      <c r="C12" s="4" t="s">
        <v>2615</v>
      </c>
    </row>
    <row r="20" spans="1:1" s="22" customFormat="1">
      <c r="A20" s="41" t="s">
        <v>2616</v>
      </c>
    </row>
    <row r="21" spans="1:1" s="22" customFormat="1"/>
    <row r="22" spans="1:1" s="22" customFormat="1" ht="16">
      <c r="A22" s="94" t="s">
        <v>2617</v>
      </c>
    </row>
    <row r="23" spans="1:1" s="22" customFormat="1">
      <c r="A23" s="22" t="s">
        <v>2618</v>
      </c>
    </row>
    <row r="24" spans="1:1" s="22" customFormat="1">
      <c r="A24" s="81" t="s">
        <v>2619</v>
      </c>
    </row>
    <row r="25" spans="1:1" s="22" customFormat="1"/>
    <row r="26" spans="1:1" s="22" customFormat="1">
      <c r="A26" s="77" t="s">
        <v>2620</v>
      </c>
    </row>
    <row r="27" spans="1:1" s="22" customFormat="1">
      <c r="A27" s="77" t="s">
        <v>2621</v>
      </c>
    </row>
    <row r="28" spans="1:1" s="22" customFormat="1">
      <c r="A28" s="77" t="s">
        <v>2622</v>
      </c>
    </row>
    <row r="29" spans="1:1" s="22" customFormat="1"/>
    <row r="30" spans="1:1" s="22" customFormat="1">
      <c r="A30" s="81" t="s">
        <v>2623</v>
      </c>
    </row>
    <row r="31" spans="1:1" s="22" customFormat="1">
      <c r="A31" s="81" t="s">
        <v>2624</v>
      </c>
    </row>
    <row r="32" spans="1:1" s="22" customFormat="1"/>
    <row r="33" spans="1:2" s="22" customFormat="1" ht="16">
      <c r="A33" s="94" t="s">
        <v>2625</v>
      </c>
    </row>
    <row r="34" spans="1:2" s="22" customFormat="1">
      <c r="A34" s="99" t="s">
        <v>2626</v>
      </c>
    </row>
    <row r="35" spans="1:2" s="22" customFormat="1">
      <c r="A35" s="22" t="s">
        <v>2627</v>
      </c>
    </row>
    <row r="36" spans="1:2" s="22" customFormat="1" ht="16">
      <c r="A36" s="92" t="s">
        <v>2628</v>
      </c>
    </row>
    <row r="37" spans="1:2" s="22" customFormat="1">
      <c r="A37" s="87" t="s">
        <v>2629</v>
      </c>
    </row>
    <row r="38" spans="1:2" s="22" customFormat="1">
      <c r="A38" s="22" t="s">
        <v>2630</v>
      </c>
    </row>
    <row r="39" spans="1:2" s="22" customFormat="1">
      <c r="A39" s="22" t="s">
        <v>2631</v>
      </c>
    </row>
    <row r="40" spans="1:2" s="22" customFormat="1"/>
    <row r="41" spans="1:2" s="22" customFormat="1" ht="16">
      <c r="A41" s="94" t="s">
        <v>2632</v>
      </c>
    </row>
    <row r="42" spans="1:2" s="22" customFormat="1">
      <c r="A42"/>
    </row>
    <row r="43" spans="1:2" s="22" customFormat="1">
      <c r="A43" s="91" t="s">
        <v>2633</v>
      </c>
    </row>
    <row r="44" spans="1:2" s="22" customFormat="1">
      <c r="A44" s="22" t="s">
        <v>2634</v>
      </c>
      <c r="B44" s="22" t="s">
        <v>2635</v>
      </c>
    </row>
    <row r="45" spans="1:2" s="22" customFormat="1">
      <c r="A45" s="91"/>
    </row>
    <row r="46" spans="1:2" s="22" customFormat="1" ht="16">
      <c r="A46" s="94" t="s">
        <v>2636</v>
      </c>
    </row>
    <row r="47" spans="1:2" s="22" customFormat="1">
      <c r="A47" s="19" t="s">
        <v>2637</v>
      </c>
    </row>
    <row r="48" spans="1:2" s="22" customFormat="1">
      <c r="A48" s="81" t="s">
        <v>2638</v>
      </c>
    </row>
    <row r="49" spans="1:2" s="22" customFormat="1">
      <c r="A49" s="81" t="s">
        <v>2639</v>
      </c>
      <c r="B49" s="77" t="s">
        <v>2640</v>
      </c>
    </row>
    <row r="50" spans="1:2" s="22" customFormat="1">
      <c r="A50" s="81" t="s">
        <v>2641</v>
      </c>
    </row>
    <row r="51" spans="1:2" s="22" customFormat="1">
      <c r="A51" s="22" t="s">
        <v>2642</v>
      </c>
    </row>
    <row r="52" spans="1:2" s="22" customFormat="1">
      <c r="A52" s="22" t="s">
        <v>2643</v>
      </c>
      <c r="B52" s="38">
        <f>Property_CF!C54/52</f>
        <v>820</v>
      </c>
    </row>
    <row r="53" spans="1:2" s="22" customFormat="1">
      <c r="A53" s="87" t="s">
        <v>2644</v>
      </c>
    </row>
    <row r="54" spans="1:2" s="22" customFormat="1">
      <c r="A54" s="93" t="s">
        <v>2645</v>
      </c>
      <c r="B54" s="72">
        <f>B52*1.1</f>
        <v>902.00000000000011</v>
      </c>
    </row>
    <row r="55" spans="1:2" s="22" customFormat="1">
      <c r="A55" s="93" t="s">
        <v>2646</v>
      </c>
      <c r="B55" s="72">
        <v>560</v>
      </c>
    </row>
    <row r="56" spans="1:2" s="22" customFormat="1"/>
    <row r="57" spans="1:2" s="22" customFormat="1" ht="32">
      <c r="A57" s="92" t="s">
        <v>2647</v>
      </c>
      <c r="B57" s="22">
        <v>4</v>
      </c>
    </row>
    <row r="58" spans="1:2" s="22" customFormat="1">
      <c r="A58" s="22" t="s">
        <v>2648</v>
      </c>
    </row>
    <row r="59" spans="1:2" s="22" customFormat="1"/>
    <row r="60" spans="1:2" s="22" customFormat="1" ht="16">
      <c r="A60" s="94" t="s">
        <v>2649</v>
      </c>
    </row>
    <row r="61" spans="1:2" s="22" customFormat="1">
      <c r="A61" s="87" t="s">
        <v>2650</v>
      </c>
    </row>
    <row r="62" spans="1:2" s="22" customFormat="1">
      <c r="A62" s="41" t="s">
        <v>2651</v>
      </c>
    </row>
    <row r="63" spans="1:2" s="22" customFormat="1">
      <c r="A63" s="43" t="s">
        <v>2652</v>
      </c>
    </row>
    <row r="64" spans="1:2" s="22" customFormat="1">
      <c r="A64" s="22" t="s">
        <v>2653</v>
      </c>
      <c r="B64" s="22" t="s">
        <v>2635</v>
      </c>
    </row>
    <row r="65" spans="1:2" s="22" customFormat="1">
      <c r="A65" s="22" t="s">
        <v>2654</v>
      </c>
      <c r="B65" s="22" t="s">
        <v>2655</v>
      </c>
    </row>
    <row r="66" spans="1:2" s="22" customFormat="1"/>
    <row r="67" spans="1:2" s="22" customFormat="1" ht="16">
      <c r="A67" s="94" t="s">
        <v>2656</v>
      </c>
    </row>
    <row r="68" spans="1:2" s="22" customFormat="1"/>
    <row r="69" spans="1:2" s="22" customFormat="1" ht="16">
      <c r="A69" s="42" t="s">
        <v>2657</v>
      </c>
      <c r="B69" s="95">
        <v>221551</v>
      </c>
    </row>
    <row r="70" spans="1:2" s="22" customFormat="1" ht="16">
      <c r="A70" s="42" t="s">
        <v>2658</v>
      </c>
      <c r="B70" s="73">
        <v>2.5000000000000001E-2</v>
      </c>
    </row>
    <row r="71" spans="1:2" s="22" customFormat="1"/>
    <row r="72" spans="1:2" s="22" customFormat="1" ht="16">
      <c r="A72" s="94" t="s">
        <v>2659</v>
      </c>
    </row>
    <row r="73" spans="1:2" s="22" customFormat="1">
      <c r="A73" s="87" t="s">
        <v>2660</v>
      </c>
    </row>
    <row r="74" spans="1:2" s="22" customFormat="1">
      <c r="A74" s="81" t="s">
        <v>2661</v>
      </c>
    </row>
    <row r="75" spans="1:2" s="22" customFormat="1" ht="17">
      <c r="A75" s="82" t="s">
        <v>2662</v>
      </c>
    </row>
    <row r="76" spans="1:2" s="22" customFormat="1" ht="16">
      <c r="A76" s="42" t="s">
        <v>2663</v>
      </c>
    </row>
    <row r="77" spans="1:2" s="22" customFormat="1" ht="16">
      <c r="A77" s="42" t="s">
        <v>2664</v>
      </c>
    </row>
    <row r="78" spans="1:2" s="22" customFormat="1">
      <c r="A78" s="43" t="s">
        <v>2665</v>
      </c>
      <c r="B78" s="81" t="s">
        <v>2666</v>
      </c>
    </row>
    <row r="79" spans="1:2" s="22" customFormat="1"/>
    <row r="80" spans="1:2" s="22" customFormat="1" ht="16">
      <c r="A80" s="94" t="s">
        <v>2667</v>
      </c>
    </row>
    <row r="81" spans="1:1" s="22" customFormat="1">
      <c r="A81"/>
    </row>
    <row r="82" spans="1:1" s="22" customFormat="1">
      <c r="A82" s="87" t="s">
        <v>2634</v>
      </c>
    </row>
    <row r="83" spans="1:1" s="22" customFormat="1">
      <c r="A83" s="43" t="s">
        <v>2668</v>
      </c>
    </row>
    <row r="84" spans="1:1" s="22" customFormat="1">
      <c r="A84"/>
    </row>
    <row r="85" spans="1:1" s="22" customFormat="1" ht="16">
      <c r="A85" s="42" t="s">
        <v>2669</v>
      </c>
    </row>
    <row r="86" spans="1:1" s="22" customFormat="1">
      <c r="A86" s="43" t="s">
        <v>2670</v>
      </c>
    </row>
    <row r="87" spans="1:1" s="22" customFormat="1">
      <c r="A87" s="43" t="s">
        <v>2671</v>
      </c>
    </row>
    <row r="88" spans="1:1" s="22" customFormat="1">
      <c r="A88"/>
    </row>
    <row r="89" spans="1:1" s="22" customFormat="1">
      <c r="A89" s="87" t="s">
        <v>2634</v>
      </c>
    </row>
    <row r="90" spans="1:1" s="22" customFormat="1">
      <c r="A90"/>
    </row>
    <row r="91" spans="1:1" s="22" customFormat="1" ht="16">
      <c r="A91" s="42" t="s">
        <v>2672</v>
      </c>
    </row>
    <row r="92" spans="1:1" s="22" customFormat="1">
      <c r="A92"/>
    </row>
    <row r="93" spans="1:1" s="22" customFormat="1">
      <c r="A93" s="43" t="s">
        <v>2673</v>
      </c>
    </row>
    <row r="94" spans="1:1" s="22" customFormat="1"/>
    <row r="95" spans="1:1" s="22" customFormat="1" ht="16">
      <c r="A95" s="94" t="s">
        <v>2674</v>
      </c>
    </row>
    <row r="96" spans="1:1" s="22" customFormat="1">
      <c r="A96"/>
    </row>
    <row r="97" spans="1:1" s="22" customFormat="1">
      <c r="A97" s="87" t="s">
        <v>2634</v>
      </c>
    </row>
    <row r="98" spans="1:1" s="22" customFormat="1">
      <c r="A98"/>
    </row>
    <row r="99" spans="1:1" s="22" customFormat="1" ht="16">
      <c r="A99" s="42" t="s">
        <v>2675</v>
      </c>
    </row>
    <row r="100" spans="1:1" s="22" customFormat="1">
      <c r="A100"/>
    </row>
    <row r="101" spans="1:1" s="22" customFormat="1">
      <c r="A101" s="43" t="s">
        <v>2676</v>
      </c>
    </row>
    <row r="102" spans="1:1" s="22" customFormat="1">
      <c r="A102" s="43" t="s">
        <v>2677</v>
      </c>
    </row>
    <row r="103" spans="1:1" s="22" customFormat="1">
      <c r="A103" s="43" t="s">
        <v>2678</v>
      </c>
    </row>
  </sheetData>
  <mergeCells count="1">
    <mergeCell ref="A1:H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
  <sheetViews>
    <sheetView workbookViewId="0">
      <selection sqref="A1:H1"/>
    </sheetView>
  </sheetViews>
  <sheetFormatPr baseColWidth="10" defaultColWidth="8.83203125" defaultRowHeight="15"/>
  <cols>
    <col min="1" max="5" width="14" customWidth="1"/>
    <col min="6" max="6" width="2" customWidth="1"/>
    <col min="7" max="8" width="18" customWidth="1"/>
  </cols>
  <sheetData>
    <row r="1" spans="1:8" ht="24">
      <c r="A1" s="202" t="s">
        <v>2679</v>
      </c>
      <c r="B1" s="203"/>
      <c r="C1" s="203"/>
      <c r="D1" s="203"/>
      <c r="E1" s="203"/>
      <c r="F1" s="203"/>
      <c r="G1" s="203"/>
      <c r="H1" s="203"/>
    </row>
    <row r="3" spans="1:8" ht="60">
      <c r="A3" s="1" t="s">
        <v>2680</v>
      </c>
    </row>
    <row r="5" spans="1:8" ht="17">
      <c r="A5" s="3" t="s">
        <v>222</v>
      </c>
      <c r="B5" s="3" t="s">
        <v>2601</v>
      </c>
      <c r="C5" s="3" t="s">
        <v>2681</v>
      </c>
      <c r="D5" s="3" t="s">
        <v>2603</v>
      </c>
      <c r="E5" s="3" t="s">
        <v>2682</v>
      </c>
    </row>
    <row r="6" spans="1:8">
      <c r="A6" s="4" t="str">
        <f>Properties!A7</f>
        <v>IP1 - Albany St Crows Nest</v>
      </c>
      <c r="B6" s="28">
        <f>Properties!H7</f>
        <v>42640</v>
      </c>
      <c r="C6" s="28">
        <f>B6*Assumptions!B10</f>
        <v>2139.0230588235295</v>
      </c>
      <c r="D6" s="28">
        <f>Properties!D7*Properties!E7</f>
        <v>27444.211490999998</v>
      </c>
      <c r="E6" s="28">
        <f>B6-C6-D6</f>
        <v>13056.765450176474</v>
      </c>
    </row>
    <row r="7" spans="1:8">
      <c r="A7" s="4" t="str">
        <f>Properties!A8</f>
        <v>IP2</v>
      </c>
      <c r="B7" s="28">
        <f>Properties!H8</f>
        <v>28600</v>
      </c>
      <c r="C7" s="28">
        <f>B7*Assumptions!B10</f>
        <v>1434.7105882352942</v>
      </c>
      <c r="D7" s="28">
        <f>Properties!D8*Properties!E8</f>
        <v>34740</v>
      </c>
      <c r="E7" s="28">
        <f>B7-C7-D7</f>
        <v>-7574.7105882352953</v>
      </c>
    </row>
    <row r="8" spans="1:8">
      <c r="A8" s="4" t="str">
        <f>Properties!A9</f>
        <v>IP3</v>
      </c>
      <c r="B8" s="28">
        <f>Properties!H9</f>
        <v>29900</v>
      </c>
      <c r="C8" s="28">
        <f>B8*Assumptions!B10</f>
        <v>1499.924705882353</v>
      </c>
      <c r="D8" s="28">
        <f>Properties!D9*Properties!E9</f>
        <v>37635</v>
      </c>
      <c r="E8" s="28">
        <f>B8-C8-D8</f>
        <v>-9234.924705882353</v>
      </c>
    </row>
  </sheetData>
  <mergeCells count="1">
    <mergeCell ref="A1:H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6"/>
  <sheetViews>
    <sheetView workbookViewId="0">
      <selection sqref="A1:K1"/>
    </sheetView>
  </sheetViews>
  <sheetFormatPr baseColWidth="10" defaultColWidth="8.83203125" defaultRowHeight="15"/>
  <cols>
    <col min="1" max="2" width="10" customWidth="1"/>
    <col min="3" max="5" width="18" customWidth="1"/>
    <col min="6" max="6" width="2" customWidth="1"/>
    <col min="7" max="7" width="20" customWidth="1"/>
    <col min="8" max="11" width="18" customWidth="1"/>
  </cols>
  <sheetData>
    <row r="1" spans="1:11" ht="24">
      <c r="A1" s="202" t="s">
        <v>2683</v>
      </c>
      <c r="B1" s="203"/>
      <c r="C1" s="203"/>
      <c r="D1" s="203"/>
      <c r="E1" s="203"/>
      <c r="F1" s="203"/>
      <c r="G1" s="203"/>
      <c r="H1" s="203"/>
      <c r="I1" s="203"/>
      <c r="J1" s="203"/>
      <c r="K1" s="203"/>
    </row>
    <row r="3" spans="1:11" ht="165">
      <c r="A3" s="1" t="s">
        <v>2684</v>
      </c>
    </row>
    <row r="5" spans="1:11" ht="17">
      <c r="A5" s="15" t="s">
        <v>37</v>
      </c>
      <c r="B5" s="15" t="s">
        <v>2554</v>
      </c>
      <c r="C5" s="15" t="s">
        <v>2685</v>
      </c>
      <c r="D5" s="15" t="s">
        <v>2686</v>
      </c>
      <c r="E5" s="15" t="s">
        <v>2687</v>
      </c>
    </row>
    <row r="6" spans="1:11">
      <c r="A6" s="4">
        <v>0</v>
      </c>
      <c r="B6" s="4">
        <v>60</v>
      </c>
      <c r="C6" s="4">
        <v>2489138.133549857</v>
      </c>
      <c r="D6" s="4">
        <v>2881594.145554225</v>
      </c>
      <c r="E6" s="4">
        <v>3284616.4838674939</v>
      </c>
      <c r="G6" s="5" t="s">
        <v>2688</v>
      </c>
      <c r="H6" s="5">
        <v>0.83650000000000002</v>
      </c>
    </row>
    <row r="7" spans="1:11">
      <c r="A7" s="4">
        <v>1</v>
      </c>
      <c r="B7" s="4">
        <v>61</v>
      </c>
      <c r="C7" s="4">
        <v>2373853.275537156</v>
      </c>
      <c r="D7" s="4">
        <v>2936990.9940132559</v>
      </c>
      <c r="E7" s="4">
        <v>3544206.8617738788</v>
      </c>
      <c r="G7" s="5" t="s">
        <v>2689</v>
      </c>
      <c r="H7" s="5">
        <v>2800000</v>
      </c>
    </row>
    <row r="8" spans="1:11">
      <c r="A8" s="4">
        <v>2</v>
      </c>
      <c r="B8" s="4">
        <v>62</v>
      </c>
      <c r="C8" s="4">
        <v>2296357.3093880368</v>
      </c>
      <c r="D8" s="4">
        <v>2980052.4362938418</v>
      </c>
      <c r="E8" s="4">
        <v>3804318.0709789419</v>
      </c>
      <c r="G8" s="5" t="s">
        <v>2690</v>
      </c>
      <c r="H8" s="5">
        <v>110000</v>
      </c>
    </row>
    <row r="9" spans="1:11">
      <c r="A9" s="4">
        <v>3</v>
      </c>
      <c r="B9" s="4">
        <v>63</v>
      </c>
      <c r="C9" s="4">
        <v>2239042.4018381359</v>
      </c>
      <c r="D9" s="4">
        <v>3044067.8000690648</v>
      </c>
      <c r="E9" s="4">
        <v>4045922.346039216</v>
      </c>
    </row>
    <row r="10" spans="1:11">
      <c r="A10" s="4">
        <v>4</v>
      </c>
      <c r="B10" s="4">
        <v>64</v>
      </c>
      <c r="C10" s="4">
        <v>2154484.394705486</v>
      </c>
      <c r="D10" s="4">
        <v>3110203.2947724792</v>
      </c>
      <c r="E10" s="4">
        <v>4335957.8320744727</v>
      </c>
    </row>
    <row r="11" spans="1:11">
      <c r="A11" s="4">
        <v>5</v>
      </c>
      <c r="B11" s="4">
        <v>65</v>
      </c>
      <c r="C11" s="4">
        <v>2113805.3405158329</v>
      </c>
      <c r="D11" s="4">
        <v>3119164.9884777712</v>
      </c>
      <c r="E11" s="4">
        <v>4571001.9008739721</v>
      </c>
    </row>
    <row r="12" spans="1:11">
      <c r="A12" s="4">
        <v>6</v>
      </c>
      <c r="B12" s="4">
        <v>66</v>
      </c>
      <c r="C12" s="4">
        <v>2029923.306704218</v>
      </c>
      <c r="D12" s="4">
        <v>3201390.9177903668</v>
      </c>
      <c r="E12" s="4">
        <v>4818483.2337584831</v>
      </c>
    </row>
    <row r="13" spans="1:11">
      <c r="A13" s="4">
        <v>7</v>
      </c>
      <c r="B13" s="4">
        <v>67</v>
      </c>
      <c r="C13" s="4">
        <v>2049040.8721174861</v>
      </c>
      <c r="D13" s="4">
        <v>3264545.7737569292</v>
      </c>
      <c r="E13" s="4">
        <v>5110588.9064238779</v>
      </c>
    </row>
    <row r="14" spans="1:11">
      <c r="A14" s="4">
        <v>8</v>
      </c>
      <c r="B14" s="4">
        <v>68</v>
      </c>
      <c r="C14" s="4">
        <v>1955491.4959925569</v>
      </c>
      <c r="D14" s="4">
        <v>3321908.0039722682</v>
      </c>
      <c r="E14" s="4">
        <v>5419163.2724865442</v>
      </c>
    </row>
    <row r="15" spans="1:11">
      <c r="A15" s="4">
        <v>9</v>
      </c>
      <c r="B15" s="4">
        <v>69</v>
      </c>
      <c r="C15" s="4">
        <v>1926011.8937070579</v>
      </c>
      <c r="D15" s="4">
        <v>3372292.8487445102</v>
      </c>
      <c r="E15" s="4">
        <v>5641683.5787763046</v>
      </c>
    </row>
    <row r="16" spans="1:11">
      <c r="A16" s="4">
        <v>10</v>
      </c>
      <c r="B16" s="4">
        <v>70</v>
      </c>
      <c r="C16" s="4">
        <v>1865588.626755018</v>
      </c>
      <c r="D16" s="4">
        <v>3473646.484685421</v>
      </c>
      <c r="E16" s="4">
        <v>5947621.9019778427</v>
      </c>
    </row>
    <row r="17" spans="1:5">
      <c r="A17" s="4">
        <v>11</v>
      </c>
      <c r="B17" s="4">
        <v>71</v>
      </c>
      <c r="C17" s="4">
        <v>1799743.450582826</v>
      </c>
      <c r="D17" s="4">
        <v>3539986.1501904768</v>
      </c>
      <c r="E17" s="4">
        <v>6246989.4769301452</v>
      </c>
    </row>
    <row r="18" spans="1:5">
      <c r="A18" s="4">
        <v>12</v>
      </c>
      <c r="B18" s="4">
        <v>72</v>
      </c>
      <c r="C18" s="4">
        <v>1694340.1302159389</v>
      </c>
      <c r="D18" s="4">
        <v>3631185.9839892429</v>
      </c>
      <c r="E18" s="4">
        <v>6560007.4287821148</v>
      </c>
    </row>
    <row r="19" spans="1:5">
      <c r="A19" s="4">
        <v>13</v>
      </c>
      <c r="B19" s="4">
        <v>73</v>
      </c>
      <c r="C19" s="4">
        <v>1626584.483353697</v>
      </c>
      <c r="D19" s="4">
        <v>3670921.286509092</v>
      </c>
      <c r="E19" s="4">
        <v>6880757.7407139568</v>
      </c>
    </row>
    <row r="20" spans="1:5">
      <c r="A20" s="4">
        <v>14</v>
      </c>
      <c r="B20" s="4">
        <v>74</v>
      </c>
      <c r="C20" s="4">
        <v>1579186.3738156741</v>
      </c>
      <c r="D20" s="4">
        <v>3723067.3134534708</v>
      </c>
      <c r="E20" s="4">
        <v>7325330.9028354809</v>
      </c>
    </row>
    <row r="21" spans="1:5">
      <c r="A21" s="4">
        <v>15</v>
      </c>
      <c r="B21" s="4">
        <v>75</v>
      </c>
      <c r="C21" s="4">
        <v>1489930.214291322</v>
      </c>
      <c r="D21" s="4">
        <v>3772691.9736885</v>
      </c>
      <c r="E21" s="4">
        <v>7640356.8235043753</v>
      </c>
    </row>
    <row r="22" spans="1:5">
      <c r="A22" s="4">
        <v>16</v>
      </c>
      <c r="B22" s="4">
        <v>76</v>
      </c>
      <c r="C22" s="4">
        <v>1420608.908827842</v>
      </c>
      <c r="D22" s="4">
        <v>3829639.029963539</v>
      </c>
      <c r="E22" s="4">
        <v>8117001.8621994089</v>
      </c>
    </row>
    <row r="23" spans="1:5">
      <c r="A23" s="4">
        <v>17</v>
      </c>
      <c r="B23" s="4">
        <v>77</v>
      </c>
      <c r="C23" s="4">
        <v>1311713.668085007</v>
      </c>
      <c r="D23" s="4">
        <v>3927742.2043355391</v>
      </c>
      <c r="E23" s="4">
        <v>8547743.4291830342</v>
      </c>
    </row>
    <row r="24" spans="1:5">
      <c r="A24" s="4">
        <v>18</v>
      </c>
      <c r="B24" s="4">
        <v>78</v>
      </c>
      <c r="C24" s="4">
        <v>1227793.213363759</v>
      </c>
      <c r="D24" s="4">
        <v>3945759.0504903179</v>
      </c>
      <c r="E24" s="4">
        <v>9068947.0066284817</v>
      </c>
    </row>
    <row r="25" spans="1:5">
      <c r="A25" s="4">
        <v>19</v>
      </c>
      <c r="B25" s="4">
        <v>79</v>
      </c>
      <c r="C25" s="4">
        <v>1093338.394988222</v>
      </c>
      <c r="D25" s="4">
        <v>3972575.4964608462</v>
      </c>
      <c r="E25" s="4">
        <v>9440347.8813126087</v>
      </c>
    </row>
    <row r="26" spans="1:5">
      <c r="A26" s="4">
        <v>20</v>
      </c>
      <c r="B26" s="4">
        <v>80</v>
      </c>
      <c r="C26" s="4">
        <v>985435.0606527091</v>
      </c>
      <c r="D26" s="4">
        <v>3974130.3126350921</v>
      </c>
      <c r="E26" s="4">
        <v>10025014.890886489</v>
      </c>
    </row>
    <row r="27" spans="1:5">
      <c r="A27" s="4">
        <v>21</v>
      </c>
      <c r="B27" s="4">
        <v>81</v>
      </c>
      <c r="C27" s="4">
        <v>829566.40731308353</v>
      </c>
      <c r="D27" s="4">
        <v>4110412.95477338</v>
      </c>
      <c r="E27" s="4">
        <v>10350333.539751031</v>
      </c>
    </row>
    <row r="28" spans="1:5">
      <c r="A28" s="4">
        <v>22</v>
      </c>
      <c r="B28" s="4">
        <v>82</v>
      </c>
      <c r="C28" s="4">
        <v>689822.23019957705</v>
      </c>
      <c r="D28" s="4">
        <v>4150205.9891085788</v>
      </c>
      <c r="E28" s="4">
        <v>10888380.917623021</v>
      </c>
    </row>
    <row r="29" spans="1:5">
      <c r="A29" s="4">
        <v>23</v>
      </c>
      <c r="B29" s="4">
        <v>83</v>
      </c>
      <c r="C29" s="4">
        <v>527833.22853686882</v>
      </c>
      <c r="D29" s="4">
        <v>4163290.403039773</v>
      </c>
      <c r="E29" s="4">
        <v>11780466.093879269</v>
      </c>
    </row>
    <row r="30" spans="1:5">
      <c r="A30" s="4">
        <v>24</v>
      </c>
      <c r="B30" s="4">
        <v>84</v>
      </c>
      <c r="C30" s="4">
        <v>318923.40084949601</v>
      </c>
      <c r="D30" s="4">
        <v>4199224.9741610484</v>
      </c>
      <c r="E30" s="4">
        <v>12125533.685076879</v>
      </c>
    </row>
    <row r="31" spans="1:5">
      <c r="A31" s="4">
        <v>25</v>
      </c>
      <c r="B31" s="4">
        <v>85</v>
      </c>
      <c r="C31" s="4">
        <v>144795.9350656012</v>
      </c>
      <c r="D31" s="4">
        <v>4235607.9205289464</v>
      </c>
      <c r="E31" s="4">
        <v>12498626.43539449</v>
      </c>
    </row>
    <row r="32" spans="1:5">
      <c r="A32" s="4">
        <v>26</v>
      </c>
      <c r="B32" s="4">
        <v>86</v>
      </c>
      <c r="C32" s="4">
        <v>-48124.037980851979</v>
      </c>
      <c r="D32" s="4">
        <v>4270611.0965373786</v>
      </c>
      <c r="E32" s="4">
        <v>13244217.502077</v>
      </c>
    </row>
    <row r="33" spans="1:5">
      <c r="A33" s="4">
        <v>27</v>
      </c>
      <c r="B33" s="4">
        <v>87</v>
      </c>
      <c r="C33" s="4">
        <v>-259576.21131563181</v>
      </c>
      <c r="D33" s="4">
        <v>4304817.4468623269</v>
      </c>
      <c r="E33" s="4">
        <v>14020114.24936969</v>
      </c>
    </row>
    <row r="34" spans="1:5">
      <c r="A34" s="4">
        <v>28</v>
      </c>
      <c r="B34" s="4">
        <v>88</v>
      </c>
      <c r="C34" s="4">
        <v>-495639.69333812431</v>
      </c>
      <c r="D34" s="4">
        <v>4238127.3778830329</v>
      </c>
      <c r="E34" s="4">
        <v>14630598.036049381</v>
      </c>
    </row>
    <row r="35" spans="1:5">
      <c r="A35" s="4">
        <v>29</v>
      </c>
      <c r="B35" s="4">
        <v>89</v>
      </c>
      <c r="C35" s="4">
        <v>-722890.12279433606</v>
      </c>
      <c r="D35" s="4">
        <v>4283803.9928876618</v>
      </c>
      <c r="E35" s="4">
        <v>15244342.389695549</v>
      </c>
    </row>
    <row r="36" spans="1:5">
      <c r="A36" s="4">
        <v>30</v>
      </c>
      <c r="B36" s="4">
        <v>90</v>
      </c>
      <c r="C36" s="4">
        <v>-1053470.515489433</v>
      </c>
      <c r="D36" s="4">
        <v>4285630.8342379518</v>
      </c>
      <c r="E36" s="4">
        <v>16123665.89334107</v>
      </c>
    </row>
  </sheetData>
  <mergeCells count="1">
    <mergeCell ref="A1:K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2"/>
  <sheetViews>
    <sheetView workbookViewId="0">
      <selection sqref="A1:L1"/>
    </sheetView>
  </sheetViews>
  <sheetFormatPr baseColWidth="10" defaultColWidth="8.83203125" defaultRowHeight="15"/>
  <cols>
    <col min="1" max="12" width="16" customWidth="1"/>
  </cols>
  <sheetData>
    <row r="1" spans="1:12" ht="24">
      <c r="A1" s="202" t="s">
        <v>2691</v>
      </c>
      <c r="B1" s="203"/>
      <c r="C1" s="203"/>
      <c r="D1" s="203"/>
      <c r="E1" s="203"/>
      <c r="F1" s="203"/>
      <c r="G1" s="203"/>
      <c r="H1" s="203"/>
      <c r="I1" s="203"/>
      <c r="J1" s="203"/>
      <c r="K1" s="203"/>
      <c r="L1" s="203"/>
    </row>
    <row r="3" spans="1:12">
      <c r="A3" s="19" t="s">
        <v>2692</v>
      </c>
    </row>
    <row r="5" spans="1:12">
      <c r="A5" s="210" t="s">
        <v>4</v>
      </c>
      <c r="B5" s="203"/>
      <c r="C5" s="203"/>
      <c r="D5" s="213" t="str">
        <f>Scenarios!J5</f>
        <v>Base</v>
      </c>
      <c r="E5" s="203"/>
      <c r="F5" s="203"/>
      <c r="G5" s="210" t="s">
        <v>2693</v>
      </c>
      <c r="H5" s="203"/>
      <c r="I5" s="203"/>
      <c r="J5" s="213">
        <f>Scenarios!K7</f>
        <v>60</v>
      </c>
      <c r="K5" s="203"/>
      <c r="L5" s="203"/>
    </row>
    <row r="6" spans="1:12">
      <c r="A6" s="203"/>
      <c r="B6" s="203"/>
      <c r="C6" s="203"/>
      <c r="D6" s="203"/>
      <c r="E6" s="203"/>
      <c r="F6" s="203"/>
      <c r="G6" s="203"/>
      <c r="H6" s="203"/>
      <c r="I6" s="203"/>
      <c r="J6" s="203"/>
      <c r="K6" s="203"/>
      <c r="L6" s="203"/>
    </row>
    <row r="8" spans="1:12">
      <c r="A8" s="210" t="s">
        <v>2694</v>
      </c>
      <c r="B8" s="203"/>
      <c r="C8" s="203"/>
      <c r="D8" s="208">
        <f>INDEX(Projections!X:X, MATCH(Profile!B6, Projections!C:C, 0))</f>
        <v>3124387.97</v>
      </c>
      <c r="E8" s="209"/>
      <c r="F8" s="209"/>
      <c r="G8" s="210" t="s">
        <v>57</v>
      </c>
      <c r="H8" s="203"/>
      <c r="I8" s="203"/>
      <c r="J8" s="214">
        <f>Properties!M8</f>
        <v>1683071.9100000001</v>
      </c>
      <c r="K8" s="215"/>
      <c r="L8" s="215"/>
    </row>
    <row r="9" spans="1:12">
      <c r="A9" s="203"/>
      <c r="B9" s="203"/>
      <c r="C9" s="203"/>
      <c r="D9" s="209"/>
      <c r="E9" s="209"/>
      <c r="F9" s="209"/>
      <c r="G9" s="203"/>
      <c r="H9" s="203"/>
      <c r="I9" s="203"/>
      <c r="J9" s="215"/>
      <c r="K9" s="215"/>
      <c r="L9" s="215"/>
    </row>
    <row r="11" spans="1:12">
      <c r="A11" s="210" t="s">
        <v>2695</v>
      </c>
      <c r="B11" s="203"/>
      <c r="C11" s="203"/>
      <c r="D11" s="208">
        <f>SUM('Rental Cashflow'!E6:E8)</f>
        <v>-3752.8698439411746</v>
      </c>
      <c r="E11" s="209"/>
      <c r="F11" s="209"/>
      <c r="G11" s="210" t="s">
        <v>2696</v>
      </c>
      <c r="H11" s="203"/>
      <c r="I11" s="203"/>
      <c r="J11" s="211">
        <f>'Monte Carlo'!$H$6</f>
        <v>0.83650000000000002</v>
      </c>
      <c r="K11" s="212"/>
      <c r="L11" s="212"/>
    </row>
    <row r="12" spans="1:12">
      <c r="A12" s="203"/>
      <c r="B12" s="203"/>
      <c r="C12" s="203"/>
      <c r="D12" s="209"/>
      <c r="E12" s="209"/>
      <c r="F12" s="209"/>
      <c r="G12" s="203"/>
      <c r="H12" s="203"/>
      <c r="I12" s="203"/>
      <c r="J12" s="212"/>
      <c r="K12" s="212"/>
      <c r="L12" s="212"/>
    </row>
  </sheetData>
  <mergeCells count="13">
    <mergeCell ref="A1:L1"/>
    <mergeCell ref="A8:C9"/>
    <mergeCell ref="J5:L6"/>
    <mergeCell ref="G8:I9"/>
    <mergeCell ref="J8:L9"/>
    <mergeCell ref="D8:F9"/>
    <mergeCell ref="D11:F12"/>
    <mergeCell ref="G11:I12"/>
    <mergeCell ref="A11:C12"/>
    <mergeCell ref="J11:L12"/>
    <mergeCell ref="D5:F6"/>
    <mergeCell ref="A5:C6"/>
    <mergeCell ref="G5:I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workbookViewId="0">
      <selection sqref="A1:H1"/>
    </sheetView>
  </sheetViews>
  <sheetFormatPr baseColWidth="10" defaultColWidth="8.83203125" defaultRowHeight="15"/>
  <cols>
    <col min="1" max="1" width="36.5" customWidth="1"/>
    <col min="2" max="2" width="19.33203125" customWidth="1"/>
    <col min="4" max="4" width="12.6640625" customWidth="1"/>
    <col min="5" max="5" width="21" customWidth="1"/>
    <col min="6" max="6" width="16.5" customWidth="1"/>
    <col min="7" max="7" width="16.6640625" customWidth="1"/>
    <col min="8" max="8" width="14.33203125" customWidth="1"/>
  </cols>
  <sheetData>
    <row r="1" spans="1:8" ht="24">
      <c r="A1" s="202" t="s">
        <v>2697</v>
      </c>
      <c r="B1" s="203"/>
      <c r="C1" s="203"/>
      <c r="D1" s="203"/>
      <c r="E1" s="203"/>
      <c r="F1" s="203"/>
      <c r="G1" s="203"/>
      <c r="H1" s="203"/>
    </row>
    <row r="2" spans="1:8">
      <c r="A2" s="16" t="s">
        <v>2698</v>
      </c>
    </row>
    <row r="3" spans="1:8">
      <c r="A3" s="16"/>
    </row>
    <row r="5" spans="1:8" ht="17">
      <c r="A5" s="17" t="s">
        <v>222</v>
      </c>
      <c r="B5" s="17" t="s">
        <v>224</v>
      </c>
      <c r="C5" s="17" t="s">
        <v>225</v>
      </c>
      <c r="D5" s="17" t="s">
        <v>226</v>
      </c>
      <c r="E5" s="17" t="s">
        <v>2556</v>
      </c>
      <c r="F5" s="17" t="s">
        <v>2699</v>
      </c>
      <c r="G5" s="17" t="s">
        <v>2700</v>
      </c>
      <c r="H5" s="17" t="s">
        <v>2701</v>
      </c>
    </row>
    <row r="6" spans="1:8">
      <c r="A6" t="str">
        <f>'Property Expenses (Detail)'!A7</f>
        <v>IP1 - Albany St Crows Nest</v>
      </c>
      <c r="B6" s="36">
        <f>Properties!D7</f>
        <v>473993.29</v>
      </c>
      <c r="C6">
        <f>Properties!E7</f>
        <v>5.79E-2</v>
      </c>
      <c r="D6">
        <f>Properties!F7</f>
        <v>52</v>
      </c>
      <c r="E6">
        <v>25</v>
      </c>
      <c r="F6" s="36">
        <f>B6*C6</f>
        <v>27444.211490999998</v>
      </c>
      <c r="G6">
        <f>IF(Profile!B6&gt;=D6,PMT(C6,E6,-B6),0)</f>
        <v>0</v>
      </c>
      <c r="H6" s="36">
        <f>F6+G6</f>
        <v>27444.211490999998</v>
      </c>
    </row>
    <row r="7" spans="1:8">
      <c r="A7">
        <f>'Property Expenses (Detail)'!A8</f>
        <v>0</v>
      </c>
      <c r="B7" s="36">
        <f>Properties!D8</f>
        <v>600000</v>
      </c>
      <c r="C7">
        <f>Properties!E8</f>
        <v>5.79E-2</v>
      </c>
      <c r="D7">
        <f>Properties!F8</f>
        <v>57</v>
      </c>
      <c r="E7">
        <v>25</v>
      </c>
      <c r="F7" s="36">
        <f>B7*C7</f>
        <v>34740</v>
      </c>
      <c r="G7">
        <f>IF(Profile!B7&gt;=D7,PMT(C7,E7,-B7),0)</f>
        <v>0</v>
      </c>
      <c r="H7" s="36">
        <f>F7+G7</f>
        <v>34740</v>
      </c>
    </row>
    <row r="8" spans="1:8">
      <c r="A8" t="str">
        <f>'Property Expenses (Detail)'!A9</f>
        <v>IP2</v>
      </c>
      <c r="B8" s="36">
        <f>Properties!D9</f>
        <v>650000</v>
      </c>
      <c r="C8">
        <f>Properties!E9</f>
        <v>5.79E-2</v>
      </c>
      <c r="D8">
        <f>Properties!F9</f>
        <v>59</v>
      </c>
      <c r="E8">
        <v>25</v>
      </c>
      <c r="F8" s="36">
        <f>B8*C8</f>
        <v>37635</v>
      </c>
      <c r="G8">
        <f>IF(Profile!B8&gt;=D8,PMT(C8,E8,-B8),0)</f>
        <v>49837.202496643818</v>
      </c>
      <c r="H8" s="36">
        <f>F8+G8</f>
        <v>87472.202496643818</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Start Here</vt:lpstr>
      <vt:lpstr>Control Centre</vt:lpstr>
      <vt:lpstr>Profile</vt:lpstr>
      <vt:lpstr>AU Rules</vt:lpstr>
      <vt:lpstr>Scenarios</vt:lpstr>
      <vt:lpstr>Projections</vt:lpstr>
      <vt:lpstr>Budget</vt:lpstr>
      <vt:lpstr>Assets &amp; Liabilities</vt:lpstr>
      <vt:lpstr>Income Schedule</vt:lpstr>
      <vt:lpstr>Income Tax (AU)</vt:lpstr>
      <vt:lpstr>Superannuation (Inputs)</vt:lpstr>
      <vt:lpstr>Properties</vt:lpstr>
      <vt:lpstr>WC Levy Table</vt:lpstr>
      <vt:lpstr>Property_CF</vt:lpstr>
      <vt:lpstr>GSB_Bank_Cash_50455259</vt:lpstr>
      <vt:lpstr>GSB_Bank_Statement</vt:lpstr>
      <vt:lpstr>Sheet1</vt:lpstr>
      <vt:lpstr>Bank_Statement</vt:lpstr>
      <vt:lpstr>Loan_IO_to_PI</vt:lpstr>
      <vt:lpstr>Property Expenses (Detail)</vt:lpstr>
      <vt:lpstr>Rental Tax &amp; Gearing</vt:lpstr>
      <vt:lpstr>Assumptions</vt:lpstr>
      <vt:lpstr>Rental Cashflow</vt:lpstr>
      <vt:lpstr>Monte Carlo</vt:lpstr>
      <vt:lpstr>Dashboard</vt:lpstr>
      <vt:lpstr>Loan Amortisation retired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Brett Hofman</cp:lastModifiedBy>
  <dcterms:created xsi:type="dcterms:W3CDTF">2026-04-20T11:34:56Z</dcterms:created>
  <dcterms:modified xsi:type="dcterms:W3CDTF">2026-05-07T11:05:20Z</dcterms:modified>
</cp:coreProperties>
</file>